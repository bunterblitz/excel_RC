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excel_s_beem\"/>
    </mc:Choice>
  </mc:AlternateContent>
  <xr:revisionPtr revIDLastSave="0" documentId="13_ncr:1_{8AA5E28C-B2DF-45E9-836F-393EF97C46CB}" xr6:coauthVersionLast="36" xr6:coauthVersionMax="47" xr10:uidLastSave="{00000000-0000-0000-0000-000000000000}"/>
  <bookViews>
    <workbookView xWindow="-120" yWindow="-120" windowWidth="20736" windowHeight="11040" xr2:uid="{00000000-000D-0000-FFFF-FFFF00000000}"/>
  </bookViews>
  <sheets>
    <sheet name="開口補強(大地震）計算例" sheetId="26" r:id="rId1"/>
    <sheet name="開口補強(長期）" sheetId="21" r:id="rId2"/>
    <sheet name="開口補強(短期）1" sheetId="31" r:id="rId3"/>
    <sheet name="開口補強(大地震）FG11A" sheetId="29" r:id="rId4"/>
    <sheet name="開口補強(大地震）FG11" sheetId="28" r:id="rId5"/>
    <sheet name="開口補強(大地震）FG12" sheetId="30" r:id="rId6"/>
    <sheet name="開口補強(大地震）FG2" sheetId="27" r:id="rId7"/>
    <sheet name="old開口補強" sheetId="18" r:id="rId8"/>
    <sheet name="old開口補強(短期）" sheetId="25" r:id="rId9"/>
  </sheets>
  <functionGroups builtInGroupCount="19"/>
  <externalReferences>
    <externalReference r:id="rId1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0" i="27" l="1"/>
  <c r="E7" i="29"/>
  <c r="I21" i="31" l="1"/>
  <c r="K31" i="31"/>
  <c r="K30" i="31"/>
  <c r="J41" i="31"/>
  <c r="L21" i="31"/>
  <c r="J51" i="30"/>
  <c r="K37" i="30"/>
  <c r="K38" i="30" s="1"/>
  <c r="L23" i="30"/>
  <c r="H6" i="30"/>
  <c r="H5" i="30"/>
  <c r="J51" i="29"/>
  <c r="K37" i="29"/>
  <c r="K38" i="29" s="1"/>
  <c r="L23" i="29"/>
  <c r="H6" i="29"/>
  <c r="H5" i="29"/>
  <c r="J51" i="28"/>
  <c r="K37" i="28"/>
  <c r="K38" i="28" s="1"/>
  <c r="L23" i="28"/>
  <c r="H6" i="28"/>
  <c r="H5" i="28"/>
  <c r="J51" i="27"/>
  <c r="L23" i="27"/>
  <c r="K37" i="27"/>
  <c r="K38" i="27" s="1"/>
  <c r="H6" i="27"/>
  <c r="H5" i="27"/>
  <c r="H5" i="26"/>
  <c r="J13" i="31" a="1"/>
  <c r="G20" i="30" a="1"/>
  <c r="G11" i="31" a="1"/>
  <c r="J13" i="29" a="1"/>
  <c r="L14" i="27" a="1"/>
  <c r="L14" i="31" a="1"/>
  <c r="J15" i="27" a="1"/>
  <c r="I40" i="30" a="1"/>
  <c r="G11" i="27" a="1"/>
  <c r="I42" i="30" a="1"/>
  <c r="I21" i="27" a="1"/>
  <c r="I43" i="28" a="1"/>
  <c r="L15" i="27" a="1"/>
  <c r="J15" i="29" a="1"/>
  <c r="I21" i="29"/>
  <c r="J14" i="29" a="1"/>
  <c r="G13" i="29" a="1"/>
  <c r="G19" i="30" a="1"/>
  <c r="J15" i="30" a="1"/>
  <c r="G15" i="27" a="1"/>
  <c r="I40" i="29" a="1"/>
  <c r="G15" i="31" a="1"/>
  <c r="L13" i="29" a="1"/>
  <c r="G12" i="27" a="1"/>
  <c r="I21" i="30" a="1"/>
  <c r="I43" i="30" a="1"/>
  <c r="G10" i="31" a="1"/>
  <c r="G11" i="28" a="1"/>
  <c r="G20" i="29" a="1"/>
  <c r="L14" i="29" a="1"/>
  <c r="L15" i="29" a="1"/>
  <c r="I42" i="29" a="1"/>
  <c r="G19" i="29" a="1"/>
  <c r="G14" i="29" a="1"/>
  <c r="G14" i="27" a="1"/>
  <c r="G15" i="30" a="1"/>
  <c r="G14" i="31" a="1"/>
  <c r="G11" i="30" a="1"/>
  <c r="G12" i="30" a="1"/>
  <c r="G13" i="27" a="1"/>
  <c r="L15" i="28" a="1"/>
  <c r="J15" i="28" a="1"/>
  <c r="G13" i="30" a="1"/>
  <c r="G13" i="31" a="1"/>
  <c r="G12" i="31" a="1"/>
  <c r="L13" i="27" a="1"/>
  <c r="G19" i="28" a="1"/>
  <c r="I33" i="31" a="1"/>
  <c r="I40" i="28" a="1"/>
  <c r="G10" i="28" a="1"/>
  <c r="I32" i="31" a="1"/>
  <c r="G13" i="28" a="1"/>
  <c r="G10" i="27" a="1"/>
  <c r="G14" i="30" a="1"/>
  <c r="I35" i="31" a="1"/>
  <c r="J14" i="30" a="1"/>
  <c r="L15" i="30" a="1"/>
  <c r="G20" i="28" a="1"/>
  <c r="J13" i="27" a="1"/>
  <c r="G12" i="29" a="1"/>
  <c r="G15" i="29" a="1"/>
  <c r="J14" i="28" a="1"/>
  <c r="L13" i="30" a="1"/>
  <c r="I42" i="28" a="1"/>
  <c r="H4" i="31"/>
  <c r="G10" i="29" a="1"/>
  <c r="J13" i="28" a="1"/>
  <c r="I36" i="31" a="1"/>
  <c r="I39" i="28" a="1"/>
  <c r="L15" i="31" a="1"/>
  <c r="J14" i="31" a="1"/>
  <c r="L13" i="28" a="1"/>
  <c r="I21" i="28" a="1"/>
  <c r="G11" i="29" a="1"/>
  <c r="I39" i="30" a="1"/>
  <c r="I42" i="27" a="1"/>
  <c r="I40" i="27" a="1"/>
  <c r="J13" i="30" a="1"/>
  <c r="L14" i="28" a="1"/>
  <c r="J14" i="27" a="1"/>
  <c r="L13" i="31" a="1"/>
  <c r="I39" i="29" a="1"/>
  <c r="G19" i="27" a="1"/>
  <c r="I43" i="29" a="1"/>
  <c r="G14" i="28" a="1"/>
  <c r="I43" i="27" a="1"/>
  <c r="G12" i="28" a="1"/>
  <c r="G20" i="27" a="1"/>
  <c r="G10" i="30" a="1"/>
  <c r="G19" i="31" a="1"/>
  <c r="G15" i="28" a="1"/>
  <c r="I39" i="27" a="1"/>
  <c r="J15" i="31" a="1"/>
  <c r="L14" i="30" a="1"/>
  <c r="L14" i="31" l="1"/>
  <c r="G17" i="31" s="1"/>
  <c r="L17" i="31" s="1"/>
  <c r="G15" i="31"/>
  <c r="H30" i="31" s="1"/>
  <c r="G13" i="31"/>
  <c r="H31" i="31" s="1"/>
  <c r="I32" i="31"/>
  <c r="J15" i="31"/>
  <c r="I36" i="31"/>
  <c r="L13" i="31"/>
  <c r="G16" i="31" s="1"/>
  <c r="L15" i="31"/>
  <c r="G18" i="31" s="1"/>
  <c r="I33" i="31"/>
  <c r="G10" i="31"/>
  <c r="G14" i="31"/>
  <c r="G12" i="31"/>
  <c r="J13" i="31"/>
  <c r="I35" i="31"/>
  <c r="G11" i="31"/>
  <c r="J14" i="31"/>
  <c r="G19" i="31"/>
  <c r="G24" i="31" s="1"/>
  <c r="I25" i="31" s="1"/>
  <c r="L14" i="30"/>
  <c r="G17" i="30" s="1"/>
  <c r="G15" i="30"/>
  <c r="H37" i="30" s="1"/>
  <c r="G20" i="30"/>
  <c r="L20" i="30" s="1"/>
  <c r="G13" i="30"/>
  <c r="H38" i="30" s="1"/>
  <c r="I39" i="30"/>
  <c r="I42" i="30"/>
  <c r="J15" i="30"/>
  <c r="I21" i="30"/>
  <c r="L21" i="30" s="1"/>
  <c r="G12" i="30"/>
  <c r="I43" i="30"/>
  <c r="L13" i="30"/>
  <c r="G16" i="30" s="1"/>
  <c r="J35" i="30" s="1"/>
  <c r="L15" i="30"/>
  <c r="G18" i="30" s="1"/>
  <c r="J53" i="30" s="1"/>
  <c r="I40" i="30"/>
  <c r="G10" i="30"/>
  <c r="G14" i="30"/>
  <c r="J13" i="30"/>
  <c r="G11" i="30"/>
  <c r="I26" i="30" s="1"/>
  <c r="J14" i="30"/>
  <c r="G19" i="30"/>
  <c r="G29" i="30" s="1"/>
  <c r="L14" i="29"/>
  <c r="G17" i="29" s="1"/>
  <c r="G12" i="29"/>
  <c r="G15" i="29"/>
  <c r="H37" i="29" s="1"/>
  <c r="I39" i="29"/>
  <c r="G13" i="29"/>
  <c r="H38" i="29" s="1"/>
  <c r="J13" i="29"/>
  <c r="J15" i="29"/>
  <c r="L21" i="29"/>
  <c r="I43" i="29"/>
  <c r="L13" i="29"/>
  <c r="G16" i="29" s="1"/>
  <c r="J35" i="29" s="1"/>
  <c r="L15" i="29"/>
  <c r="G18" i="29" s="1"/>
  <c r="J53" i="29" s="1"/>
  <c r="G20" i="29"/>
  <c r="L20" i="29" s="1"/>
  <c r="I40" i="29"/>
  <c r="I42" i="29"/>
  <c r="G10" i="29"/>
  <c r="G14" i="29"/>
  <c r="G11" i="29"/>
  <c r="J14" i="29"/>
  <c r="G19" i="29"/>
  <c r="G29" i="29" s="1"/>
  <c r="L14" i="28"/>
  <c r="G17" i="28" s="1"/>
  <c r="G13" i="28"/>
  <c r="H38" i="28" s="1"/>
  <c r="G15" i="28"/>
  <c r="H37" i="28" s="1"/>
  <c r="I39" i="28"/>
  <c r="G12" i="28"/>
  <c r="J15" i="28"/>
  <c r="I21" i="28"/>
  <c r="L21" i="28" s="1"/>
  <c r="I43" i="28"/>
  <c r="L13" i="28"/>
  <c r="G16" i="28" s="1"/>
  <c r="J35" i="28" s="1"/>
  <c r="L15" i="28"/>
  <c r="G18" i="28" s="1"/>
  <c r="J53" i="28" s="1"/>
  <c r="J13" i="28"/>
  <c r="I40" i="28"/>
  <c r="G10" i="28"/>
  <c r="G14" i="28"/>
  <c r="G20" i="28"/>
  <c r="L20" i="28" s="1"/>
  <c r="I42" i="28"/>
  <c r="G11" i="28"/>
  <c r="J14" i="28"/>
  <c r="G19" i="28"/>
  <c r="G29" i="28" s="1"/>
  <c r="G11" i="27"/>
  <c r="G19" i="27"/>
  <c r="G29" i="27" s="1"/>
  <c r="G12" i="27"/>
  <c r="L14" i="27"/>
  <c r="G17" i="27" s="1"/>
  <c r="J14" i="27"/>
  <c r="I42" i="27"/>
  <c r="G13" i="27"/>
  <c r="H38" i="27" s="1"/>
  <c r="G15" i="27"/>
  <c r="H37" i="27" s="1"/>
  <c r="I21" i="27"/>
  <c r="L21" i="27" s="1"/>
  <c r="I43" i="27"/>
  <c r="L13" i="27"/>
  <c r="G16" i="27" s="1"/>
  <c r="J35" i="27" s="1"/>
  <c r="L15" i="27"/>
  <c r="G18" i="27" s="1"/>
  <c r="J53" i="27" s="1"/>
  <c r="I40" i="27"/>
  <c r="G20" i="27"/>
  <c r="L20" i="27" s="1"/>
  <c r="J15" i="27"/>
  <c r="G10" i="27"/>
  <c r="G14" i="27"/>
  <c r="I39" i="27"/>
  <c r="J13" i="27"/>
  <c r="J51" i="26"/>
  <c r="I9" i="26"/>
  <c r="K37" i="26" s="1"/>
  <c r="K38" i="26" s="1"/>
  <c r="L23" i="26"/>
  <c r="H6" i="26"/>
  <c r="E6" i="25"/>
  <c r="F18" i="25"/>
  <c r="F21" i="25" s="1"/>
  <c r="G15" i="25"/>
  <c r="H15" i="25" s="1"/>
  <c r="F12" i="25"/>
  <c r="E9" i="25" a="1"/>
  <c r="E9" i="25" s="1"/>
  <c r="G21" i="21"/>
  <c r="E6" i="21"/>
  <c r="E9" i="21" a="1"/>
  <c r="E9" i="21" s="1"/>
  <c r="I9" i="25" a="1"/>
  <c r="C21" i="21" a="1"/>
  <c r="G13" i="26" a="1"/>
  <c r="E18" i="25" a="1"/>
  <c r="D12" i="21" a="1"/>
  <c r="D12" i="25" a="1"/>
  <c r="C9" i="25" a="1"/>
  <c r="C18" i="25" a="1"/>
  <c r="I41" i="29" a="1"/>
  <c r="E21" i="21" a="1"/>
  <c r="C12" i="21" a="1"/>
  <c r="I41" i="27" a="1"/>
  <c r="I44" i="30" a="1"/>
  <c r="I39" i="26" a="1"/>
  <c r="I44" i="28" a="1"/>
  <c r="G20" i="26" a="1"/>
  <c r="J14" i="26" a="1"/>
  <c r="I40" i="26" a="1"/>
  <c r="J15" i="26" a="1"/>
  <c r="E18" i="21" a="1"/>
  <c r="I9" i="21" a="1"/>
  <c r="L14" i="26" a="1"/>
  <c r="L13" i="26" a="1"/>
  <c r="J13" i="26" a="1"/>
  <c r="C21" i="25" a="1"/>
  <c r="E21" i="25" a="1"/>
  <c r="G11" i="26" a="1"/>
  <c r="I44" i="29" a="1"/>
  <c r="C18" i="21" a="1"/>
  <c r="C12" i="25" a="1"/>
  <c r="G14" i="26" a="1"/>
  <c r="I34" i="31" a="1"/>
  <c r="I41" i="30" a="1"/>
  <c r="G19" i="26" a="1"/>
  <c r="L15" i="26" a="1"/>
  <c r="G15" i="26" a="1"/>
  <c r="I43" i="26" a="1"/>
  <c r="I21" i="26" a="1"/>
  <c r="I42" i="26" a="1"/>
  <c r="G10" i="26" a="1"/>
  <c r="I44" i="27" a="1"/>
  <c r="I37" i="31" a="1"/>
  <c r="G12" i="26" a="1"/>
  <c r="I41" i="28" a="1"/>
  <c r="G23" i="31" l="1"/>
  <c r="G28" i="29"/>
  <c r="K32" i="31"/>
  <c r="M32" i="31" s="1"/>
  <c r="L18" i="31"/>
  <c r="K25" i="31" s="1"/>
  <c r="L25" i="31" s="1"/>
  <c r="L16" i="31"/>
  <c r="K33" i="31"/>
  <c r="M33" i="31" s="1"/>
  <c r="K36" i="31"/>
  <c r="M36" i="31" s="1"/>
  <c r="K35" i="31"/>
  <c r="M35" i="31" s="1"/>
  <c r="I37" i="31"/>
  <c r="I34" i="31"/>
  <c r="K39" i="30"/>
  <c r="M39" i="30" s="1"/>
  <c r="K43" i="30"/>
  <c r="M43" i="30" s="1"/>
  <c r="I25" i="29"/>
  <c r="K42" i="30"/>
  <c r="M42" i="30" s="1"/>
  <c r="I44" i="30"/>
  <c r="I41" i="30"/>
  <c r="K39" i="29"/>
  <c r="M39" i="29" s="1"/>
  <c r="H46" i="30"/>
  <c r="K42" i="28"/>
  <c r="M42" i="28" s="1"/>
  <c r="I25" i="30"/>
  <c r="G28" i="30"/>
  <c r="J34" i="30" s="1"/>
  <c r="I24" i="30"/>
  <c r="I26" i="29"/>
  <c r="K40" i="30"/>
  <c r="M40" i="30" s="1"/>
  <c r="K43" i="29"/>
  <c r="M43" i="29" s="1"/>
  <c r="I44" i="29"/>
  <c r="I41" i="29"/>
  <c r="K39" i="28"/>
  <c r="M39" i="28" s="1"/>
  <c r="K40" i="28"/>
  <c r="M40" i="28" s="1"/>
  <c r="K43" i="28"/>
  <c r="M43" i="28" s="1"/>
  <c r="I24" i="29"/>
  <c r="K42" i="29"/>
  <c r="M42" i="29" s="1"/>
  <c r="H46" i="29"/>
  <c r="I26" i="28"/>
  <c r="K40" i="29"/>
  <c r="M40" i="29" s="1"/>
  <c r="I41" i="28"/>
  <c r="I44" i="28"/>
  <c r="H46" i="28"/>
  <c r="I25" i="28"/>
  <c r="I24" i="28"/>
  <c r="G28" i="28"/>
  <c r="J34" i="28" s="1"/>
  <c r="K43" i="27"/>
  <c r="M43" i="27" s="1"/>
  <c r="K40" i="27"/>
  <c r="M40" i="27" s="1"/>
  <c r="I26" i="27"/>
  <c r="I44" i="27"/>
  <c r="I41" i="27"/>
  <c r="K39" i="27"/>
  <c r="M39" i="27" s="1"/>
  <c r="K42" i="27"/>
  <c r="M42" i="27" s="1"/>
  <c r="G28" i="27"/>
  <c r="J34" i="27" s="1"/>
  <c r="I24" i="27"/>
  <c r="H46" i="27"/>
  <c r="I25" i="27"/>
  <c r="I40" i="26"/>
  <c r="I43" i="26"/>
  <c r="I42" i="26"/>
  <c r="I39" i="26"/>
  <c r="I21" i="26"/>
  <c r="L21" i="26" s="1"/>
  <c r="G20" i="26"/>
  <c r="L20" i="26" s="1"/>
  <c r="G19" i="26"/>
  <c r="G29" i="26" s="1"/>
  <c r="L13" i="26"/>
  <c r="G16" i="26" s="1"/>
  <c r="J35" i="26" s="1"/>
  <c r="J15" i="26"/>
  <c r="J14" i="26"/>
  <c r="J13" i="26"/>
  <c r="L15" i="26"/>
  <c r="G18" i="26" s="1"/>
  <c r="J53" i="26" s="1"/>
  <c r="G15" i="26"/>
  <c r="H37" i="26" s="1"/>
  <c r="L14" i="26"/>
  <c r="G17" i="26" s="1"/>
  <c r="G14" i="26"/>
  <c r="G13" i="26"/>
  <c r="H38" i="26" s="1"/>
  <c r="G12" i="26"/>
  <c r="G11" i="26"/>
  <c r="G10" i="26"/>
  <c r="C9" i="25"/>
  <c r="F9" i="25" s="1"/>
  <c r="C12" i="25"/>
  <c r="D12" i="25"/>
  <c r="C18" i="25"/>
  <c r="E18" i="25"/>
  <c r="C21" i="25"/>
  <c r="E21" i="25"/>
  <c r="I9" i="25"/>
  <c r="J9" i="25" s="1"/>
  <c r="E21" i="21"/>
  <c r="E18" i="21"/>
  <c r="C21" i="21"/>
  <c r="D12" i="21"/>
  <c r="C12" i="21"/>
  <c r="C18" i="21"/>
  <c r="I9" i="21"/>
  <c r="J9" i="21" s="1"/>
  <c r="E18" i="18"/>
  <c r="F12" i="21"/>
  <c r="G15" i="21"/>
  <c r="H15" i="21" s="1"/>
  <c r="F18" i="21"/>
  <c r="F21" i="21" s="1"/>
  <c r="E6" i="18"/>
  <c r="D12" i="18"/>
  <c r="E12" i="18" s="1"/>
  <c r="F12" i="18" s="1"/>
  <c r="C12" i="18"/>
  <c r="G15" i="18"/>
  <c r="H15" i="18"/>
  <c r="F18" i="18"/>
  <c r="C9" i="18"/>
  <c r="C18" i="18"/>
  <c r="H18" i="18" s="1"/>
  <c r="I18" i="18" s="1"/>
  <c r="I9" i="18"/>
  <c r="J9" i="18" s="1"/>
  <c r="E9" i="18"/>
  <c r="I44" i="26" a="1"/>
  <c r="I41" i="26" a="1"/>
  <c r="C9" i="21" a="1"/>
  <c r="H18" i="21" a="1"/>
  <c r="J34" i="29" l="1"/>
  <c r="F22" i="31"/>
  <c r="L22" i="31" s="1"/>
  <c r="F38" i="31"/>
  <c r="L25" i="29"/>
  <c r="G38" i="31"/>
  <c r="L25" i="28"/>
  <c r="H27" i="28" s="1"/>
  <c r="E30" i="28" s="1"/>
  <c r="H30" i="28" s="1"/>
  <c r="L25" i="30"/>
  <c r="J52" i="30"/>
  <c r="H47" i="30"/>
  <c r="F45" i="30"/>
  <c r="G45" i="30"/>
  <c r="J52" i="29"/>
  <c r="H47" i="29"/>
  <c r="F45" i="29"/>
  <c r="G45" i="29"/>
  <c r="J52" i="28"/>
  <c r="H47" i="28"/>
  <c r="F45" i="28"/>
  <c r="G45" i="28"/>
  <c r="L25" i="27"/>
  <c r="H27" i="27" s="1"/>
  <c r="E30" i="27" s="1"/>
  <c r="H30" i="27" s="1"/>
  <c r="H47" i="27"/>
  <c r="J52" i="27"/>
  <c r="I26" i="26"/>
  <c r="F45" i="27"/>
  <c r="G45" i="27"/>
  <c r="K39" i="26"/>
  <c r="M39" i="26" s="1"/>
  <c r="K43" i="26"/>
  <c r="M43" i="26" s="1"/>
  <c r="K40" i="26"/>
  <c r="M40" i="26" s="1"/>
  <c r="K42" i="26"/>
  <c r="M42" i="26" s="1"/>
  <c r="H46" i="26"/>
  <c r="I41" i="26"/>
  <c r="I44" i="26"/>
  <c r="I24" i="26"/>
  <c r="G28" i="26"/>
  <c r="J34" i="26" s="1"/>
  <c r="I25" i="26"/>
  <c r="E12" i="25"/>
  <c r="H18" i="21"/>
  <c r="E12" i="21"/>
  <c r="C9" i="21"/>
  <c r="F9" i="21" s="1"/>
  <c r="F9" i="18"/>
  <c r="G12" i="18"/>
  <c r="H6" i="18" s="1"/>
  <c r="H18" i="25" a="1"/>
  <c r="F32" i="27" a="1"/>
  <c r="I18" i="21" a="1"/>
  <c r="E25" i="31"/>
  <c r="F40" i="31" s="1"/>
  <c r="F32" i="28" a="1"/>
  <c r="H27" i="29" l="1"/>
  <c r="E30" i="29" s="1"/>
  <c r="F41" i="31"/>
  <c r="I38" i="31"/>
  <c r="L38" i="31"/>
  <c r="I45" i="30"/>
  <c r="L45" i="30"/>
  <c r="H27" i="30"/>
  <c r="E30" i="30" s="1"/>
  <c r="H30" i="30" s="1"/>
  <c r="I45" i="29"/>
  <c r="L45" i="29"/>
  <c r="F32" i="28"/>
  <c r="F33" i="28" s="1"/>
  <c r="G33" i="28" s="1"/>
  <c r="L25" i="26"/>
  <c r="H27" i="26" s="1"/>
  <c r="E30" i="26" s="1"/>
  <c r="H30" i="26" s="1"/>
  <c r="I45" i="28"/>
  <c r="L45" i="28"/>
  <c r="F32" i="27"/>
  <c r="F33" i="27" s="1"/>
  <c r="G33" i="27" s="1"/>
  <c r="L45" i="27"/>
  <c r="I45" i="27"/>
  <c r="H47" i="26"/>
  <c r="J52" i="26"/>
  <c r="G45" i="26"/>
  <c r="F45" i="26"/>
  <c r="H18" i="25"/>
  <c r="G12" i="25"/>
  <c r="H6" i="25" s="1"/>
  <c r="I18" i="21"/>
  <c r="H21" i="21"/>
  <c r="G12" i="21"/>
  <c r="H6" i="21" s="1"/>
  <c r="D15" i="21" s="1"/>
  <c r="I6" i="18"/>
  <c r="D15" i="18"/>
  <c r="E15" i="18" s="1"/>
  <c r="I15" i="18" s="1"/>
  <c r="B21" i="18" s="1"/>
  <c r="F27" i="31"/>
  <c r="H30" i="29"/>
  <c r="F32" i="29"/>
  <c r="I18" i="25"/>
  <c r="F32" i="26" a="1"/>
  <c r="F50" i="29"/>
  <c r="I21" i="21" a="1"/>
  <c r="F50" i="27" a="1"/>
  <c r="F50" i="28" a="1"/>
  <c r="F50" i="30" a="1"/>
  <c r="F32" i="30" a="1"/>
  <c r="F28" i="31" l="1"/>
  <c r="G28" i="31" s="1"/>
  <c r="F33" i="29"/>
  <c r="G33" i="29" s="1"/>
  <c r="F51" i="29"/>
  <c r="G41" i="31"/>
  <c r="H21" i="25"/>
  <c r="F32" i="30"/>
  <c r="F33" i="30" s="1"/>
  <c r="G33" i="30" s="1"/>
  <c r="F50" i="30"/>
  <c r="F51" i="30" s="1"/>
  <c r="G51" i="30" s="1"/>
  <c r="F50" i="28"/>
  <c r="F51" i="28" s="1"/>
  <c r="G51" i="28" s="1"/>
  <c r="F50" i="27"/>
  <c r="F51" i="27" s="1"/>
  <c r="G51" i="27" s="1"/>
  <c r="I45" i="26"/>
  <c r="L45" i="26"/>
  <c r="F32" i="26"/>
  <c r="F33" i="26" s="1"/>
  <c r="G33" i="26" s="1"/>
  <c r="J18" i="25"/>
  <c r="D15" i="25"/>
  <c r="I6" i="25"/>
  <c r="I21" i="21"/>
  <c r="I6" i="21"/>
  <c r="K6" i="21" s="1"/>
  <c r="B15" i="21" s="1"/>
  <c r="J18" i="21"/>
  <c r="C21" i="18"/>
  <c r="D21" i="18" s="1"/>
  <c r="E21" i="18" s="1"/>
  <c r="K6" i="18"/>
  <c r="K9" i="18"/>
  <c r="F50" i="26" a="1"/>
  <c r="I21" i="25" a="1"/>
  <c r="G51" i="29" l="1"/>
  <c r="I21" i="25"/>
  <c r="J21" i="25" s="1"/>
  <c r="F50" i="26"/>
  <c r="F51" i="26" s="1"/>
  <c r="G51" i="26" s="1"/>
  <c r="K6" i="25"/>
  <c r="C15" i="21"/>
  <c r="E15" i="21" s="1"/>
  <c r="I15" i="21" s="1"/>
  <c r="B24" i="21" s="1"/>
  <c r="K9" i="21" a="1"/>
  <c r="B15" i="25" l="1"/>
  <c r="C15" i="25"/>
  <c r="K9" i="21"/>
  <c r="J21" i="21"/>
  <c r="C24" i="21"/>
  <c r="D24" i="21" s="1"/>
  <c r="E15" i="25" l="1"/>
  <c r="E24" i="21"/>
  <c r="K9" i="25" a="1"/>
  <c r="K9" i="25" l="1"/>
  <c r="I15" i="25"/>
  <c r="B24" i="25" s="1"/>
  <c r="C24" i="25" s="1"/>
  <c r="D24" i="25" s="1"/>
  <c r="E24" i="25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<sst xmlns="http://schemas.openxmlformats.org/spreadsheetml/2006/main" count="1611" uniqueCount="381">
  <si>
    <t>１段目</t>
    <rPh sb="1" eb="2">
      <t>ダン</t>
    </rPh>
    <rPh sb="2" eb="3">
      <t>メ</t>
    </rPh>
    <phoneticPr fontId="2"/>
  </si>
  <si>
    <t>２段目</t>
    <rPh sb="1" eb="2">
      <t>ダン</t>
    </rPh>
    <rPh sb="2" eb="3">
      <t>メ</t>
    </rPh>
    <phoneticPr fontId="2"/>
  </si>
  <si>
    <t>d:</t>
    <phoneticPr fontId="2"/>
  </si>
  <si>
    <t>引張鉄筋比</t>
    <rPh sb="0" eb="2">
      <t>ヒッパ</t>
    </rPh>
    <rPh sb="2" eb="4">
      <t>テッキン</t>
    </rPh>
    <rPh sb="4" eb="5">
      <t>ヒ</t>
    </rPh>
    <phoneticPr fontId="2"/>
  </si>
  <si>
    <t>at=at1+at2</t>
    <phoneticPr fontId="2"/>
  </si>
  <si>
    <t>use</t>
    <phoneticPr fontId="2"/>
  </si>
  <si>
    <t>(mm)</t>
    <phoneticPr fontId="2"/>
  </si>
  <si>
    <t>D</t>
    <phoneticPr fontId="2"/>
  </si>
  <si>
    <t>d</t>
    <phoneticPr fontId="2"/>
  </si>
  <si>
    <t>ft</t>
    <phoneticPr fontId="2"/>
  </si>
  <si>
    <t>M=ft・at・j</t>
    <phoneticPr fontId="2"/>
  </si>
  <si>
    <t>(kNm)</t>
    <phoneticPr fontId="2"/>
  </si>
  <si>
    <t>at:</t>
    <phoneticPr fontId="2"/>
  </si>
  <si>
    <t>pt:</t>
    <phoneticPr fontId="2"/>
  </si>
  <si>
    <t>①かぶり</t>
    <phoneticPr fontId="2"/>
  </si>
  <si>
    <t>dt:</t>
    <phoneticPr fontId="2"/>
  </si>
  <si>
    <t>dt=①+②+③+④</t>
    <phoneticPr fontId="2"/>
  </si>
  <si>
    <t>D:</t>
    <phoneticPr fontId="2"/>
  </si>
  <si>
    <t>梁のせい</t>
    <rPh sb="0" eb="1">
      <t>ハリ</t>
    </rPh>
    <phoneticPr fontId="2"/>
  </si>
  <si>
    <t>有効せい（曲げ材の圧縮縁から引張鉄筋重心までの距離）</t>
    <rPh sb="0" eb="2">
      <t>ユウコウ</t>
    </rPh>
    <rPh sb="5" eb="6">
      <t>マ</t>
    </rPh>
    <rPh sb="7" eb="8">
      <t>ザイ</t>
    </rPh>
    <rPh sb="9" eb="11">
      <t>アッシュク</t>
    </rPh>
    <rPh sb="11" eb="12">
      <t>フチ</t>
    </rPh>
    <rPh sb="14" eb="16">
      <t>ヒッパ</t>
    </rPh>
    <rPh sb="16" eb="18">
      <t>テッキン</t>
    </rPh>
    <rPh sb="18" eb="20">
      <t>ジュウシン</t>
    </rPh>
    <rPh sb="23" eb="25">
      <t>キョリ</t>
    </rPh>
    <phoneticPr fontId="2"/>
  </si>
  <si>
    <t>d=D-dt</t>
    <phoneticPr fontId="2"/>
  </si>
  <si>
    <t>j:</t>
    <phoneticPr fontId="2"/>
  </si>
  <si>
    <t>d・7/8</t>
    <phoneticPr fontId="2"/>
  </si>
  <si>
    <t>at=at1+at2</t>
    <phoneticPr fontId="2"/>
  </si>
  <si>
    <t>d=D-dt</t>
    <phoneticPr fontId="2"/>
  </si>
  <si>
    <t>j:</t>
    <phoneticPr fontId="2"/>
  </si>
  <si>
    <t>d・7/8</t>
    <phoneticPr fontId="2"/>
  </si>
  <si>
    <t>4-D22</t>
    <phoneticPr fontId="2"/>
  </si>
  <si>
    <t>N</t>
    <phoneticPr fontId="2"/>
  </si>
  <si>
    <t>dc:</t>
    <phoneticPr fontId="2"/>
  </si>
  <si>
    <t>fc:</t>
    <phoneticPr fontId="2"/>
  </si>
  <si>
    <t>n:</t>
    <phoneticPr fontId="2"/>
  </si>
  <si>
    <t>コンクリートの許容圧縮応力度</t>
    <rPh sb="7" eb="9">
      <t>キョヨウ</t>
    </rPh>
    <rPh sb="9" eb="11">
      <t>アッシュク</t>
    </rPh>
    <rPh sb="11" eb="13">
      <t>オウリョク</t>
    </rPh>
    <rPh sb="13" eb="14">
      <t>ド</t>
    </rPh>
    <phoneticPr fontId="2"/>
  </si>
  <si>
    <t>ヤング係数比</t>
    <rPh sb="3" eb="5">
      <t>ケイスウ</t>
    </rPh>
    <rPh sb="5" eb="6">
      <t>ヒ</t>
    </rPh>
    <phoneticPr fontId="2"/>
  </si>
  <si>
    <t>(mm)</t>
    <phoneticPr fontId="2"/>
  </si>
  <si>
    <t>(kN)</t>
    <phoneticPr fontId="2"/>
  </si>
  <si>
    <t>use</t>
    <phoneticPr fontId="2"/>
  </si>
  <si>
    <t>θ:</t>
    <phoneticPr fontId="2"/>
  </si>
  <si>
    <t>Ma:</t>
    <phoneticPr fontId="2"/>
  </si>
  <si>
    <t>kNm</t>
    <phoneticPr fontId="2"/>
  </si>
  <si>
    <t>M</t>
    <phoneticPr fontId="2"/>
  </si>
  <si>
    <t>判定</t>
    <rPh sb="0" eb="2">
      <t>ハンテイ</t>
    </rPh>
    <phoneticPr fontId="2"/>
  </si>
  <si>
    <t>D</t>
    <phoneticPr fontId="2"/>
  </si>
  <si>
    <t>M</t>
    <phoneticPr fontId="2"/>
  </si>
  <si>
    <t>(mm)</t>
    <phoneticPr fontId="2"/>
  </si>
  <si>
    <t>use</t>
    <phoneticPr fontId="2"/>
  </si>
  <si>
    <r>
      <t>at1(mm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</si>
  <si>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r>
      <t>at2(mm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</si>
  <si>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r>
      <t>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</si>
  <si>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t>j=d・7/8</t>
    <phoneticPr fontId="2"/>
  </si>
  <si>
    <t>dｔ</t>
    <phoneticPr fontId="2"/>
  </si>
  <si>
    <t>ac:</t>
    <phoneticPr fontId="2"/>
  </si>
  <si>
    <t>引張り鉄筋断面積</t>
    <rPh sb="0" eb="2">
      <t>ヒッパ</t>
    </rPh>
    <rPh sb="3" eb="5">
      <t>テッキン</t>
    </rPh>
    <rPh sb="5" eb="8">
      <t>ダンメンセキ</t>
    </rPh>
    <phoneticPr fontId="2"/>
  </si>
  <si>
    <t>圧縮鉄筋断面積</t>
    <rPh sb="0" eb="2">
      <t>アッシュク</t>
    </rPh>
    <rPh sb="2" eb="4">
      <t>テッキン</t>
    </rPh>
    <rPh sb="4" eb="7">
      <t>ダンメンセキ</t>
    </rPh>
    <phoneticPr fontId="2"/>
  </si>
  <si>
    <t>④:</t>
    <phoneticPr fontId="2"/>
  </si>
  <si>
    <t>⑤:</t>
    <phoneticPr fontId="2"/>
  </si>
  <si>
    <t>引張り側１段目鉄筋心より引張り側鉄筋重心位置</t>
    <rPh sb="0" eb="2">
      <t>ヒッパ</t>
    </rPh>
    <rPh sb="3" eb="4">
      <t>ガワ</t>
    </rPh>
    <rPh sb="5" eb="7">
      <t>ダンメ</t>
    </rPh>
    <rPh sb="7" eb="9">
      <t>テッキン</t>
    </rPh>
    <rPh sb="9" eb="10">
      <t>シン</t>
    </rPh>
    <rPh sb="16" eb="18">
      <t>テッキン</t>
    </rPh>
    <rPh sb="18" eb="20">
      <t>ジュウシン</t>
    </rPh>
    <rPh sb="20" eb="22">
      <t>イチ</t>
    </rPh>
    <phoneticPr fontId="2"/>
  </si>
  <si>
    <t>圧縮側1段目鉄筋心より圧縮鉄筋重心位置</t>
    <rPh sb="0" eb="2">
      <t>アッシュク</t>
    </rPh>
    <rPh sb="2" eb="3">
      <t>ガワ</t>
    </rPh>
    <rPh sb="4" eb="6">
      <t>ダンメ</t>
    </rPh>
    <rPh sb="6" eb="8">
      <t>テッキン</t>
    </rPh>
    <rPh sb="8" eb="9">
      <t>シン</t>
    </rPh>
    <rPh sb="15" eb="17">
      <t>ジュウシン</t>
    </rPh>
    <rPh sb="17" eb="19">
      <t>イチ</t>
    </rPh>
    <phoneticPr fontId="2"/>
  </si>
  <si>
    <t>引張縁から引張鉄筋重心位置までの距離</t>
    <rPh sb="0" eb="2">
      <t>ヒッパ</t>
    </rPh>
    <rPh sb="2" eb="3">
      <t>エン</t>
    </rPh>
    <rPh sb="5" eb="7">
      <t>ヒッパ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2"/>
  </si>
  <si>
    <t>圧縮縁から圧縮鉄筋重心位置までの距離</t>
    <rPh sb="0" eb="2">
      <t>アッシュク</t>
    </rPh>
    <rPh sb="2" eb="3">
      <t>フチ</t>
    </rPh>
    <rPh sb="7" eb="9">
      <t>テッキン</t>
    </rPh>
    <rPh sb="9" eb="11">
      <t>ジュウシン</t>
    </rPh>
    <rPh sb="11" eb="13">
      <t>イチ</t>
    </rPh>
    <rPh sb="16" eb="18">
      <t>キョリ</t>
    </rPh>
    <phoneticPr fontId="2"/>
  </si>
  <si>
    <t>dc=⑤+⑥+⑦+⑧</t>
    <phoneticPr fontId="2"/>
  </si>
  <si>
    <t>γ:</t>
    <phoneticPr fontId="2"/>
  </si>
  <si>
    <t>複筋比</t>
    <rPh sb="0" eb="1">
      <t>フク</t>
    </rPh>
    <rPh sb="1" eb="2">
      <t>キン</t>
    </rPh>
    <rPh sb="2" eb="3">
      <t>ヒ</t>
    </rPh>
    <phoneticPr fontId="2"/>
  </si>
  <si>
    <t>xn1:</t>
    <phoneticPr fontId="2"/>
  </si>
  <si>
    <t>中立軸比　xn1=xn/d</t>
    <rPh sb="0" eb="2">
      <t>チュウリツ</t>
    </rPh>
    <rPh sb="2" eb="3">
      <t>ジク</t>
    </rPh>
    <rPh sb="3" eb="4">
      <t>ヒ</t>
    </rPh>
    <phoneticPr fontId="2"/>
  </si>
  <si>
    <t>xn:</t>
    <phoneticPr fontId="2"/>
  </si>
  <si>
    <t>中立位置（圧縮縁より）</t>
    <rPh sb="0" eb="2">
      <t>チュウリツ</t>
    </rPh>
    <rPh sb="2" eb="4">
      <t>イチ</t>
    </rPh>
    <rPh sb="5" eb="7">
      <t>アッシュク</t>
    </rPh>
    <rPh sb="7" eb="8">
      <t>フチ</t>
    </rPh>
    <phoneticPr fontId="2"/>
  </si>
  <si>
    <t>Pt=at/(B・d)</t>
    <phoneticPr fontId="2"/>
  </si>
  <si>
    <t>ptb:</t>
    <phoneticPr fontId="2"/>
  </si>
  <si>
    <t>つり合い鉄筋比</t>
    <rPh sb="2" eb="3">
      <t>ア</t>
    </rPh>
    <rPh sb="4" eb="6">
      <t>テッキン</t>
    </rPh>
    <rPh sb="6" eb="7">
      <t>ヒ</t>
    </rPh>
    <phoneticPr fontId="2"/>
  </si>
  <si>
    <t>長方形梁の許容曲げモーメント</t>
    <rPh sb="0" eb="2">
      <t>チョウホウ</t>
    </rPh>
    <rPh sb="2" eb="3">
      <t>ケイ</t>
    </rPh>
    <rPh sb="3" eb="4">
      <t>バリ</t>
    </rPh>
    <rPh sb="5" eb="7">
      <t>キョヨウ</t>
    </rPh>
    <rPh sb="7" eb="8">
      <t>マ</t>
    </rPh>
    <phoneticPr fontId="2"/>
  </si>
  <si>
    <t>C1</t>
    <phoneticPr fontId="2"/>
  </si>
  <si>
    <t>C2</t>
    <phoneticPr fontId="2"/>
  </si>
  <si>
    <t>D</t>
    <phoneticPr fontId="2"/>
  </si>
  <si>
    <t>ft</t>
    <phoneticPr fontId="2"/>
  </si>
  <si>
    <t>b</t>
    <phoneticPr fontId="2"/>
  </si>
  <si>
    <t>c</t>
    <phoneticPr fontId="2"/>
  </si>
  <si>
    <t>d</t>
    <phoneticPr fontId="2"/>
  </si>
  <si>
    <t>j=d・7/8</t>
    <phoneticPr fontId="2"/>
  </si>
  <si>
    <t>M=ft・at・j</t>
    <phoneticPr fontId="2"/>
  </si>
  <si>
    <r>
      <t>(N/mm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</si>
  <si>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t>(mm)</t>
    <phoneticPr fontId="2"/>
  </si>
  <si>
    <t>(kNm)</t>
    <phoneticPr fontId="2"/>
  </si>
  <si>
    <t>dｔ</t>
    <phoneticPr fontId="2"/>
  </si>
  <si>
    <t>fc:</t>
    <phoneticPr fontId="2"/>
  </si>
  <si>
    <t>n:</t>
    <phoneticPr fontId="2"/>
  </si>
  <si>
    <t>D:</t>
    <phoneticPr fontId="2"/>
  </si>
  <si>
    <t>d:</t>
    <phoneticPr fontId="2"/>
  </si>
  <si>
    <t>at:</t>
    <phoneticPr fontId="2"/>
  </si>
  <si>
    <t>ac:</t>
    <phoneticPr fontId="2"/>
  </si>
  <si>
    <t>④:</t>
    <phoneticPr fontId="2"/>
  </si>
  <si>
    <t>⑤:</t>
    <phoneticPr fontId="2"/>
  </si>
  <si>
    <t>dt:</t>
    <phoneticPr fontId="2"/>
  </si>
  <si>
    <t>dt=①+②+③+④</t>
    <phoneticPr fontId="2"/>
  </si>
  <si>
    <t>dc:</t>
    <phoneticPr fontId="2"/>
  </si>
  <si>
    <t>dc=⑤+⑥+⑦+⑧</t>
    <phoneticPr fontId="2"/>
  </si>
  <si>
    <t>γ:</t>
    <phoneticPr fontId="2"/>
  </si>
  <si>
    <t>xn:</t>
    <phoneticPr fontId="2"/>
  </si>
  <si>
    <t>pt:</t>
    <phoneticPr fontId="2"/>
  </si>
  <si>
    <t>Pt=at/(B・d)</t>
    <phoneticPr fontId="2"/>
  </si>
  <si>
    <t>ptb:</t>
    <phoneticPr fontId="2"/>
  </si>
  <si>
    <t>Qsuo:</t>
    <phoneticPr fontId="2"/>
  </si>
  <si>
    <t>M/(Qd)は3以上の場合には3とし，1以下のときは1とする。</t>
    <rPh sb="8" eb="10">
      <t>イジョウ</t>
    </rPh>
    <rPh sb="11" eb="13">
      <t>バアイ</t>
    </rPh>
    <rPh sb="20" eb="22">
      <t>イカ</t>
    </rPh>
    <phoneticPr fontId="2"/>
  </si>
  <si>
    <t>ku:</t>
    <phoneticPr fontId="2"/>
  </si>
  <si>
    <t>有効せいｄによる係数でｄ≧400㎜のときは0.72で一定。</t>
    <rPh sb="0" eb="2">
      <t>ユウコウ</t>
    </rPh>
    <rPh sb="8" eb="10">
      <t>ケイスウ</t>
    </rPh>
    <rPh sb="26" eb="28">
      <t>イッテイ</t>
    </rPh>
    <phoneticPr fontId="2"/>
  </si>
  <si>
    <t>有孔梁のせん断終局強度で,孔まわり部分で決まる値。</t>
    <rPh sb="0" eb="3">
      <t>ユウコウバリ</t>
    </rPh>
    <rPh sb="6" eb="7">
      <t>ダン</t>
    </rPh>
    <rPh sb="7" eb="11">
      <t>シュウキョクキョウド</t>
    </rPh>
    <rPh sb="13" eb="14">
      <t>アナ</t>
    </rPh>
    <rPh sb="17" eb="19">
      <t>ブブン</t>
    </rPh>
    <rPh sb="20" eb="21">
      <t>キ</t>
    </rPh>
    <rPh sb="23" eb="24">
      <t>アタイ</t>
    </rPh>
    <phoneticPr fontId="2"/>
  </si>
  <si>
    <t>kp:</t>
    <phoneticPr fontId="2"/>
  </si>
  <si>
    <r>
      <t>引張鉄筋比ptによる係数でkp=2.36(pt)</t>
    </r>
    <r>
      <rPr>
        <vertAlign val="superscript"/>
        <sz val="9"/>
        <rFont val="ＭＳ Ｐ明朝"/>
        <family val="1"/>
        <charset val="128"/>
      </rPr>
      <t>0.23</t>
    </r>
    <rPh sb="0" eb="2">
      <t>ヒッパ</t>
    </rPh>
    <rPh sb="2" eb="4">
      <t>テッキン</t>
    </rPh>
    <rPh sb="4" eb="5">
      <t>ヒ</t>
    </rPh>
    <rPh sb="10" eb="12">
      <t>ケイスウ</t>
    </rPh>
    <phoneticPr fontId="2"/>
  </si>
  <si>
    <t>b:</t>
    <phoneticPr fontId="2"/>
  </si>
  <si>
    <t>梁幅</t>
    <rPh sb="0" eb="1">
      <t>ハリ</t>
    </rPh>
    <rPh sb="1" eb="2">
      <t>ハバ</t>
    </rPh>
    <phoneticPr fontId="2"/>
  </si>
  <si>
    <t>梁有効せい</t>
    <rPh sb="0" eb="1">
      <t>ハリ</t>
    </rPh>
    <rPh sb="1" eb="3">
      <t>ユウコウ</t>
    </rPh>
    <phoneticPr fontId="2"/>
  </si>
  <si>
    <t>応力中心距離</t>
    <rPh sb="0" eb="2">
      <t>オウリョク</t>
    </rPh>
    <rPh sb="2" eb="4">
      <t>チュウシン</t>
    </rPh>
    <rPh sb="4" eb="6">
      <t>キョリ</t>
    </rPh>
    <phoneticPr fontId="2"/>
  </si>
  <si>
    <t>Fc:</t>
    <phoneticPr fontId="2"/>
  </si>
  <si>
    <t>コンクリートの設計基準強度</t>
    <rPh sb="7" eb="9">
      <t>セッケイ</t>
    </rPh>
    <rPh sb="9" eb="11">
      <t>キジュン</t>
    </rPh>
    <rPh sb="11" eb="13">
      <t>キョウド</t>
    </rPh>
    <phoneticPr fontId="2"/>
  </si>
  <si>
    <t>H:</t>
    <phoneticPr fontId="2"/>
  </si>
  <si>
    <t>円孔の直径〔正方形孔の場合は，その外接円の直径〕</t>
    <rPh sb="0" eb="1">
      <t>エン</t>
    </rPh>
    <rPh sb="1" eb="2">
      <t>アナ</t>
    </rPh>
    <rPh sb="3" eb="5">
      <t>チョッケイ</t>
    </rPh>
    <rPh sb="6" eb="9">
      <t>セイホウケイ</t>
    </rPh>
    <rPh sb="9" eb="10">
      <t>アナ</t>
    </rPh>
    <rPh sb="11" eb="13">
      <t>バアイ</t>
    </rPh>
    <rPh sb="17" eb="19">
      <t>ガイセツ</t>
    </rPh>
    <rPh sb="19" eb="20">
      <t>エン</t>
    </rPh>
    <rPh sb="21" eb="23">
      <t>チョッケイ</t>
    </rPh>
    <phoneticPr fontId="2"/>
  </si>
  <si>
    <t>H/D≦1/3</t>
    <phoneticPr fontId="2"/>
  </si>
  <si>
    <t>ｐs:</t>
    <phoneticPr fontId="2"/>
  </si>
  <si>
    <t>孔周囲の補強筋比</t>
    <rPh sb="0" eb="1">
      <t>アナ</t>
    </rPh>
    <rPh sb="1" eb="3">
      <t>シュウイ</t>
    </rPh>
    <rPh sb="4" eb="6">
      <t>ホキョウ</t>
    </rPh>
    <rPh sb="6" eb="7">
      <t>キン</t>
    </rPh>
    <rPh sb="7" eb="8">
      <t>ヒ</t>
    </rPh>
    <phoneticPr fontId="2"/>
  </si>
  <si>
    <t>ps=Σ(as(sinθ+cosθ))/(bc)</t>
    <phoneticPr fontId="2"/>
  </si>
  <si>
    <t>as:</t>
    <phoneticPr fontId="2"/>
  </si>
  <si>
    <t>孔の片側cの範囲内にある1組の補強筋の断面積</t>
    <rPh sb="0" eb="1">
      <t>アナ</t>
    </rPh>
    <rPh sb="2" eb="4">
      <t>カタガワ</t>
    </rPh>
    <rPh sb="6" eb="8">
      <t>ハンイ</t>
    </rPh>
    <rPh sb="8" eb="9">
      <t>ナイ</t>
    </rPh>
    <rPh sb="13" eb="14">
      <t>クミ</t>
    </rPh>
    <rPh sb="15" eb="17">
      <t>ホキョウ</t>
    </rPh>
    <rPh sb="17" eb="18">
      <t>キン</t>
    </rPh>
    <rPh sb="19" eb="22">
      <t>ダンメンセキ</t>
    </rPh>
    <phoneticPr fontId="2"/>
  </si>
  <si>
    <t>孔周囲補強筋が材軸となす角度</t>
    <rPh sb="0" eb="1">
      <t>アナ</t>
    </rPh>
    <rPh sb="1" eb="3">
      <t>シュウイ</t>
    </rPh>
    <rPh sb="3" eb="5">
      <t>ホキョウ</t>
    </rPh>
    <rPh sb="5" eb="6">
      <t>キン</t>
    </rPh>
    <rPh sb="7" eb="9">
      <t>ザイジク</t>
    </rPh>
    <rPh sb="12" eb="14">
      <t>カクド</t>
    </rPh>
    <phoneticPr fontId="2"/>
  </si>
  <si>
    <t>Fc</t>
    <phoneticPr fontId="2"/>
  </si>
  <si>
    <t>2-D13</t>
    <phoneticPr fontId="2"/>
  </si>
  <si>
    <t>3-D19</t>
    <phoneticPr fontId="2"/>
  </si>
  <si>
    <t>α</t>
    <phoneticPr fontId="2"/>
  </si>
  <si>
    <t>pw</t>
    <phoneticPr fontId="2"/>
  </si>
  <si>
    <t>wft</t>
    <phoneticPr fontId="2"/>
  </si>
  <si>
    <t>b</t>
    <phoneticPr fontId="2"/>
  </si>
  <si>
    <t>fs</t>
    <phoneticPr fontId="2"/>
  </si>
  <si>
    <t>wft</t>
    <phoneticPr fontId="2"/>
  </si>
  <si>
    <t>②</t>
    <phoneticPr fontId="2"/>
  </si>
  <si>
    <t>①+②</t>
    <phoneticPr fontId="2"/>
  </si>
  <si>
    <t>2-D13</t>
    <phoneticPr fontId="2"/>
  </si>
  <si>
    <t>主筋外径</t>
    <rPh sb="0" eb="2">
      <t>シュキン</t>
    </rPh>
    <rPh sb="2" eb="3">
      <t>ガイ</t>
    </rPh>
    <rPh sb="3" eb="4">
      <t>ケイ</t>
    </rPh>
    <phoneticPr fontId="2"/>
  </si>
  <si>
    <t>あばら筋</t>
    <rPh sb="3" eb="4">
      <t>キン</t>
    </rPh>
    <phoneticPr fontId="2"/>
  </si>
  <si>
    <t>D13</t>
    <phoneticPr fontId="2"/>
  </si>
  <si>
    <t>D16</t>
    <phoneticPr fontId="2"/>
  </si>
  <si>
    <t>D19</t>
    <phoneticPr fontId="2"/>
  </si>
  <si>
    <t>D29</t>
    <phoneticPr fontId="2"/>
  </si>
  <si>
    <t>主筋位置</t>
    <rPh sb="0" eb="2">
      <t>シュキン</t>
    </rPh>
    <rPh sb="2" eb="4">
      <t>イチ</t>
    </rPh>
    <phoneticPr fontId="2"/>
  </si>
  <si>
    <t>1段目</t>
    <rPh sb="1" eb="2">
      <t>ダン</t>
    </rPh>
    <rPh sb="2" eb="3">
      <t>メ</t>
    </rPh>
    <phoneticPr fontId="2"/>
  </si>
  <si>
    <t>2段目</t>
    <rPh sb="1" eb="3">
      <t>ダンメ</t>
    </rPh>
    <phoneticPr fontId="2"/>
  </si>
  <si>
    <t>あばら外径</t>
    <rPh sb="3" eb="4">
      <t>ガイ</t>
    </rPh>
    <rPh sb="4" eb="5">
      <t>ケイ</t>
    </rPh>
    <phoneticPr fontId="2"/>
  </si>
  <si>
    <t>2-D22</t>
    <phoneticPr fontId="2"/>
  </si>
  <si>
    <t>Qal</t>
    <phoneticPr fontId="2"/>
  </si>
  <si>
    <t>@ (mm)</t>
    <phoneticPr fontId="2"/>
  </si>
  <si>
    <r>
      <t>aw 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</si>
  <si>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t>pw</t>
    <phoneticPr fontId="2"/>
  </si>
  <si>
    <t>aw/(b・x)</t>
    <phoneticPr fontId="2"/>
  </si>
  <si>
    <t>(kN)</t>
    <phoneticPr fontId="2"/>
  </si>
  <si>
    <t>①かぶり</t>
    <phoneticPr fontId="2"/>
  </si>
  <si>
    <t>M</t>
    <phoneticPr fontId="2"/>
  </si>
  <si>
    <t>Q</t>
    <phoneticPr fontId="2"/>
  </si>
  <si>
    <t>d</t>
    <phoneticPr fontId="2"/>
  </si>
  <si>
    <t>α</t>
    <phoneticPr fontId="2"/>
  </si>
  <si>
    <t>H</t>
    <phoneticPr fontId="2"/>
  </si>
  <si>
    <t>D</t>
    <phoneticPr fontId="2"/>
  </si>
  <si>
    <t>H/D</t>
    <phoneticPr fontId="2"/>
  </si>
  <si>
    <t>①</t>
    <phoneticPr fontId="2"/>
  </si>
  <si>
    <t>M/(Qd)</t>
    <phoneticPr fontId="2"/>
  </si>
  <si>
    <t>(mm)</t>
    <phoneticPr fontId="2"/>
  </si>
  <si>
    <t>Qao</t>
    <phoneticPr fontId="2"/>
  </si>
  <si>
    <t>Q/Qao</t>
    <phoneticPr fontId="2"/>
  </si>
  <si>
    <r>
      <t>as1(mm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</si>
  <si>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r>
      <t>as2(mm</t>
    </r>
    <r>
      <rPr>
        <vertAlign val="superscript"/>
        <sz val="9"/>
        <rFont val="ＭＳ Ｐ明朝"/>
        <family val="1"/>
        <charset val="128"/>
      </rPr>
      <t>2</t>
    </r>
    <r>
      <rPr>
        <sz val="9"/>
        <rFont val="ＭＳ Ｐ明朝"/>
        <family val="1"/>
        <charset val="128"/>
      </rPr>
      <t>)</t>
    </r>
    <phoneticPr fontId="2"/>
  </si>
  <si>
    <t>孔際あばら筋</t>
    <rPh sb="0" eb="1">
      <t>アナ</t>
    </rPh>
    <rPh sb="1" eb="2">
      <t>ギワ</t>
    </rPh>
    <rPh sb="5" eb="6">
      <t>キン</t>
    </rPh>
    <phoneticPr fontId="2"/>
  </si>
  <si>
    <t>ななめ補強筋</t>
    <rPh sb="3" eb="5">
      <t>ホキョウ</t>
    </rPh>
    <rPh sb="5" eb="6">
      <t>キン</t>
    </rPh>
    <phoneticPr fontId="2"/>
  </si>
  <si>
    <t>梁の貫通補強　（孔周囲の長期許容せん断力）</t>
    <rPh sb="0" eb="1">
      <t>ハリ</t>
    </rPh>
    <rPh sb="2" eb="4">
      <t>カンツウ</t>
    </rPh>
    <rPh sb="4" eb="6">
      <t>ホキョウ</t>
    </rPh>
    <rPh sb="8" eb="9">
      <t>アナ</t>
    </rPh>
    <rPh sb="9" eb="11">
      <t>シュウイ</t>
    </rPh>
    <rPh sb="12" eb="14">
      <t>チョウキ</t>
    </rPh>
    <rPh sb="14" eb="16">
      <t>キョヨウ</t>
    </rPh>
    <rPh sb="18" eb="19">
      <t>ダン</t>
    </rPh>
    <rPh sb="19" eb="20">
      <t>リョク</t>
    </rPh>
    <phoneticPr fontId="2"/>
  </si>
  <si>
    <t>ps</t>
    <phoneticPr fontId="2"/>
  </si>
  <si>
    <t>∴孔際にD13のあばら筋を配置し，特別な補強はしない。</t>
    <rPh sb="1" eb="2">
      <t>アナ</t>
    </rPh>
    <rPh sb="2" eb="3">
      <t>ギワ</t>
    </rPh>
    <rPh sb="11" eb="12">
      <t>キン</t>
    </rPh>
    <rPh sb="13" eb="15">
      <t>ハイチ</t>
    </rPh>
    <rPh sb="17" eb="19">
      <t>トクベツ</t>
    </rPh>
    <rPh sb="20" eb="22">
      <t>ホキョウ</t>
    </rPh>
    <phoneticPr fontId="2"/>
  </si>
  <si>
    <t>ft</t>
    <phoneticPr fontId="2"/>
  </si>
  <si>
    <t>Fc</t>
    <phoneticPr fontId="2"/>
  </si>
  <si>
    <t>wft</t>
    <phoneticPr fontId="2"/>
  </si>
  <si>
    <t>fs</t>
    <phoneticPr fontId="2"/>
  </si>
  <si>
    <t>b</t>
    <phoneticPr fontId="2"/>
  </si>
  <si>
    <t>D</t>
    <phoneticPr fontId="2"/>
  </si>
  <si>
    <t>d</t>
    <phoneticPr fontId="2"/>
  </si>
  <si>
    <t>j=d・7/8</t>
    <phoneticPr fontId="2"/>
  </si>
  <si>
    <t>M=ft・at・j</t>
    <phoneticPr fontId="2"/>
  </si>
  <si>
    <t>(mm)</t>
    <phoneticPr fontId="2"/>
  </si>
  <si>
    <t>(kNm)</t>
    <phoneticPr fontId="2"/>
  </si>
  <si>
    <t>pw</t>
    <phoneticPr fontId="2"/>
  </si>
  <si>
    <t>Qal</t>
    <phoneticPr fontId="2"/>
  </si>
  <si>
    <t>use</t>
    <phoneticPr fontId="2"/>
  </si>
  <si>
    <t>@ (mm)</t>
    <phoneticPr fontId="2"/>
  </si>
  <si>
    <t>(kN)</t>
    <phoneticPr fontId="2"/>
  </si>
  <si>
    <t>①かぶり</t>
    <phoneticPr fontId="2"/>
  </si>
  <si>
    <t>(mm)</t>
    <phoneticPr fontId="2"/>
  </si>
  <si>
    <t>Q</t>
    <phoneticPr fontId="2"/>
  </si>
  <si>
    <t>d</t>
    <phoneticPr fontId="2"/>
  </si>
  <si>
    <t>α</t>
    <phoneticPr fontId="2"/>
  </si>
  <si>
    <t>H</t>
    <phoneticPr fontId="2"/>
  </si>
  <si>
    <t>H/D</t>
    <phoneticPr fontId="2"/>
  </si>
  <si>
    <t>①</t>
    <phoneticPr fontId="2"/>
  </si>
  <si>
    <t>M/(Qd)</t>
    <phoneticPr fontId="2"/>
  </si>
  <si>
    <t>ps</t>
    <phoneticPr fontId="2"/>
  </si>
  <si>
    <t>②</t>
    <phoneticPr fontId="2"/>
  </si>
  <si>
    <t>①+②</t>
    <phoneticPr fontId="2"/>
  </si>
  <si>
    <t>Qsuo:</t>
    <phoneticPr fontId="2"/>
  </si>
  <si>
    <t>N</t>
    <phoneticPr fontId="2"/>
  </si>
  <si>
    <t>ku:</t>
    <phoneticPr fontId="2"/>
  </si>
  <si>
    <t>kp:</t>
    <phoneticPr fontId="2"/>
  </si>
  <si>
    <t>b:</t>
    <phoneticPr fontId="2"/>
  </si>
  <si>
    <t>d:</t>
    <phoneticPr fontId="2"/>
  </si>
  <si>
    <t>Fc:</t>
    <phoneticPr fontId="2"/>
  </si>
  <si>
    <t>H:</t>
    <phoneticPr fontId="2"/>
  </si>
  <si>
    <t>H/D≦1/3</t>
    <phoneticPr fontId="2"/>
  </si>
  <si>
    <t>ｐs:</t>
    <phoneticPr fontId="2"/>
  </si>
  <si>
    <t>ps=Σ(as(sinθ+cosθ))/(bc)</t>
    <phoneticPr fontId="2"/>
  </si>
  <si>
    <t>as:</t>
    <phoneticPr fontId="2"/>
  </si>
  <si>
    <t>θ:</t>
    <phoneticPr fontId="2"/>
  </si>
  <si>
    <t>pt:</t>
    <phoneticPr fontId="2"/>
  </si>
  <si>
    <t>fc:</t>
    <phoneticPr fontId="2"/>
  </si>
  <si>
    <t>d:</t>
    <phoneticPr fontId="2"/>
  </si>
  <si>
    <t>dt=①+②+③+④</t>
    <phoneticPr fontId="2"/>
  </si>
  <si>
    <t>dc=⑤+⑥+⑦+⑧</t>
    <phoneticPr fontId="2"/>
  </si>
  <si>
    <t>2-D10</t>
    <phoneticPr fontId="2"/>
  </si>
  <si>
    <t>-</t>
    <phoneticPr fontId="2"/>
  </si>
  <si>
    <t>mm</t>
    <phoneticPr fontId="2"/>
  </si>
  <si>
    <t>ft=</t>
    <phoneticPr fontId="2"/>
  </si>
  <si>
    <t>0.5*wft*(ps-0.002)</t>
    <phoneticPr fontId="2"/>
  </si>
  <si>
    <t>4-D10</t>
    <phoneticPr fontId="2"/>
  </si>
  <si>
    <t>α*fs(1-H/D)</t>
    <phoneticPr fontId="2"/>
  </si>
  <si>
    <t>aw/(b*x)</t>
    <phoneticPr fontId="2"/>
  </si>
  <si>
    <r>
      <t>(N/mm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</si>
  <si>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at1(mm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</si>
  <si>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at2(mm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</si>
  <si>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</si>
  <si>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aw 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</si>
  <si>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as1(mm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</si>
  <si>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as2(mm</t>
    </r>
    <r>
      <rPr>
        <vertAlign val="superscript"/>
        <sz val="9"/>
        <rFont val="Meiryo UI"/>
        <family val="3"/>
        <charset val="128"/>
      </rPr>
      <t>2</t>
    </r>
    <r>
      <rPr>
        <sz val="9"/>
        <rFont val="Meiryo UI"/>
        <family val="3"/>
        <charset val="128"/>
      </rPr>
      <t>)</t>
    </r>
    <phoneticPr fontId="2"/>
  </si>
  <si>
    <r>
      <t>引張鉄筋比ptによる係数でkp=2.36(pt)</t>
    </r>
    <r>
      <rPr>
        <vertAlign val="superscript"/>
        <sz val="9"/>
        <rFont val="Meiryo UI"/>
        <family val="3"/>
        <charset val="128"/>
      </rPr>
      <t>0.23</t>
    </r>
    <rPh sb="0" eb="2">
      <t>ヒッパ</t>
    </rPh>
    <rPh sb="2" eb="4">
      <t>テッキン</t>
    </rPh>
    <rPh sb="4" eb="5">
      <t>ヒ</t>
    </rPh>
    <rPh sb="10" eb="12">
      <t>ケイスウ</t>
    </rPh>
    <phoneticPr fontId="2"/>
  </si>
  <si>
    <t>L</t>
    <phoneticPr fontId="2"/>
  </si>
  <si>
    <t>(mm)</t>
    <phoneticPr fontId="2"/>
  </si>
  <si>
    <t>hh</t>
    <phoneticPr fontId="2"/>
  </si>
  <si>
    <t>6-D10</t>
    <phoneticPr fontId="2"/>
  </si>
  <si>
    <t>2-D13</t>
    <phoneticPr fontId="2"/>
  </si>
  <si>
    <t>2/3*α*fs*(1-H/D)</t>
    <phoneticPr fontId="2"/>
  </si>
  <si>
    <t>②C2</t>
    <phoneticPr fontId="2"/>
  </si>
  <si>
    <t>②C1</t>
    <phoneticPr fontId="2"/>
  </si>
  <si>
    <t>梁の貫通補強　（孔周囲の短期許容せん断力）</t>
    <rPh sb="0" eb="1">
      <t>ハリ</t>
    </rPh>
    <rPh sb="2" eb="4">
      <t>カンツウ</t>
    </rPh>
    <rPh sb="4" eb="6">
      <t>ホキョウ</t>
    </rPh>
    <rPh sb="8" eb="9">
      <t>アナ</t>
    </rPh>
    <rPh sb="9" eb="11">
      <t>シュウイ</t>
    </rPh>
    <rPh sb="12" eb="14">
      <t>タンキ</t>
    </rPh>
    <rPh sb="14" eb="16">
      <t>キョヨウ</t>
    </rPh>
    <rPh sb="18" eb="19">
      <t>ダン</t>
    </rPh>
    <rPh sb="19" eb="20">
      <t>リョク</t>
    </rPh>
    <phoneticPr fontId="2"/>
  </si>
  <si>
    <t>梁の貫通補強　（孔周囲の大地震に対する安全性の目的とした検討）</t>
    <rPh sb="0" eb="1">
      <t>ハリ</t>
    </rPh>
    <rPh sb="2" eb="4">
      <t>カンツウ</t>
    </rPh>
    <rPh sb="4" eb="6">
      <t>ホキョウ</t>
    </rPh>
    <rPh sb="8" eb="9">
      <t>アナ</t>
    </rPh>
    <rPh sb="9" eb="11">
      <t>シュウイ</t>
    </rPh>
    <rPh sb="12" eb="15">
      <t>ダイジシン</t>
    </rPh>
    <rPh sb="16" eb="17">
      <t>タイ</t>
    </rPh>
    <rPh sb="19" eb="22">
      <t>アンゼンセイ</t>
    </rPh>
    <rPh sb="23" eb="25">
      <t>モクテキ</t>
    </rPh>
    <rPh sb="28" eb="30">
      <t>ケントウ</t>
    </rPh>
    <phoneticPr fontId="2"/>
  </si>
  <si>
    <t>主筋:</t>
    <rPh sb="0" eb="2">
      <t>シュキン</t>
    </rPh>
    <phoneticPr fontId="2"/>
  </si>
  <si>
    <t>あばら筋:</t>
    <rPh sb="3" eb="4">
      <t>キン</t>
    </rPh>
    <phoneticPr fontId="2"/>
  </si>
  <si>
    <t>SD295</t>
    <phoneticPr fontId="2"/>
  </si>
  <si>
    <t>コンクリート強度,Fc=</t>
    <rPh sb="6" eb="8">
      <t>キョウド</t>
    </rPh>
    <phoneticPr fontId="2"/>
  </si>
  <si>
    <r>
      <t>(N/mm</t>
    </r>
    <r>
      <rPr>
        <vertAlign val="superscript"/>
        <sz val="9"/>
        <rFont val="Meiryo UI"/>
        <family val="3"/>
        <charset val="128"/>
      </rPr>
      <t>3)</t>
    </r>
    <r>
      <rPr>
        <sz val="9"/>
        <rFont val="Meiryo UI"/>
        <family val="3"/>
        <charset val="128"/>
      </rPr>
      <t/>
    </r>
  </si>
  <si>
    <t>梁の内法寸法、L’＝</t>
    <rPh sb="0" eb="1">
      <t>ハリ</t>
    </rPh>
    <rPh sb="2" eb="4">
      <t>ウチノリ</t>
    </rPh>
    <rPh sb="4" eb="6">
      <t>スンポウ</t>
    </rPh>
    <phoneticPr fontId="2"/>
  </si>
  <si>
    <t>D=</t>
    <phoneticPr fontId="2"/>
  </si>
  <si>
    <t>円形孔の直径,H=</t>
    <rPh sb="0" eb="2">
      <t>エンケイ</t>
    </rPh>
    <rPh sb="2" eb="3">
      <t>アナ</t>
    </rPh>
    <rPh sb="4" eb="6">
      <t>チョッケイ</t>
    </rPh>
    <phoneticPr fontId="2"/>
  </si>
  <si>
    <t>梁断面,B=</t>
    <rPh sb="0" eb="1">
      <t>ハリ</t>
    </rPh>
    <rPh sb="1" eb="3">
      <t>ダンメン</t>
    </rPh>
    <phoneticPr fontId="2"/>
  </si>
  <si>
    <t>端部梁主筋,左端上端金：</t>
    <rPh sb="0" eb="2">
      <t>タンブ</t>
    </rPh>
    <rPh sb="2" eb="3">
      <t>ハリ</t>
    </rPh>
    <rPh sb="3" eb="5">
      <t>シュキン</t>
    </rPh>
    <rPh sb="6" eb="7">
      <t>ヒダリ</t>
    </rPh>
    <rPh sb="7" eb="8">
      <t>タン</t>
    </rPh>
    <rPh sb="8" eb="10">
      <t>ウワバ</t>
    </rPh>
    <rPh sb="10" eb="11">
      <t>キン</t>
    </rPh>
    <phoneticPr fontId="2"/>
  </si>
  <si>
    <t>at=</t>
    <phoneticPr fontId="2"/>
  </si>
  <si>
    <t>右端下端金：</t>
    <rPh sb="0" eb="1">
      <t>ミギ</t>
    </rPh>
    <rPh sb="1" eb="2">
      <t>タン</t>
    </rPh>
    <rPh sb="2" eb="4">
      <t>シタバ</t>
    </rPh>
    <rPh sb="4" eb="5">
      <t>キン</t>
    </rPh>
    <phoneticPr fontId="2"/>
  </si>
  <si>
    <t>5/4-D29</t>
    <phoneticPr fontId="2"/>
  </si>
  <si>
    <t>SD390</t>
    <phoneticPr fontId="2"/>
  </si>
  <si>
    <t>中央部梁主筋,下端金：</t>
    <rPh sb="0" eb="2">
      <t>チュウオウ</t>
    </rPh>
    <rPh sb="2" eb="3">
      <t>ブ</t>
    </rPh>
    <rPh sb="3" eb="4">
      <t>ハリ</t>
    </rPh>
    <rPh sb="4" eb="6">
      <t>シュキン</t>
    </rPh>
    <rPh sb="7" eb="9">
      <t>シタバ</t>
    </rPh>
    <rPh sb="9" eb="10">
      <t>キン</t>
    </rPh>
    <phoneticPr fontId="2"/>
  </si>
  <si>
    <t>5-D29</t>
    <phoneticPr fontId="2"/>
  </si>
  <si>
    <t>mm2</t>
    <phoneticPr fontId="2"/>
  </si>
  <si>
    <t>1段目　</t>
    <rPh sb="1" eb="3">
      <t>ダンメ</t>
    </rPh>
    <phoneticPr fontId="2"/>
  </si>
  <si>
    <t>dt1=</t>
    <phoneticPr fontId="2"/>
  </si>
  <si>
    <t>2段目　</t>
    <rPh sb="1" eb="3">
      <t>ダンメ</t>
    </rPh>
    <phoneticPr fontId="2"/>
  </si>
  <si>
    <t>dt2=</t>
  </si>
  <si>
    <t>dt=</t>
    <phoneticPr fontId="2"/>
  </si>
  <si>
    <t>かぶり=</t>
    <phoneticPr fontId="2"/>
  </si>
  <si>
    <t>主筋中心までの距離,左端：</t>
    <rPh sb="0" eb="2">
      <t>シュキン</t>
    </rPh>
    <rPh sb="2" eb="4">
      <t>チュウシン</t>
    </rPh>
    <rPh sb="7" eb="9">
      <t>キョリ</t>
    </rPh>
    <rPh sb="10" eb="11">
      <t>ヒダリ</t>
    </rPh>
    <rPh sb="11" eb="12">
      <t>タン</t>
    </rPh>
    <phoneticPr fontId="2"/>
  </si>
  <si>
    <t>右端：</t>
    <rPh sb="0" eb="1">
      <t>ミギ</t>
    </rPh>
    <rPh sb="1" eb="2">
      <t>タン</t>
    </rPh>
    <phoneticPr fontId="2"/>
  </si>
  <si>
    <t>梁端部の有効せい,左端：</t>
    <rPh sb="0" eb="1">
      <t>ハリ</t>
    </rPh>
    <rPh sb="1" eb="3">
      <t>タンブ</t>
    </rPh>
    <rPh sb="4" eb="6">
      <t>ユウコウ</t>
    </rPh>
    <rPh sb="9" eb="10">
      <t>ヒダリ</t>
    </rPh>
    <rPh sb="10" eb="11">
      <t>タン</t>
    </rPh>
    <phoneticPr fontId="2"/>
  </si>
  <si>
    <t>中央：</t>
    <rPh sb="0" eb="2">
      <t>チュウオウ</t>
    </rPh>
    <phoneticPr fontId="2"/>
  </si>
  <si>
    <t>d=D-dt=</t>
    <phoneticPr fontId="2"/>
  </si>
  <si>
    <t>あばら筋：</t>
    <rPh sb="3" eb="4">
      <t>キン</t>
    </rPh>
    <phoneticPr fontId="2"/>
  </si>
  <si>
    <t>4-D16</t>
    <phoneticPr fontId="2"/>
  </si>
  <si>
    <t>スラブ筋：</t>
    <rPh sb="3" eb="4">
      <t>キン</t>
    </rPh>
    <phoneticPr fontId="2"/>
  </si>
  <si>
    <t>D13@200</t>
    <phoneticPr fontId="2"/>
  </si>
  <si>
    <t>有効幅</t>
    <rPh sb="0" eb="3">
      <t>ユウコウハバ</t>
    </rPh>
    <phoneticPr fontId="2"/>
  </si>
  <si>
    <t>梁下端からスラブ筋：</t>
    <rPh sb="0" eb="1">
      <t>ハリ</t>
    </rPh>
    <rPh sb="1" eb="3">
      <t>シタバ</t>
    </rPh>
    <rPh sb="8" eb="9">
      <t>キン</t>
    </rPh>
    <phoneticPr fontId="2"/>
  </si>
  <si>
    <t>dts=</t>
    <phoneticPr fontId="2"/>
  </si>
  <si>
    <t>1.設計条件</t>
    <rPh sb="2" eb="4">
      <t>セッケイ</t>
    </rPh>
    <rPh sb="4" eb="6">
      <t>ジョウケン</t>
    </rPh>
    <phoneticPr fontId="2"/>
  </si>
  <si>
    <t>2.無孔部分のせん断設計</t>
    <rPh sb="2" eb="3">
      <t>ム</t>
    </rPh>
    <rPh sb="3" eb="4">
      <t>アナ</t>
    </rPh>
    <rPh sb="4" eb="6">
      <t>ブブン</t>
    </rPh>
    <rPh sb="9" eb="10">
      <t>ダン</t>
    </rPh>
    <rPh sb="10" eb="12">
      <t>セッケイ</t>
    </rPh>
    <phoneticPr fontId="2"/>
  </si>
  <si>
    <t>端部の長期せん断力：</t>
    <rPh sb="0" eb="2">
      <t>タンブ</t>
    </rPh>
    <rPh sb="3" eb="5">
      <t>チョウキ</t>
    </rPh>
    <rPh sb="7" eb="8">
      <t>ダン</t>
    </rPh>
    <rPh sb="8" eb="9">
      <t>リョク</t>
    </rPh>
    <phoneticPr fontId="2"/>
  </si>
  <si>
    <t>左QL=</t>
    <rPh sb="0" eb="1">
      <t>ヒダリ</t>
    </rPh>
    <phoneticPr fontId="2"/>
  </si>
  <si>
    <t>kN</t>
    <phoneticPr fontId="2"/>
  </si>
  <si>
    <t>右QL=</t>
    <rPh sb="0" eb="1">
      <t>ミギ</t>
    </rPh>
    <phoneticPr fontId="2"/>
  </si>
  <si>
    <t>上端部の曲げ強度：</t>
    <rPh sb="0" eb="1">
      <t>ウエ</t>
    </rPh>
    <rPh sb="1" eb="3">
      <t>タンブ</t>
    </rPh>
    <rPh sb="4" eb="5">
      <t>マ</t>
    </rPh>
    <rPh sb="6" eb="8">
      <t>キョウド</t>
    </rPh>
    <phoneticPr fontId="2"/>
  </si>
  <si>
    <t>主筋</t>
    <rPh sb="0" eb="2">
      <t>シュキン</t>
    </rPh>
    <phoneticPr fontId="2"/>
  </si>
  <si>
    <t>スラブ筋</t>
    <rPh sb="3" eb="4">
      <t>キン</t>
    </rPh>
    <phoneticPr fontId="2"/>
  </si>
  <si>
    <t>d=D-dts=</t>
    <phoneticPr fontId="2"/>
  </si>
  <si>
    <t>Mu=Mum+Mus=</t>
    <phoneticPr fontId="2"/>
  </si>
  <si>
    <t>ｋNm</t>
    <phoneticPr fontId="2"/>
  </si>
  <si>
    <t>下端部の曲げ強度：</t>
    <rPh sb="0" eb="1">
      <t>シタ</t>
    </rPh>
    <rPh sb="1" eb="3">
      <t>タンブ</t>
    </rPh>
    <rPh sb="4" eb="5">
      <t>マ</t>
    </rPh>
    <rPh sb="6" eb="8">
      <t>キョウド</t>
    </rPh>
    <phoneticPr fontId="2"/>
  </si>
  <si>
    <t>設計用せん断力：</t>
    <rPh sb="0" eb="2">
      <t>セッケイ</t>
    </rPh>
    <rPh sb="2" eb="3">
      <t>ヨウ</t>
    </rPh>
    <rPh sb="5" eb="6">
      <t>ダン</t>
    </rPh>
    <rPh sb="6" eb="7">
      <t>リョク</t>
    </rPh>
    <phoneticPr fontId="2"/>
  </si>
  <si>
    <t>余裕度,α=</t>
    <rPh sb="0" eb="3">
      <t>ヨユウド</t>
    </rPh>
    <phoneticPr fontId="2"/>
  </si>
  <si>
    <t>Qud=QL+α*∑Mu/L'=</t>
    <phoneticPr fontId="2"/>
  </si>
  <si>
    <t>QL=</t>
    <phoneticPr fontId="2"/>
  </si>
  <si>
    <t>端部引張鉄筋比：</t>
    <rPh sb="0" eb="2">
      <t>タンブ</t>
    </rPh>
    <rPh sb="2" eb="4">
      <t>インチョウ</t>
    </rPh>
    <rPh sb="4" eb="6">
      <t>テッキン</t>
    </rPh>
    <rPh sb="6" eb="7">
      <t>ヒ</t>
    </rPh>
    <phoneticPr fontId="2"/>
  </si>
  <si>
    <t>pt=at/(B*d)=</t>
    <phoneticPr fontId="2"/>
  </si>
  <si>
    <t>あばら筋比：</t>
    <rPh sb="3" eb="4">
      <t>キン</t>
    </rPh>
    <rPh sb="4" eb="5">
      <t>ヒ</t>
    </rPh>
    <phoneticPr fontId="2"/>
  </si>
  <si>
    <t>pw=aw/(B*@)=</t>
    <phoneticPr fontId="2"/>
  </si>
  <si>
    <t>@=</t>
    <phoneticPr fontId="2"/>
  </si>
  <si>
    <t>M/(Q*d)=</t>
    <phoneticPr fontId="2"/>
  </si>
  <si>
    <t>∴M/(Q*d)=</t>
    <phoneticPr fontId="2"/>
  </si>
  <si>
    <t>Qwu=</t>
    <phoneticPr fontId="2"/>
  </si>
  <si>
    <t>終局せん断強度：</t>
    <rPh sb="0" eb="2">
      <t>シュウキョク</t>
    </rPh>
    <rPh sb="4" eb="5">
      <t>ダン</t>
    </rPh>
    <rPh sb="5" eb="7">
      <t>キョウド</t>
    </rPh>
    <phoneticPr fontId="2"/>
  </si>
  <si>
    <t>σ＝</t>
    <phoneticPr fontId="2"/>
  </si>
  <si>
    <t>σw＝</t>
    <phoneticPr fontId="2"/>
  </si>
  <si>
    <t>Mum=0.9*at*1.1*σ*d=</t>
    <phoneticPr fontId="2"/>
  </si>
  <si>
    <t>Mus=0.9*at*1.*σ*d=</t>
    <phoneticPr fontId="2"/>
  </si>
  <si>
    <t>Mu=0.9*at*1.1*σ*d=</t>
    <phoneticPr fontId="2"/>
  </si>
  <si>
    <t>{0.092*ku*kp*(Fc+18)/(M/(Q*D)+0.12)+0.85*(pw*σw)^0.5}*b*j</t>
    <phoneticPr fontId="2"/>
  </si>
  <si>
    <t>有効せいによる係数</t>
    <rPh sb="0" eb="2">
      <t>ユウコウ</t>
    </rPh>
    <rPh sb="7" eb="9">
      <t>ケイスウ</t>
    </rPh>
    <phoneticPr fontId="2"/>
  </si>
  <si>
    <t>ku=</t>
    <phoneticPr fontId="2"/>
  </si>
  <si>
    <t>引張鉄筋比よる係数</t>
    <rPh sb="0" eb="2">
      <t>インチョウ</t>
    </rPh>
    <rPh sb="2" eb="4">
      <t>テッキン</t>
    </rPh>
    <rPh sb="4" eb="5">
      <t>ヒ</t>
    </rPh>
    <rPh sb="7" eb="9">
      <t>ケイスウ</t>
    </rPh>
    <phoneticPr fontId="2"/>
  </si>
  <si>
    <t>kp=2.36*pt^0.23=</t>
    <phoneticPr fontId="2"/>
  </si>
  <si>
    <t>j=7/8*d=</t>
    <phoneticPr fontId="2"/>
  </si>
  <si>
    <t>Qwu/Qud=</t>
    <phoneticPr fontId="2"/>
  </si>
  <si>
    <t>mm</t>
    <phoneticPr fontId="2"/>
  </si>
  <si>
    <t>2.孔部分のせん断設計</t>
    <rPh sb="2" eb="3">
      <t>アナ</t>
    </rPh>
    <rPh sb="3" eb="5">
      <t>ブブン</t>
    </rPh>
    <rPh sb="8" eb="9">
      <t>ダン</t>
    </rPh>
    <rPh sb="9" eb="11">
      <t>セッケイ</t>
    </rPh>
    <phoneticPr fontId="2"/>
  </si>
  <si>
    <t>孔下側</t>
    <rPh sb="0" eb="1">
      <t>アナ</t>
    </rPh>
    <rPh sb="1" eb="3">
      <t>シタガワ</t>
    </rPh>
    <phoneticPr fontId="2"/>
  </si>
  <si>
    <t>c1=D-dt-dh=</t>
    <phoneticPr fontId="2"/>
  </si>
  <si>
    <t>中心位置,Hd=</t>
    <rPh sb="0" eb="2">
      <t>チュウシン</t>
    </rPh>
    <rPh sb="2" eb="4">
      <t>イチ</t>
    </rPh>
    <phoneticPr fontId="2"/>
  </si>
  <si>
    <t>Hd=</t>
    <phoneticPr fontId="2"/>
  </si>
  <si>
    <t>c2=D-dt-dh=</t>
  </si>
  <si>
    <t>孔上側</t>
    <rPh sb="0" eb="1">
      <t>アナ</t>
    </rPh>
    <rPh sb="1" eb="2">
      <t>ウエ</t>
    </rPh>
    <phoneticPr fontId="2"/>
  </si>
  <si>
    <t>孔周囲補強筋の有効範囲：</t>
    <rPh sb="0" eb="1">
      <t>アナ</t>
    </rPh>
    <rPh sb="1" eb="3">
      <t>シュウイ</t>
    </rPh>
    <rPh sb="3" eb="6">
      <t>ホキョウキン</t>
    </rPh>
    <rPh sb="7" eb="9">
      <t>ユウコウ</t>
    </rPh>
    <rPh sb="9" eb="11">
      <t>ハンイ</t>
    </rPh>
    <phoneticPr fontId="2"/>
  </si>
  <si>
    <t>c1範囲の補強筋：</t>
    <rPh sb="2" eb="4">
      <t>ハンイ</t>
    </rPh>
    <rPh sb="5" eb="7">
      <t>ホキョウ</t>
    </rPh>
    <rPh sb="7" eb="8">
      <t>キン</t>
    </rPh>
    <phoneticPr fontId="2"/>
  </si>
  <si>
    <t>縦筋</t>
    <rPh sb="0" eb="2">
      <t>タテキン</t>
    </rPh>
    <phoneticPr fontId="2"/>
  </si>
  <si>
    <t>4-D16</t>
    <phoneticPr fontId="2"/>
  </si>
  <si>
    <t>SD295</t>
    <phoneticPr fontId="2"/>
  </si>
  <si>
    <t>斜め筋</t>
    <rPh sb="0" eb="1">
      <t>ナナ</t>
    </rPh>
    <rPh sb="2" eb="3">
      <t>キン</t>
    </rPh>
    <phoneticPr fontId="2"/>
  </si>
  <si>
    <t>2-D29</t>
    <phoneticPr fontId="2"/>
  </si>
  <si>
    <t>SD390</t>
    <phoneticPr fontId="2"/>
  </si>
  <si>
    <t>c1範囲の補強筋比：</t>
    <rPh sb="2" eb="4">
      <t>ハンイ</t>
    </rPh>
    <rPh sb="5" eb="7">
      <t>ホキョウ</t>
    </rPh>
    <rPh sb="7" eb="8">
      <t>キン</t>
    </rPh>
    <rPh sb="8" eb="9">
      <t>ヒ</t>
    </rPh>
    <phoneticPr fontId="2"/>
  </si>
  <si>
    <t>atv=</t>
    <phoneticPr fontId="2"/>
  </si>
  <si>
    <t>atd=</t>
    <phoneticPr fontId="2"/>
  </si>
  <si>
    <t>c2範囲の補強筋：</t>
    <rPh sb="2" eb="4">
      <t>ハンイ</t>
    </rPh>
    <rPh sb="5" eb="7">
      <t>ホキョウ</t>
    </rPh>
    <rPh sb="7" eb="8">
      <t>キン</t>
    </rPh>
    <phoneticPr fontId="2"/>
  </si>
  <si>
    <t>c2範囲の補強筋比：</t>
    <rPh sb="2" eb="4">
      <t>ハンイ</t>
    </rPh>
    <rPh sb="5" eb="7">
      <t>ホキョウ</t>
    </rPh>
    <rPh sb="7" eb="8">
      <t>キン</t>
    </rPh>
    <rPh sb="8" eb="9">
      <t>ヒ</t>
    </rPh>
    <phoneticPr fontId="2"/>
  </si>
  <si>
    <t>ps2=atv+atd*(sin45+cos45)/(b*j)=</t>
    <phoneticPr fontId="2"/>
  </si>
  <si>
    <t>ps1=atv+atd*(sin45+cos45)/(b*j)=</t>
    <phoneticPr fontId="2"/>
  </si>
  <si>
    <t>ps=min(ps1,ps2)=</t>
    <phoneticPr fontId="2"/>
  </si>
  <si>
    <t>中央部引張鉄筋比：</t>
    <rPh sb="0" eb="2">
      <t>チュウオウ</t>
    </rPh>
    <rPh sb="2" eb="3">
      <t>ブ</t>
    </rPh>
    <rPh sb="3" eb="5">
      <t>インチョウ</t>
    </rPh>
    <rPh sb="5" eb="7">
      <t>テッキン</t>
    </rPh>
    <rPh sb="7" eb="8">
      <t>ヒ</t>
    </rPh>
    <phoneticPr fontId="2"/>
  </si>
  <si>
    <t>引張鉄筋比よる係数:</t>
    <rPh sb="0" eb="2">
      <t>インチョウ</t>
    </rPh>
    <rPh sb="2" eb="4">
      <t>テッキン</t>
    </rPh>
    <rPh sb="4" eb="5">
      <t>ヒ</t>
    </rPh>
    <rPh sb="7" eb="9">
      <t>ケイスウ</t>
    </rPh>
    <phoneticPr fontId="2"/>
  </si>
  <si>
    <t>{0.092*ku*kp*(Fc+18)/(M/(Q*D)+0.12)</t>
    <phoneticPr fontId="2"/>
  </si>
  <si>
    <t>H/D=</t>
    <phoneticPr fontId="2"/>
  </si>
  <si>
    <t>*(1-1.61*H/D)+0.85*(∑psi*σw)^0.5}*b*j</t>
    <phoneticPr fontId="2"/>
  </si>
  <si>
    <t>c=</t>
    <phoneticPr fontId="2"/>
  </si>
  <si>
    <t>j=</t>
    <phoneticPr fontId="2"/>
  </si>
  <si>
    <t>ps1v=</t>
    <phoneticPr fontId="2"/>
  </si>
  <si>
    <t>ps1d=</t>
    <phoneticPr fontId="2"/>
  </si>
  <si>
    <t>ps1v*σ=</t>
    <phoneticPr fontId="2"/>
  </si>
  <si>
    <t>ps1d*σ=</t>
    <phoneticPr fontId="2"/>
  </si>
  <si>
    <t>∑ps1*σ=</t>
    <phoneticPr fontId="2"/>
  </si>
  <si>
    <t>SD345</t>
    <phoneticPr fontId="2"/>
  </si>
  <si>
    <t>FG11A</t>
    <phoneticPr fontId="2"/>
  </si>
  <si>
    <t>b*j*{α*fs*(1-H/D)+0.5*wft*(ps-0.002)}</t>
    <phoneticPr fontId="2"/>
  </si>
  <si>
    <t>fs=</t>
    <phoneticPr fontId="2"/>
  </si>
  <si>
    <t>長期曲げモーメント：</t>
    <rPh sb="0" eb="2">
      <t>チョウキ</t>
    </rPh>
    <rPh sb="2" eb="3">
      <t>マ</t>
    </rPh>
    <phoneticPr fontId="2"/>
  </si>
  <si>
    <t>α=4/{M/(Q*d)}=</t>
    <phoneticPr fontId="2"/>
  </si>
  <si>
    <t>梁の貫通補強</t>
    <rPh sb="0" eb="1">
      <t>ハリ</t>
    </rPh>
    <rPh sb="2" eb="4">
      <t>カンツウ</t>
    </rPh>
    <rPh sb="4" eb="6">
      <t>ホキョウ</t>
    </rPh>
    <phoneticPr fontId="2"/>
  </si>
  <si>
    <t>長期</t>
    <rPh sb="0" eb="2">
      <t>チョウキ</t>
    </rPh>
    <phoneticPr fontId="2"/>
  </si>
  <si>
    <t>（孔周囲の長期に対する安全性の目的とした検討）</t>
    <phoneticPr fontId="2"/>
  </si>
  <si>
    <t>長期せん断強度：</t>
    <rPh sb="0" eb="2">
      <t>チョウキ</t>
    </rPh>
    <rPh sb="4" eb="5">
      <t>ダン</t>
    </rPh>
    <rPh sb="5" eb="7">
      <t>キョウド</t>
    </rPh>
    <phoneticPr fontId="2"/>
  </si>
  <si>
    <t>b*j*{2/3*α*fs+0.5*wft*(ps-0.002)}</t>
    <phoneticPr fontId="2"/>
  </si>
  <si>
    <t>左Qs=</t>
    <rPh sb="0" eb="1">
      <t>ヒダリ</t>
    </rPh>
    <phoneticPr fontId="2"/>
  </si>
  <si>
    <t>右Qs=</t>
    <rPh sb="0" eb="1">
      <t>ミギ</t>
    </rPh>
    <phoneticPr fontId="2"/>
  </si>
  <si>
    <t>Qs=</t>
    <phoneticPr fontId="2"/>
  </si>
  <si>
    <t>Ms=</t>
    <phoneticPr fontId="2"/>
  </si>
  <si>
    <t>中央Ms=</t>
    <rPh sb="0" eb="2">
      <t>チュウオウ</t>
    </rPh>
    <phoneticPr fontId="2"/>
  </si>
  <si>
    <t>端部Ms=</t>
    <rPh sb="0" eb="2">
      <t>タンブ</t>
    </rPh>
    <phoneticPr fontId="2"/>
  </si>
  <si>
    <t>QaS=</t>
    <phoneticPr fontId="2"/>
  </si>
  <si>
    <t>QaS/Qs=</t>
    <phoneticPr fontId="2"/>
  </si>
  <si>
    <t>Qaos=</t>
    <phoneticPr fontId="2"/>
  </si>
  <si>
    <t>Qaos/Qs=</t>
    <phoneticPr fontId="2"/>
  </si>
  <si>
    <t>wft=</t>
    <phoneticPr fontId="2"/>
  </si>
  <si>
    <t>D10@100</t>
    <phoneticPr fontId="2"/>
  </si>
  <si>
    <t>{0.092*ku*kp*(Fc+18)/{M/(Q*D)+0.12)}+0.85*(pw*σw)^0.5}*b*j</t>
    <phoneticPr fontId="2"/>
  </si>
  <si>
    <t>4-D13</t>
    <phoneticPr fontId="2"/>
  </si>
  <si>
    <t>2-D19</t>
    <phoneticPr fontId="2"/>
  </si>
  <si>
    <t>D10@200</t>
    <phoneticPr fontId="2"/>
  </si>
  <si>
    <t>D10@100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</si>
</sst>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 * #,##0_ ;_ * \-#,##0_ ;_ * &quot;-&quot;_ ;_ @_ "/>
    <numFmt numFmtId="176" formatCode="0.000_ "/>
    <numFmt numFmtId="177" formatCode="0.00_ "/>
    <numFmt numFmtId="178" formatCode="0.0_ "/>
    <numFmt numFmtId="179" formatCode="0_ "/>
    <numFmt numFmtId="180" formatCode="0.0000_ "/>
    <numFmt numFmtId="181" formatCode="0;_렀"/>
    <numFmt numFmtId="182" formatCode="0.000;_렀"/>
    <numFmt numFmtId="183" formatCode="0.000"/>
    <numFmt numFmtId="184" formatCode="0.00000_ "/>
    <numFmt numFmtId="185" formatCode="0.00;_렀"/>
    <numFmt numFmtId="186" formatCode="0.000000"/>
    <numFmt numFmtId="187" formatCode="0.0"/>
    <numFmt numFmtId="188" formatCode="0.0000"/>
    <numFmt numFmtId="189" formatCode="0.00000"/>
  </numFmts>
  <fonts count="11" x14ac:knownFonts="1">
    <font>
      <sz val="10"/>
      <name val="ＭＳ Ｐ明朝"/>
      <family val="1"/>
      <charset val="128"/>
    </font>
    <font>
      <sz val="10"/>
      <name val="ＭＳ Ｐ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vertAlign val="superscript"/>
      <sz val="9"/>
      <name val="ＭＳ Ｐ明朝"/>
      <family val="1"/>
      <charset val="128"/>
    </font>
    <font>
      <sz val="9"/>
      <color indexed="12"/>
      <name val="ＭＳ Ｐ明朝"/>
      <family val="1"/>
      <charset val="128"/>
    </font>
    <font>
      <sz val="9"/>
      <name val="Meiryo UI"/>
      <family val="3"/>
      <charset val="128"/>
    </font>
    <font>
      <vertAlign val="superscript"/>
      <sz val="9"/>
      <name val="Meiryo UI"/>
      <family val="3"/>
      <charset val="128"/>
    </font>
    <font>
      <sz val="9"/>
      <color indexed="12"/>
      <name val="Meiryo UI"/>
      <family val="3"/>
      <charset val="128"/>
    </font>
    <font>
      <sz val="10"/>
      <name val="Meiryo UI"/>
      <family val="3"/>
      <charset val="128"/>
    </font>
    <font>
      <sz val="9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36">
    <xf numFmtId="0" fontId="0" fillId="0" borderId="0" xfId="0">
      <alignment vertical="center"/>
    </xf>
    <xf numFmtId="0" fontId="3" fillId="0" borderId="0" xfId="0" applyFont="1">
      <alignment vertical="center"/>
    </xf>
    <xf numFmtId="179" fontId="3" fillId="0" borderId="0" xfId="0" applyNumberFormat="1" applyFo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9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3" fillId="0" borderId="8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" xfId="0" applyFont="1" applyBorder="1">
      <alignment vertical="center"/>
    </xf>
    <xf numFmtId="179" fontId="5" fillId="0" borderId="4" xfId="0" applyNumberFormat="1" applyFont="1" applyBorder="1" applyAlignment="1">
      <alignment horizontal="center" vertical="center"/>
    </xf>
    <xf numFmtId="181" fontId="3" fillId="0" borderId="4" xfId="0" applyNumberFormat="1" applyFont="1" applyBorder="1" applyAlignment="1">
      <alignment horizontal="center" vertical="center"/>
    </xf>
    <xf numFmtId="179" fontId="1" fillId="0" borderId="4" xfId="0" applyNumberFormat="1" applyFont="1" applyBorder="1" applyAlignment="1">
      <alignment horizontal="center" vertical="center"/>
    </xf>
    <xf numFmtId="41" fontId="3" fillId="0" borderId="0" xfId="0" applyNumberFormat="1" applyFont="1">
      <alignment vertical="center"/>
    </xf>
    <xf numFmtId="179" fontId="3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181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 shrinkToFit="1"/>
    </xf>
    <xf numFmtId="179" fontId="3" fillId="0" borderId="16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shrinkToFit="1"/>
    </xf>
    <xf numFmtId="0" fontId="3" fillId="0" borderId="25" xfId="0" applyFont="1" applyBorder="1" applyAlignment="1">
      <alignment horizontal="center" vertical="center"/>
    </xf>
    <xf numFmtId="180" fontId="3" fillId="0" borderId="26" xfId="0" applyNumberFormat="1" applyFont="1" applyBorder="1">
      <alignment vertical="center"/>
    </xf>
    <xf numFmtId="0" fontId="3" fillId="0" borderId="12" xfId="0" applyFont="1" applyBorder="1" applyAlignment="1">
      <alignment horizontal="center" vertical="center" shrinkToFit="1"/>
    </xf>
    <xf numFmtId="0" fontId="3" fillId="0" borderId="9" xfId="0" applyFont="1" applyBorder="1" applyAlignment="1">
      <alignment horizontal="center" vertical="center" shrinkToFit="1"/>
    </xf>
    <xf numFmtId="0" fontId="3" fillId="0" borderId="18" xfId="0" applyFont="1" applyBorder="1" applyAlignment="1">
      <alignment horizontal="center" vertical="center" shrinkToFit="1"/>
    </xf>
    <xf numFmtId="0" fontId="5" fillId="0" borderId="15" xfId="0" applyFont="1" applyBorder="1" applyAlignment="1">
      <alignment horizontal="center" vertical="center"/>
    </xf>
    <xf numFmtId="178" fontId="3" fillId="0" borderId="17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shrinkToFit="1"/>
    </xf>
    <xf numFmtId="179" fontId="3" fillId="0" borderId="21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179" fontId="3" fillId="0" borderId="7" xfId="0" applyNumberFormat="1" applyFont="1" applyBorder="1" applyAlignment="1">
      <alignment horizontal="center" vertical="center"/>
    </xf>
    <xf numFmtId="0" fontId="3" fillId="0" borderId="9" xfId="0" applyFont="1" applyBorder="1">
      <alignment vertical="center"/>
    </xf>
    <xf numFmtId="179" fontId="3" fillId="0" borderId="28" xfId="0" applyNumberFormat="1" applyFont="1" applyBorder="1">
      <alignment vertical="center"/>
    </xf>
    <xf numFmtId="179" fontId="5" fillId="0" borderId="11" xfId="0" applyNumberFormat="1" applyFont="1" applyBorder="1" applyAlignment="1">
      <alignment horizontal="center" vertical="center"/>
    </xf>
    <xf numFmtId="178" fontId="5" fillId="0" borderId="4" xfId="0" applyNumberFormat="1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8" xfId="0" applyNumberFormat="1" applyFont="1" applyBorder="1" applyAlignment="1">
      <alignment horizontal="center" vertical="center"/>
    </xf>
    <xf numFmtId="179" fontId="3" fillId="0" borderId="9" xfId="0" applyNumberFormat="1" applyFont="1" applyBorder="1" applyAlignment="1">
      <alignment horizontal="center" vertical="center"/>
    </xf>
    <xf numFmtId="179" fontId="3" fillId="0" borderId="29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79" fontId="5" fillId="0" borderId="9" xfId="0" applyNumberFormat="1" applyFont="1" applyBorder="1" applyAlignment="1">
      <alignment horizontal="center" vertical="center"/>
    </xf>
    <xf numFmtId="0" fontId="3" fillId="0" borderId="21" xfId="0" applyFont="1" applyBorder="1">
      <alignment vertical="center"/>
    </xf>
    <xf numFmtId="0" fontId="3" fillId="0" borderId="1" xfId="0" quotePrefix="1" applyFont="1" applyBorder="1" applyAlignment="1">
      <alignment horizontal="center" vertical="center" shrinkToFit="1"/>
    </xf>
    <xf numFmtId="182" fontId="3" fillId="0" borderId="11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8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9" fontId="5" fillId="0" borderId="3" xfId="0" applyNumberFormat="1" applyFont="1" applyBorder="1" applyAlignment="1">
      <alignment horizontal="center" vertical="center"/>
    </xf>
    <xf numFmtId="179" fontId="3" fillId="0" borderId="4" xfId="0" applyNumberFormat="1" applyFont="1" applyBorder="1">
      <alignment vertical="center"/>
    </xf>
    <xf numFmtId="176" fontId="5" fillId="0" borderId="4" xfId="0" applyNumberFormat="1" applyFont="1" applyBorder="1" applyAlignment="1">
      <alignment horizontal="center" vertical="center"/>
    </xf>
    <xf numFmtId="177" fontId="5" fillId="0" borderId="5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9" fontId="6" fillId="0" borderId="0" xfId="0" applyNumberFormat="1" applyFo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176" fontId="6" fillId="0" borderId="8" xfId="0" applyNumberFormat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179" fontId="8" fillId="0" borderId="4" xfId="0" applyNumberFormat="1" applyFont="1" applyBorder="1" applyAlignment="1">
      <alignment horizontal="center" vertical="center"/>
    </xf>
    <xf numFmtId="178" fontId="6" fillId="0" borderId="4" xfId="0" applyNumberFormat="1" applyFont="1" applyBorder="1" applyAlignment="1">
      <alignment horizontal="center" vertical="center"/>
    </xf>
    <xf numFmtId="179" fontId="6" fillId="0" borderId="4" xfId="0" applyNumberFormat="1" applyFont="1" applyBorder="1" applyAlignment="1">
      <alignment horizontal="center" vertical="center"/>
    </xf>
    <xf numFmtId="181" fontId="6" fillId="0" borderId="4" xfId="0" applyNumberFormat="1" applyFont="1" applyBorder="1" applyAlignment="1">
      <alignment horizontal="center" vertical="center"/>
    </xf>
    <xf numFmtId="179" fontId="6" fillId="0" borderId="5" xfId="0" applyNumberFormat="1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 shrinkToFit="1"/>
    </xf>
    <xf numFmtId="0" fontId="6" fillId="0" borderId="25" xfId="0" applyFont="1" applyBorder="1" applyAlignment="1">
      <alignment horizontal="center" vertical="center"/>
    </xf>
    <xf numFmtId="0" fontId="6" fillId="0" borderId="9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 shrinkToFit="1"/>
    </xf>
    <xf numFmtId="0" fontId="6" fillId="0" borderId="24" xfId="0" applyFont="1" applyBorder="1" applyAlignment="1">
      <alignment horizontal="center" vertical="center"/>
    </xf>
    <xf numFmtId="0" fontId="6" fillId="0" borderId="1" xfId="0" quotePrefix="1" applyFont="1" applyBorder="1" applyAlignment="1">
      <alignment horizontal="center" vertical="center" shrinkToFit="1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9" fontId="9" fillId="0" borderId="4" xfId="0" applyNumberFormat="1" applyFont="1" applyBorder="1" applyAlignment="1">
      <alignment horizontal="center" vertical="center"/>
    </xf>
    <xf numFmtId="179" fontId="6" fillId="0" borderId="21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79" fontId="6" fillId="0" borderId="7" xfId="0" applyNumberFormat="1" applyFont="1" applyBorder="1" applyAlignment="1">
      <alignment horizontal="center" vertical="center"/>
    </xf>
    <xf numFmtId="180" fontId="6" fillId="0" borderId="26" xfId="0" applyNumberFormat="1" applyFont="1" applyBorder="1">
      <alignment vertical="center"/>
    </xf>
    <xf numFmtId="179" fontId="6" fillId="0" borderId="28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0" fontId="8" fillId="0" borderId="0" xfId="0" applyFont="1" applyBorder="1" applyAlignment="1">
      <alignment horizontal="center" vertical="center"/>
    </xf>
    <xf numFmtId="179" fontId="6" fillId="0" borderId="0" xfId="0" applyNumberFormat="1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18" xfId="0" applyFont="1" applyBorder="1" applyAlignment="1">
      <alignment horizontal="center" vertical="center" shrinkToFit="1"/>
    </xf>
    <xf numFmtId="0" fontId="6" fillId="0" borderId="13" xfId="0" applyFont="1" applyBorder="1" applyAlignment="1">
      <alignment horizontal="center" vertical="center" shrinkToFit="1"/>
    </xf>
    <xf numFmtId="0" fontId="6" fillId="0" borderId="14" xfId="0" applyFont="1" applyBorder="1" applyAlignment="1">
      <alignment horizontal="center" vertical="center" shrinkToFit="1"/>
    </xf>
    <xf numFmtId="0" fontId="8" fillId="0" borderId="15" xfId="0" applyFont="1" applyBorder="1" applyAlignment="1">
      <alignment horizontal="center" vertical="center"/>
    </xf>
    <xf numFmtId="179" fontId="6" fillId="0" borderId="16" xfId="0" applyNumberFormat="1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78" fontId="6" fillId="0" borderId="17" xfId="0" applyNumberFormat="1" applyFont="1" applyBorder="1" applyAlignment="1">
      <alignment horizontal="center" vertical="center"/>
    </xf>
    <xf numFmtId="179" fontId="6" fillId="0" borderId="8" xfId="0" applyNumberFormat="1" applyFont="1" applyBorder="1" applyAlignment="1">
      <alignment horizontal="center" vertical="center"/>
    </xf>
    <xf numFmtId="179" fontId="6" fillId="0" borderId="9" xfId="0" applyNumberFormat="1" applyFont="1" applyBorder="1" applyAlignment="1">
      <alignment horizontal="center" vertical="center"/>
    </xf>
    <xf numFmtId="179" fontId="6" fillId="0" borderId="29" xfId="0" applyNumberFormat="1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79" fontId="8" fillId="0" borderId="11" xfId="0" applyNumberFormat="1" applyFont="1" applyBorder="1" applyAlignment="1">
      <alignment horizontal="center" vertical="center"/>
    </xf>
    <xf numFmtId="178" fontId="8" fillId="0" borderId="4" xfId="0" applyNumberFormat="1" applyFont="1" applyBorder="1" applyAlignment="1">
      <alignment horizontal="center" vertical="center"/>
    </xf>
    <xf numFmtId="176" fontId="6" fillId="0" borderId="4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181" fontId="6" fillId="0" borderId="0" xfId="0" applyNumberFormat="1" applyFont="1" applyBorder="1" applyAlignment="1">
      <alignment horizontal="center" vertical="center"/>
    </xf>
    <xf numFmtId="179" fontId="8" fillId="0" borderId="9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79" fontId="6" fillId="0" borderId="4" xfId="0" applyNumberFormat="1" applyFont="1" applyBorder="1">
      <alignment vertical="center"/>
    </xf>
    <xf numFmtId="0" fontId="6" fillId="0" borderId="4" xfId="0" applyFont="1" applyBorder="1">
      <alignment vertical="center"/>
    </xf>
    <xf numFmtId="184" fontId="8" fillId="0" borderId="4" xfId="0" applyNumberFormat="1" applyFont="1" applyBorder="1" applyAlignment="1">
      <alignment horizontal="center" vertical="center"/>
    </xf>
    <xf numFmtId="177" fontId="8" fillId="0" borderId="5" xfId="0" applyNumberFormat="1" applyFont="1" applyBorder="1" applyAlignment="1">
      <alignment horizontal="center"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8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82" fontId="6" fillId="0" borderId="11" xfId="0" applyNumberFormat="1" applyFont="1" applyBorder="1" applyAlignment="1">
      <alignment horizontal="center" vertical="center"/>
    </xf>
    <xf numFmtId="177" fontId="6" fillId="0" borderId="4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9" fillId="0" borderId="0" xfId="0" applyFont="1">
      <alignment vertical="center"/>
    </xf>
    <xf numFmtId="41" fontId="6" fillId="0" borderId="0" xfId="0" applyNumberFormat="1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179" fontId="6" fillId="0" borderId="27" xfId="0" applyNumberFormat="1" applyFont="1" applyBorder="1" applyAlignment="1">
      <alignment horizontal="center" vertical="center"/>
    </xf>
    <xf numFmtId="184" fontId="8" fillId="0" borderId="21" xfId="0" applyNumberFormat="1" applyFont="1" applyBorder="1" applyAlignment="1">
      <alignment horizontal="center" vertical="center"/>
    </xf>
    <xf numFmtId="185" fontId="6" fillId="0" borderId="4" xfId="0" applyNumberFormat="1" applyFont="1" applyBorder="1" applyAlignment="1">
      <alignment horizontal="center" vertical="center"/>
    </xf>
    <xf numFmtId="177" fontId="8" fillId="0" borderId="0" xfId="0" applyNumberFormat="1" applyFont="1" applyBorder="1" applyAlignment="1">
      <alignment horizontal="center" vertical="center"/>
    </xf>
    <xf numFmtId="186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179" fontId="6" fillId="0" borderId="36" xfId="0" applyNumberFormat="1" applyFont="1" applyBorder="1" applyAlignment="1">
      <alignment horizontal="center" vertical="center"/>
    </xf>
    <xf numFmtId="176" fontId="6" fillId="0" borderId="21" xfId="0" applyNumberFormat="1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180" fontId="6" fillId="0" borderId="21" xfId="0" applyNumberFormat="1" applyFont="1" applyBorder="1">
      <alignment vertical="center"/>
    </xf>
    <xf numFmtId="179" fontId="6" fillId="0" borderId="5" xfId="0" applyNumberFormat="1" applyFont="1" applyBorder="1">
      <alignment vertical="center"/>
    </xf>
    <xf numFmtId="0" fontId="6" fillId="0" borderId="6" xfId="0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vertical="center" shrinkToFit="1"/>
    </xf>
    <xf numFmtId="0" fontId="6" fillId="0" borderId="0" xfId="0" applyFont="1" applyBorder="1" applyAlignment="1">
      <alignment horizontal="right" vertical="center"/>
    </xf>
    <xf numFmtId="0" fontId="6" fillId="0" borderId="0" xfId="0" applyFont="1" applyAlignment="1">
      <alignment horizontal="left" vertical="center"/>
    </xf>
    <xf numFmtId="176" fontId="6" fillId="0" borderId="0" xfId="0" applyNumberFormat="1" applyFont="1" applyAlignment="1">
      <alignment horizontal="right" vertical="center"/>
    </xf>
    <xf numFmtId="176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87" fontId="6" fillId="0" borderId="0" xfId="0" applyNumberFormat="1" applyFont="1" applyAlignment="1">
      <alignment horizontal="center" vertical="center"/>
    </xf>
    <xf numFmtId="178" fontId="6" fillId="0" borderId="0" xfId="0" applyNumberFormat="1" applyFont="1">
      <alignment vertical="center"/>
    </xf>
    <xf numFmtId="187" fontId="6" fillId="0" borderId="0" xfId="0" applyNumberFormat="1" applyFont="1" applyBorder="1" applyAlignment="1">
      <alignment horizontal="center" vertical="center"/>
    </xf>
    <xf numFmtId="188" fontId="6" fillId="0" borderId="0" xfId="0" applyNumberFormat="1" applyFont="1" applyAlignment="1">
      <alignment horizontal="left" vertical="center"/>
    </xf>
    <xf numFmtId="176" fontId="6" fillId="0" borderId="0" xfId="0" quotePrefix="1" applyNumberFormat="1" applyFont="1" applyAlignment="1">
      <alignment horizontal="righ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left" vertical="center"/>
    </xf>
    <xf numFmtId="187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right" vertical="center"/>
    </xf>
    <xf numFmtId="178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83" fontId="6" fillId="0" borderId="0" xfId="0" applyNumberFormat="1" applyFont="1" applyAlignment="1">
      <alignment horizontal="center" vertical="center"/>
    </xf>
    <xf numFmtId="188" fontId="6" fillId="0" borderId="0" xfId="0" applyNumberFormat="1" applyFont="1" applyAlignment="1">
      <alignment horizontal="center" vertical="center"/>
    </xf>
    <xf numFmtId="189" fontId="6" fillId="0" borderId="0" xfId="0" applyNumberFormat="1" applyFont="1" applyAlignment="1">
      <alignment horizontal="right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9" fontId="10" fillId="0" borderId="0" xfId="0" applyNumberFormat="1" applyFont="1" applyAlignment="1">
      <alignment horizontal="center" vertical="center"/>
    </xf>
    <xf numFmtId="183" fontId="6" fillId="0" borderId="0" xfId="0" applyNumberFormat="1" applyFont="1" applyAlignment="1">
      <alignment horizontal="left" vertical="center"/>
    </xf>
    <xf numFmtId="187" fontId="9" fillId="0" borderId="0" xfId="0" applyNumberFormat="1" applyFont="1" applyAlignment="1">
      <alignment horizontal="left" vertical="center"/>
    </xf>
    <xf numFmtId="2" fontId="9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left" vertical="center"/>
    </xf>
    <xf numFmtId="18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 shrinkToFit="1"/>
    </xf>
    <xf numFmtId="1" fontId="10" fillId="0" borderId="0" xfId="0" applyNumberFormat="1" applyFont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9" fillId="0" borderId="25" xfId="0" applyFont="1" applyBorder="1" applyAlignment="1">
      <alignment vertical="center"/>
    </xf>
    <xf numFmtId="0" fontId="9" fillId="0" borderId="34" xfId="0" applyFont="1" applyBorder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0" fillId="0" borderId="25" xfId="0" applyBorder="1" applyAlignment="1">
      <alignment vertical="center"/>
    </xf>
    <xf numFmtId="0" fontId="0" fillId="0" borderId="34" xfId="0" applyBorder="1" applyAlignment="1">
      <alignment vertical="center"/>
    </xf>
    <xf numFmtId="0" fontId="5" fillId="0" borderId="32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 shrinkToFit="1"/>
    </xf>
    <xf numFmtId="0" fontId="6" fillId="0" borderId="37" xfId="0" applyFont="1" applyBorder="1" applyAlignment="1">
      <alignment horizontal="center" vertical="center" shrinkToFit="1"/>
    </xf>
    <xf numFmtId="176" fontId="8" fillId="0" borderId="38" xfId="0" applyNumberFormat="1" applyFont="1" applyBorder="1" applyAlignment="1">
      <alignment horizontal="center" vertical="center" shrinkToFit="1"/>
    </xf>
    <xf numFmtId="176" fontId="8" fillId="0" borderId="39" xfId="0" applyNumberFormat="1" applyFont="1" applyBorder="1" applyAlignment="1">
      <alignment horizontal="center" vertical="center" shrinkToFit="1"/>
    </xf>
    <xf numFmtId="179" fontId="6" fillId="0" borderId="22" xfId="0" applyNumberFormat="1" applyFont="1" applyBorder="1" applyAlignment="1">
      <alignment horizontal="center" vertical="center"/>
    </xf>
    <xf numFmtId="179" fontId="6" fillId="0" borderId="35" xfId="0" applyNumberFormat="1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176" fontId="6" fillId="0" borderId="23" xfId="0" applyNumberFormat="1" applyFont="1" applyBorder="1" applyAlignment="1">
      <alignment horizontal="center" vertical="center"/>
    </xf>
    <xf numFmtId="176" fontId="6" fillId="0" borderId="37" xfId="0" applyNumberFormat="1" applyFont="1" applyBorder="1" applyAlignment="1">
      <alignment horizontal="center" vertical="center"/>
    </xf>
    <xf numFmtId="179" fontId="8" fillId="0" borderId="22" xfId="0" applyNumberFormat="1" applyFont="1" applyBorder="1" applyAlignment="1">
      <alignment horizontal="center" vertical="center" shrinkToFit="1"/>
    </xf>
    <xf numFmtId="179" fontId="8" fillId="0" borderId="35" xfId="0" applyNumberFormat="1" applyFont="1" applyBorder="1" applyAlignment="1">
      <alignment horizontal="center" vertical="center" shrinkToFit="1"/>
    </xf>
    <xf numFmtId="177" fontId="8" fillId="0" borderId="38" xfId="0" applyNumberFormat="1" applyFont="1" applyBorder="1" applyAlignment="1">
      <alignment horizontal="center" vertical="center" shrinkToFit="1"/>
    </xf>
    <xf numFmtId="177" fontId="8" fillId="0" borderId="39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486833</xdr:colOff>
      <xdr:row>25</xdr:row>
      <xdr:rowOff>127000</xdr:rowOff>
    </xdr:from>
    <xdr:to>
      <xdr:col>11</xdr:col>
      <xdr:colOff>438150</xdr:colOff>
      <xdr:row>60</xdr:row>
      <xdr:rowOff>116417</xdr:rowOff>
    </xdr:to>
    <xdr:pic>
      <xdr:nvPicPr>
        <xdr:cNvPr id="13345" name="Picture 1" descr="img-520103255-0001">
          <a:extLst>
            <a:ext uri="{FF2B5EF4-FFF2-40B4-BE49-F238E27FC236}">
              <a16:creationId xmlns:a16="http://schemas.microsoft.com/office/drawing/2014/main" id="{B8259BE3-F3DD-4F13-BFF4-41CF2F494E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">
          <a:off x="660400" y="3208867"/>
          <a:ext cx="5198533" cy="54779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486833</xdr:colOff>
      <xdr:row>22</xdr:row>
      <xdr:rowOff>127000</xdr:rowOff>
    </xdr:from>
    <xdr:to>
      <xdr:col>11</xdr:col>
      <xdr:colOff>436033</xdr:colOff>
      <xdr:row>61</xdr:row>
      <xdr:rowOff>110067</xdr:rowOff>
    </xdr:to>
    <xdr:pic>
      <xdr:nvPicPr>
        <xdr:cNvPr id="11300" name="Picture 3" descr="img-520103255-0001">
          <a:extLst>
            <a:ext uri="{FF2B5EF4-FFF2-40B4-BE49-F238E27FC236}">
              <a16:creationId xmlns:a16="http://schemas.microsoft.com/office/drawing/2014/main" id="{75073E7A-B2DC-432C-A513-1C130488A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">
          <a:off x="660400" y="3208867"/>
          <a:ext cx="5198533" cy="547793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486833</xdr:colOff>
      <xdr:row>25</xdr:row>
      <xdr:rowOff>127000</xdr:rowOff>
    </xdr:from>
    <xdr:to>
      <xdr:col>11</xdr:col>
      <xdr:colOff>451907</xdr:colOff>
      <xdr:row>60</xdr:row>
      <xdr:rowOff>116417</xdr:rowOff>
    </xdr:to>
    <xdr:pic>
      <xdr:nvPicPr>
        <xdr:cNvPr id="2" name="Picture 1" descr="img-520103255-0001">
          <a:extLst>
            <a:ext uri="{FF2B5EF4-FFF2-40B4-BE49-F238E27FC236}">
              <a16:creationId xmlns:a16="http://schemas.microsoft.com/office/drawing/2014/main" id="{0F9DF75B-169A-4221-9BAC-B2BFCC4AFB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60000">
          <a:off x="667808" y="4432300"/>
          <a:ext cx="5473700" cy="57520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AppData/Roaming/Microsoft/AddIns/xfun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Bar"/>
      <sheetName val="Deck"/>
      <sheetName val="Xfunx"/>
      <sheetName val="Steel"/>
      <sheetName val="Data"/>
    </sheetNames>
    <definedNames>
      <definedName name="Bar"/>
    </defined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47B12-D942-4983-80A0-B9D92BD5089B}">
  <sheetPr codeName="Sheet21"/>
  <dimension ref="B2:R62"/>
  <sheetViews>
    <sheetView tabSelected="1" zoomScale="150" zoomScaleNormal="150" workbookViewId="0">
      <selection activeCell="F39" sqref="F39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58">
        <v>30</v>
      </c>
      <c r="F4" s="84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58" t="s">
        <v>257</v>
      </c>
      <c r="G5" s="166" t="s">
        <v>305</v>
      </c>
      <c r="H5" s="78" t="str">
        <f>RIGHT(E5,3)</f>
        <v>390</v>
      </c>
      <c r="I5" s="85" t="s">
        <v>226</v>
      </c>
      <c r="J5" s="78"/>
      <c r="K5" s="77" t="s">
        <v>140</v>
      </c>
      <c r="N5" s="79"/>
      <c r="P5" s="79"/>
    </row>
    <row r="6" spans="2:16" ht="13.5" x14ac:dyDescent="0.3">
      <c r="D6" s="151" t="s">
        <v>245</v>
      </c>
      <c r="E6" s="158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77" t="s">
        <v>138</v>
      </c>
      <c r="N6" s="79"/>
      <c r="P6" s="79"/>
    </row>
    <row r="7" spans="2:16" x14ac:dyDescent="0.3">
      <c r="D7" s="151" t="s">
        <v>249</v>
      </c>
      <c r="E7" s="158">
        <v>7915</v>
      </c>
      <c r="F7" s="77" t="s">
        <v>220</v>
      </c>
      <c r="G7" s="166"/>
      <c r="H7" s="78"/>
      <c r="I7" s="103"/>
      <c r="J7" s="78"/>
      <c r="N7" s="79"/>
      <c r="P7" s="79"/>
    </row>
    <row r="8" spans="2:16" x14ac:dyDescent="0.3">
      <c r="D8" s="151" t="s">
        <v>252</v>
      </c>
      <c r="E8" s="158">
        <v>500</v>
      </c>
      <c r="F8" s="152" t="s">
        <v>220</v>
      </c>
      <c r="G8" s="168" t="s">
        <v>250</v>
      </c>
      <c r="H8" s="103">
        <v>950</v>
      </c>
      <c r="I8" s="169" t="s">
        <v>220</v>
      </c>
      <c r="N8" s="79"/>
      <c r="P8" s="79"/>
    </row>
    <row r="9" spans="2:16" x14ac:dyDescent="0.3">
      <c r="D9" s="151" t="s">
        <v>251</v>
      </c>
      <c r="E9" s="158">
        <v>150</v>
      </c>
      <c r="F9" s="77" t="s">
        <v>220</v>
      </c>
      <c r="H9" s="166" t="s">
        <v>321</v>
      </c>
      <c r="I9" s="103">
        <f>950-425</f>
        <v>525</v>
      </c>
      <c r="J9" s="169" t="s">
        <v>317</v>
      </c>
      <c r="N9" s="79"/>
      <c r="P9" s="79"/>
    </row>
    <row r="10" spans="2:16" x14ac:dyDescent="0.3">
      <c r="D10" s="151" t="s">
        <v>253</v>
      </c>
      <c r="E10" s="158" t="s">
        <v>256</v>
      </c>
      <c r="F10" s="151" t="s">
        <v>254</v>
      </c>
      <c r="G10" s="103" cm="1">
        <f t="array" ref="G10">Barx(E10,"a")</f>
        <v>5778</v>
      </c>
      <c r="H10" s="78" t="s">
        <v>260</v>
      </c>
      <c r="I10" s="168" t="s">
        <v>266</v>
      </c>
      <c r="J10" s="158">
        <v>40</v>
      </c>
      <c r="K10" s="77" t="s">
        <v>220</v>
      </c>
      <c r="N10" s="79"/>
      <c r="P10" s="79"/>
    </row>
    <row r="11" spans="2:16" x14ac:dyDescent="0.3">
      <c r="D11" s="151" t="s">
        <v>255</v>
      </c>
      <c r="E11" s="158" t="s">
        <v>256</v>
      </c>
      <c r="F11" s="151" t="s">
        <v>254</v>
      </c>
      <c r="G11" s="103" cm="1">
        <f t="array" ref="G11">Barx(E11,"a")</f>
        <v>5778</v>
      </c>
      <c r="H11" s="78" t="s">
        <v>260</v>
      </c>
      <c r="I11" s="168" t="s">
        <v>266</v>
      </c>
      <c r="J11" s="158">
        <v>40</v>
      </c>
      <c r="K11" s="77" t="s">
        <v>220</v>
      </c>
      <c r="N11" s="79"/>
      <c r="P11" s="79"/>
    </row>
    <row r="12" spans="2:16" x14ac:dyDescent="0.3">
      <c r="D12" s="151" t="s">
        <v>258</v>
      </c>
      <c r="E12" s="158" t="s">
        <v>259</v>
      </c>
      <c r="F12" s="151" t="s">
        <v>254</v>
      </c>
      <c r="G12" s="103" cm="1">
        <f t="array" ref="G12">Barx(E12,"a")</f>
        <v>3210</v>
      </c>
      <c r="H12" s="78" t="s">
        <v>260</v>
      </c>
      <c r="I12" s="168" t="s">
        <v>266</v>
      </c>
      <c r="J12" s="158">
        <v>40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152.80000000000001</v>
      </c>
      <c r="K13" s="151" t="s">
        <v>265</v>
      </c>
      <c r="L13" s="173" cm="1">
        <f t="array" ref="L13">RC_dt_a(J10,K6,E10)</f>
        <v>109.30000000000001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152.80000000000001</v>
      </c>
      <c r="K14" s="151" t="s">
        <v>265</v>
      </c>
      <c r="L14" s="173" cm="1">
        <f t="array" ref="L14">RC_dt_a(J11,K6,E11)</f>
        <v>109.30000000000001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840.7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840.7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875.5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58" t="s">
        <v>273</v>
      </c>
      <c r="F19" s="151" t="s">
        <v>254</v>
      </c>
      <c r="G19" s="103" cm="1">
        <f t="array" ref="G19">Barx(E19,"a")</f>
        <v>796</v>
      </c>
      <c r="H19" s="169" t="s">
        <v>260</v>
      </c>
      <c r="I19" s="177" t="s">
        <v>300</v>
      </c>
      <c r="J19" s="171">
        <v>150</v>
      </c>
      <c r="K19" s="77" t="s">
        <v>220</v>
      </c>
      <c r="N19" s="79"/>
      <c r="P19" s="79"/>
    </row>
    <row r="20" spans="2:16" x14ac:dyDescent="0.3">
      <c r="D20" s="151" t="s">
        <v>274</v>
      </c>
      <c r="E20" s="158" t="s">
        <v>275</v>
      </c>
      <c r="F20" s="151" t="s">
        <v>254</v>
      </c>
      <c r="G20" s="103" cm="1">
        <f t="array" ref="G20">Barx(E20,"a")</f>
        <v>635</v>
      </c>
      <c r="H20" s="78" t="s">
        <v>260</v>
      </c>
      <c r="I20" s="78" t="s">
        <v>276</v>
      </c>
      <c r="J20" s="170">
        <v>2</v>
      </c>
      <c r="K20" s="151" t="s">
        <v>254</v>
      </c>
      <c r="L20" s="77">
        <f>J20*G20</f>
        <v>1270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>
        <v>30</v>
      </c>
      <c r="G21" s="77" t="s">
        <v>220</v>
      </c>
      <c r="H21" s="151" t="s">
        <v>278</v>
      </c>
      <c r="I21" s="170" cm="1">
        <f t="array" ref="I21">Barx(E20,"gaik")/3+F21</f>
        <v>34.666666666666664</v>
      </c>
      <c r="J21" s="78" t="s">
        <v>220</v>
      </c>
      <c r="K21" s="77" t="s">
        <v>288</v>
      </c>
      <c r="L21" s="174">
        <f>H8-I21</f>
        <v>915.33333333333337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58">
        <v>220</v>
      </c>
      <c r="G23" s="167" t="s">
        <v>283</v>
      </c>
      <c r="H23" s="151" t="s">
        <v>284</v>
      </c>
      <c r="I23" s="158">
        <v>214</v>
      </c>
      <c r="J23" s="167" t="s">
        <v>283</v>
      </c>
      <c r="K23" s="151" t="s">
        <v>295</v>
      </c>
      <c r="L23" s="158">
        <f>MAX(F23,I23)</f>
        <v>220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1875.5056920600005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339.50033700000006</v>
      </c>
      <c r="J25" s="167"/>
      <c r="K25" s="151" t="s">
        <v>289</v>
      </c>
      <c r="L25" s="172">
        <f>I24+I25</f>
        <v>2215.0060290600004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1875.5056920600005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840.16602215337969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1.3745688117045319E-2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1.0613333333333334E-2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3.1359472686746526</v>
      </c>
      <c r="F30" s="158"/>
      <c r="G30" s="151" t="s">
        <v>302</v>
      </c>
      <c r="H30" s="167">
        <f>IF(E30&gt;3,3,E30)</f>
        <v>3</v>
      </c>
      <c r="I30" s="158"/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310</v>
      </c>
      <c r="G31" s="151"/>
      <c r="H31" s="167"/>
      <c r="I31" s="158"/>
      <c r="J31" s="167"/>
      <c r="N31" s="79"/>
      <c r="P31" s="79"/>
    </row>
    <row r="32" spans="2:16" x14ac:dyDescent="0.3">
      <c r="D32" s="151"/>
      <c r="E32" s="151" t="s">
        <v>303</v>
      </c>
      <c r="F32" s="180" cm="1">
        <f t="array" ref="F32">RC_Qwu1(J33,J34,E4,H30,G29,H6,E8,J35)</f>
        <v>883.19263353385531</v>
      </c>
      <c r="G32" s="151"/>
      <c r="H32" s="167"/>
      <c r="I32" s="158"/>
      <c r="J32" s="167"/>
      <c r="N32" s="79"/>
      <c r="P32" s="79"/>
    </row>
    <row r="33" spans="2:18" x14ac:dyDescent="0.3">
      <c r="D33" s="151"/>
      <c r="E33" s="151" t="s">
        <v>316</v>
      </c>
      <c r="F33" s="179">
        <f>F32/H27</f>
        <v>1.0512120345812088</v>
      </c>
      <c r="G33" s="77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0.88042080092280728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735.61250000000007</v>
      </c>
      <c r="K35" s="167" t="s">
        <v>317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350.5</v>
      </c>
      <c r="I37" s="167" t="s">
        <v>317</v>
      </c>
      <c r="J37" s="151" t="s">
        <v>322</v>
      </c>
      <c r="K37" s="158">
        <f>I9</f>
        <v>525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450.5</v>
      </c>
      <c r="I38" s="167" t="s">
        <v>317</v>
      </c>
      <c r="J38" s="151" t="s">
        <v>322</v>
      </c>
      <c r="K38" s="158">
        <f>H8-K37</f>
        <v>425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328</v>
      </c>
      <c r="G39" s="158" t="s">
        <v>329</v>
      </c>
      <c r="H39" s="184" t="s">
        <v>334</v>
      </c>
      <c r="I39" s="158" cm="1">
        <f t="array" ref="I39">Barx(F39,"a")</f>
        <v>796</v>
      </c>
      <c r="J39" s="151" t="s">
        <v>348</v>
      </c>
      <c r="K39" s="77">
        <f>I39/(E8*H37)</f>
        <v>4.5420827389443651E-3</v>
      </c>
      <c r="L39" s="151" t="s">
        <v>350</v>
      </c>
      <c r="M39" s="185">
        <f>RIGHT(G39,3)*K39</f>
        <v>1.3399144079885876</v>
      </c>
      <c r="N39" s="79"/>
      <c r="P39" s="79"/>
    </row>
    <row r="40" spans="2:18" x14ac:dyDescent="0.3">
      <c r="D40" s="151"/>
      <c r="E40" s="179" t="s">
        <v>330</v>
      </c>
      <c r="F40" s="158" t="s">
        <v>331</v>
      </c>
      <c r="G40" s="158" t="s">
        <v>332</v>
      </c>
      <c r="H40" s="184" t="s">
        <v>335</v>
      </c>
      <c r="I40" s="172" cm="1">
        <f t="array" ref="I40">Barx(F40,"a")*(SIN(45*PI()/180)+COS(45*PI()/180))</f>
        <v>1815.8502140870539</v>
      </c>
      <c r="J40" s="151" t="s">
        <v>349</v>
      </c>
      <c r="K40" s="77">
        <f>I40/(E8*H37)</f>
        <v>1.0361484816473917E-2</v>
      </c>
      <c r="L40" s="151" t="s">
        <v>351</v>
      </c>
      <c r="M40" s="185">
        <f>RIGHT(G40,3)*K40</f>
        <v>4.0409790784248276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1.9195435092724623E-2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328</v>
      </c>
      <c r="G42" s="158" t="s">
        <v>329</v>
      </c>
      <c r="H42" s="184" t="s">
        <v>334</v>
      </c>
      <c r="I42" s="158" cm="1">
        <f t="array" ref="I42">Barx(F42,"a")</f>
        <v>796</v>
      </c>
      <c r="J42" s="151" t="s">
        <v>348</v>
      </c>
      <c r="K42" s="187">
        <f>I42/(E8*H38)</f>
        <v>3.5338512763596003E-3</v>
      </c>
      <c r="L42" s="151" t="s">
        <v>350</v>
      </c>
      <c r="M42" s="185">
        <f>RIGHT(G42,3)*K42</f>
        <v>1.0424861265260821</v>
      </c>
      <c r="N42" s="79"/>
      <c r="P42" s="79"/>
    </row>
    <row r="43" spans="2:18" x14ac:dyDescent="0.3">
      <c r="D43" s="151"/>
      <c r="E43" s="179" t="s">
        <v>330</v>
      </c>
      <c r="F43" s="158" t="s">
        <v>331</v>
      </c>
      <c r="G43" s="158" t="s">
        <v>332</v>
      </c>
      <c r="H43" s="184" t="s">
        <v>335</v>
      </c>
      <c r="I43" s="172" cm="1">
        <f t="array" ref="I43">Barx(F43,"a")*(SIN(45*PI()/180)+COS(45*PI()/180))</f>
        <v>1815.8502140870539</v>
      </c>
      <c r="J43" s="151" t="s">
        <v>349</v>
      </c>
      <c r="K43" s="187">
        <f>I43/(E8*H38)</f>
        <v>8.0614881868459661E-3</v>
      </c>
      <c r="L43" s="151" t="s">
        <v>351</v>
      </c>
      <c r="M43" s="185">
        <f>RIGHT(G43,3)*K43</f>
        <v>3.1439803928699268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1.4934517203107614E-2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1.4934517203107614E-2</v>
      </c>
      <c r="G45" s="158" t="str">
        <f>IF(I41&lt;I44,"c1","c2")</f>
        <v>c2</v>
      </c>
      <c r="H45" s="184" t="s">
        <v>346</v>
      </c>
      <c r="I45" s="158">
        <f>IF(G45="c1",H37,H38)</f>
        <v>450.5</v>
      </c>
      <c r="K45" s="151" t="s">
        <v>352</v>
      </c>
      <c r="L45" s="185">
        <f>IF(G45="c1",M39+M40,M42+M43)</f>
        <v>4.1864665193960091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7.3329525985151344E-3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0.76194942355323736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x14ac:dyDescent="0.3">
      <c r="D50" s="151"/>
      <c r="E50" s="151" t="s">
        <v>303</v>
      </c>
      <c r="F50" s="181" cm="1">
        <f t="array" ref="F50">RC_Qwu_k(J33,J52,E4,H30,G29,H6,E8,J53,J51,L45)</f>
        <v>887.96878495673707</v>
      </c>
      <c r="G50" s="151"/>
      <c r="H50" s="167"/>
      <c r="I50" s="158"/>
      <c r="J50" s="167"/>
      <c r="N50" s="79"/>
      <c r="P50" s="79"/>
    </row>
    <row r="51" spans="3:16" x14ac:dyDescent="0.3">
      <c r="D51" s="151"/>
      <c r="E51" s="151" t="s">
        <v>316</v>
      </c>
      <c r="F51" s="179">
        <f>F50/H27</f>
        <v>1.0568968055633063</v>
      </c>
      <c r="G51" s="77" t="str">
        <f>IF(F51&gt;1,"OK","NG")</f>
        <v>OK</v>
      </c>
      <c r="I51" s="151" t="s">
        <v>344</v>
      </c>
      <c r="J51" s="167">
        <f>E9/H8</f>
        <v>0.15789473684210525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0.76194942355323736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766.0625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Q64"/>
  <sheetViews>
    <sheetView zoomScale="150" zoomScaleNormal="150" workbookViewId="0">
      <selection activeCell="L14" sqref="L14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7" x14ac:dyDescent="0.3">
      <c r="B2" s="77" t="s">
        <v>169</v>
      </c>
    </row>
    <row r="3" spans="2:17" x14ac:dyDescent="0.3">
      <c r="H3" s="78"/>
      <c r="I3" s="78"/>
      <c r="J3" s="78"/>
      <c r="O3" s="79"/>
      <c r="Q3" s="79"/>
    </row>
    <row r="4" spans="2:17" x14ac:dyDescent="0.3">
      <c r="B4" s="80" t="s">
        <v>172</v>
      </c>
      <c r="C4" s="81" t="s">
        <v>173</v>
      </c>
      <c r="D4" s="81" t="s">
        <v>174</v>
      </c>
      <c r="E4" s="81" t="s">
        <v>175</v>
      </c>
      <c r="F4" s="81" t="s">
        <v>176</v>
      </c>
      <c r="G4" s="81" t="s">
        <v>177</v>
      </c>
      <c r="H4" s="81" t="s">
        <v>178</v>
      </c>
      <c r="I4" s="82" t="s">
        <v>179</v>
      </c>
      <c r="J4" s="81" t="s">
        <v>234</v>
      </c>
      <c r="K4" s="83" t="s">
        <v>180</v>
      </c>
      <c r="O4" s="79"/>
      <c r="Q4" s="79"/>
    </row>
    <row r="5" spans="2:17" ht="13.5" x14ac:dyDescent="0.3">
      <c r="B5" s="84" t="s">
        <v>226</v>
      </c>
      <c r="C5" s="85" t="s">
        <v>226</v>
      </c>
      <c r="D5" s="85" t="s">
        <v>226</v>
      </c>
      <c r="E5" s="85" t="s">
        <v>226</v>
      </c>
      <c r="F5" s="85" t="s">
        <v>181</v>
      </c>
      <c r="G5" s="85" t="s">
        <v>181</v>
      </c>
      <c r="H5" s="85" t="s">
        <v>181</v>
      </c>
      <c r="I5" s="85" t="s">
        <v>181</v>
      </c>
      <c r="J5" s="85" t="s">
        <v>235</v>
      </c>
      <c r="K5" s="86" t="s">
        <v>182</v>
      </c>
      <c r="O5" s="79"/>
      <c r="Q5" s="79"/>
    </row>
    <row r="6" spans="2:17" x14ac:dyDescent="0.3">
      <c r="B6" s="87">
        <v>215</v>
      </c>
      <c r="C6" s="88">
        <v>21</v>
      </c>
      <c r="D6" s="89">
        <v>195</v>
      </c>
      <c r="E6" s="88">
        <f>C6/30</f>
        <v>0.7</v>
      </c>
      <c r="F6" s="89">
        <v>350</v>
      </c>
      <c r="G6" s="89">
        <v>2000</v>
      </c>
      <c r="H6" s="90">
        <f>G6-G12</f>
        <v>1928.5</v>
      </c>
      <c r="I6" s="91">
        <f>H6*7/8</f>
        <v>1687.4375</v>
      </c>
      <c r="J6" s="155">
        <v>4.7</v>
      </c>
      <c r="K6" s="93">
        <f>B6*F9*I6/1000/1000</f>
        <v>312.36999281249996</v>
      </c>
      <c r="O6" s="79"/>
      <c r="Q6" s="79"/>
    </row>
    <row r="7" spans="2:17" ht="13.5" x14ac:dyDescent="0.3">
      <c r="B7" s="208" t="s">
        <v>0</v>
      </c>
      <c r="C7" s="209"/>
      <c r="D7" s="209" t="s">
        <v>1</v>
      </c>
      <c r="E7" s="209"/>
      <c r="F7" s="94" t="s">
        <v>23</v>
      </c>
      <c r="G7" s="205" t="s">
        <v>136</v>
      </c>
      <c r="H7" s="206"/>
      <c r="I7" s="207"/>
      <c r="J7" s="95" t="s">
        <v>183</v>
      </c>
      <c r="K7" s="96" t="s">
        <v>184</v>
      </c>
      <c r="O7" s="79"/>
      <c r="Q7" s="79"/>
    </row>
    <row r="8" spans="2:17" ht="13.5" x14ac:dyDescent="0.3">
      <c r="B8" s="97" t="s">
        <v>185</v>
      </c>
      <c r="C8" s="98" t="s">
        <v>227</v>
      </c>
      <c r="D8" s="98" t="s">
        <v>185</v>
      </c>
      <c r="E8" s="98" t="s">
        <v>228</v>
      </c>
      <c r="F8" s="99" t="s">
        <v>229</v>
      </c>
      <c r="G8" s="100" t="s">
        <v>185</v>
      </c>
      <c r="H8" s="101" t="s">
        <v>186</v>
      </c>
      <c r="I8" s="102" t="s">
        <v>230</v>
      </c>
      <c r="J8" s="103" t="s">
        <v>225</v>
      </c>
      <c r="K8" s="86" t="s">
        <v>187</v>
      </c>
      <c r="O8" s="79"/>
      <c r="Q8" s="79"/>
    </row>
    <row r="9" spans="2:17" ht="13.5" x14ac:dyDescent="0.3">
      <c r="B9" s="87" t="s">
        <v>125</v>
      </c>
      <c r="C9" s="91" cm="1">
        <f t="array" ref="C9">Barx(B9,"a")</f>
        <v>861</v>
      </c>
      <c r="D9" s="88" t="s">
        <v>219</v>
      </c>
      <c r="E9" s="104" cm="1">
        <f t="array" ref="E9">IF(D9="-",0,Barx(D9,"a"))</f>
        <v>0</v>
      </c>
      <c r="F9" s="105">
        <f>+C9+E9</f>
        <v>861</v>
      </c>
      <c r="G9" s="106" t="s">
        <v>218</v>
      </c>
      <c r="H9" s="107">
        <v>200</v>
      </c>
      <c r="I9" s="108" cm="1">
        <f t="array" ref="I9">Barx(G9,"a")</f>
        <v>142</v>
      </c>
      <c r="J9" s="109">
        <f>I9/H9/F6</f>
        <v>2.0285714285714286E-3</v>
      </c>
      <c r="K9" s="110" cm="1">
        <f t="array" ref="K9">RC_Beam_QL(F6,I6,E15,E6,D6,J9)</f>
        <v>505.42650156250005</v>
      </c>
      <c r="O9" s="79"/>
      <c r="Q9" s="79"/>
    </row>
    <row r="10" spans="2:17" x14ac:dyDescent="0.3">
      <c r="B10" s="111" t="s">
        <v>188</v>
      </c>
      <c r="C10" s="112" t="s">
        <v>135</v>
      </c>
      <c r="D10" s="112" t="s">
        <v>144</v>
      </c>
      <c r="E10" s="210" t="s">
        <v>141</v>
      </c>
      <c r="F10" s="211"/>
      <c r="G10" s="113" t="s">
        <v>50</v>
      </c>
      <c r="H10" s="114"/>
      <c r="I10" s="115"/>
      <c r="J10" s="115"/>
      <c r="K10" s="115"/>
      <c r="L10" s="116"/>
      <c r="O10" s="79"/>
      <c r="Q10" s="79"/>
    </row>
    <row r="11" spans="2:17" x14ac:dyDescent="0.3">
      <c r="B11" s="117" t="s">
        <v>34</v>
      </c>
      <c r="C11" s="118" t="s">
        <v>34</v>
      </c>
      <c r="D11" s="118" t="s">
        <v>34</v>
      </c>
      <c r="E11" s="103" t="s">
        <v>142</v>
      </c>
      <c r="F11" s="98" t="s">
        <v>143</v>
      </c>
      <c r="G11" s="119" t="s">
        <v>189</v>
      </c>
      <c r="H11" s="114"/>
      <c r="I11" s="115"/>
      <c r="J11" s="115"/>
      <c r="K11" s="115"/>
      <c r="L11" s="116"/>
      <c r="O11" s="79"/>
      <c r="Q11" s="79"/>
    </row>
    <row r="12" spans="2:17" x14ac:dyDescent="0.3">
      <c r="B12" s="120">
        <v>50</v>
      </c>
      <c r="C12" s="121" cm="1">
        <f t="array" ref="C12">Barx(B9,3)</f>
        <v>21</v>
      </c>
      <c r="D12" s="121" cm="1">
        <f t="array" ref="D12">Barx(G9,3)</f>
        <v>11</v>
      </c>
      <c r="E12" s="122">
        <f>B12+D12+C12/2</f>
        <v>71.5</v>
      </c>
      <c r="F12" s="90">
        <f>IF(D9="-",0,RIGHT(D9,2)*1.5+C12+E12)</f>
        <v>0</v>
      </c>
      <c r="G12" s="123">
        <f>+E12</f>
        <v>71.5</v>
      </c>
      <c r="H12" s="114"/>
      <c r="I12" s="115"/>
      <c r="J12" s="115"/>
      <c r="K12" s="115"/>
      <c r="L12" s="116"/>
      <c r="O12" s="79"/>
      <c r="Q12" s="79"/>
    </row>
    <row r="13" spans="2:17" x14ac:dyDescent="0.3">
      <c r="B13" s="80" t="s">
        <v>43</v>
      </c>
      <c r="C13" s="81" t="s">
        <v>190</v>
      </c>
      <c r="D13" s="81" t="s">
        <v>191</v>
      </c>
      <c r="E13" s="81" t="s">
        <v>192</v>
      </c>
      <c r="F13" s="124" t="s">
        <v>193</v>
      </c>
      <c r="G13" s="124" t="s">
        <v>42</v>
      </c>
      <c r="H13" s="124" t="s">
        <v>194</v>
      </c>
      <c r="I13" s="125" t="s">
        <v>195</v>
      </c>
      <c r="J13" s="115"/>
      <c r="K13" s="115"/>
      <c r="L13" s="116"/>
      <c r="O13" s="79"/>
      <c r="Q13" s="79"/>
    </row>
    <row r="14" spans="2:17" x14ac:dyDescent="0.3">
      <c r="B14" s="126" t="s">
        <v>189</v>
      </c>
      <c r="C14" s="127" t="s">
        <v>189</v>
      </c>
      <c r="D14" s="127" t="s">
        <v>189</v>
      </c>
      <c r="E14" s="128" t="s">
        <v>196</v>
      </c>
      <c r="F14" s="127" t="s">
        <v>189</v>
      </c>
      <c r="G14" s="127" t="s">
        <v>189</v>
      </c>
      <c r="H14" s="127"/>
      <c r="I14" s="77" t="s">
        <v>224</v>
      </c>
      <c r="J14" s="115"/>
      <c r="K14" s="115"/>
      <c r="O14" s="79"/>
      <c r="Q14" s="79"/>
    </row>
    <row r="15" spans="2:17" x14ac:dyDescent="0.3">
      <c r="B15" s="129">
        <f>+K6</f>
        <v>312.36999281249996</v>
      </c>
      <c r="C15" s="130">
        <f>+K6*2/J6</f>
        <v>132.9234011968085</v>
      </c>
      <c r="D15" s="89">
        <f>+H6</f>
        <v>1928.5</v>
      </c>
      <c r="E15" s="130">
        <f>MIN(3,B15*1000/C15/D15)</f>
        <v>1.2185636505055744</v>
      </c>
      <c r="F15" s="89">
        <v>600</v>
      </c>
      <c r="G15" s="89">
        <f>+G6</f>
        <v>2000</v>
      </c>
      <c r="H15" s="131">
        <f>F15/G15</f>
        <v>0.3</v>
      </c>
      <c r="I15" s="132">
        <f>+E15*E6*(1-H15)</f>
        <v>0.5970961887477314</v>
      </c>
      <c r="J15" s="133"/>
      <c r="K15" s="115"/>
      <c r="L15" s="116"/>
      <c r="O15" s="79"/>
      <c r="Q15" s="79"/>
    </row>
    <row r="16" spans="2:17" ht="13.5" x14ac:dyDescent="0.3">
      <c r="B16" s="202" t="s">
        <v>167</v>
      </c>
      <c r="C16" s="203"/>
      <c r="D16" s="204" t="s">
        <v>168</v>
      </c>
      <c r="E16" s="204"/>
      <c r="F16" s="81" t="s">
        <v>75</v>
      </c>
      <c r="G16" s="81" t="s">
        <v>236</v>
      </c>
      <c r="H16" s="81" t="s">
        <v>71</v>
      </c>
      <c r="I16" s="124" t="s">
        <v>197</v>
      </c>
      <c r="J16" s="134" t="s">
        <v>198</v>
      </c>
      <c r="K16" s="116"/>
      <c r="N16" s="79"/>
      <c r="P16" s="79"/>
    </row>
    <row r="17" spans="2:17" ht="13.5" x14ac:dyDescent="0.3">
      <c r="B17" s="135" t="s">
        <v>36</v>
      </c>
      <c r="C17" s="136" t="s">
        <v>231</v>
      </c>
      <c r="D17" s="136" t="s">
        <v>36</v>
      </c>
      <c r="E17" s="136" t="s">
        <v>232</v>
      </c>
      <c r="F17" s="128" t="s">
        <v>34</v>
      </c>
      <c r="G17" s="128" t="s">
        <v>235</v>
      </c>
      <c r="H17" s="128" t="s">
        <v>34</v>
      </c>
      <c r="I17" s="137"/>
      <c r="J17" s="77" t="s">
        <v>222</v>
      </c>
      <c r="K17" s="116"/>
      <c r="N17" s="79"/>
      <c r="P17" s="79"/>
    </row>
    <row r="18" spans="2:17" x14ac:dyDescent="0.3">
      <c r="B18" s="87" t="s">
        <v>223</v>
      </c>
      <c r="C18" s="91" cm="1">
        <f t="array" ref="C18">Barx(B18,"a")</f>
        <v>284</v>
      </c>
      <c r="D18" s="88" t="s">
        <v>238</v>
      </c>
      <c r="E18" s="91" cm="1">
        <f t="array" ref="E18">Barx(D18,"a")</f>
        <v>254</v>
      </c>
      <c r="F18" s="138">
        <f>+F6</f>
        <v>350</v>
      </c>
      <c r="G18" s="138">
        <v>1200</v>
      </c>
      <c r="H18" s="139" cm="1">
        <f t="array" ref="H18">range_C45(G6,B12+D12+C12/2,G18)</f>
        <v>728.5</v>
      </c>
      <c r="I18" s="140" cm="1">
        <f t="array" ref="I18">RC_kantu_ps(C18,E18,F18,H18,"")</f>
        <v>2.5226404347201284E-3</v>
      </c>
      <c r="J18" s="141">
        <f>MAX(0,0.5*D6*(I18-0.002))</f>
        <v>5.095744238521252E-2</v>
      </c>
      <c r="K18" s="116"/>
      <c r="N18" s="79"/>
      <c r="P18" s="79"/>
    </row>
    <row r="19" spans="2:17" ht="13.5" x14ac:dyDescent="0.3">
      <c r="B19" s="202" t="s">
        <v>167</v>
      </c>
      <c r="C19" s="203"/>
      <c r="D19" s="204" t="s">
        <v>168</v>
      </c>
      <c r="E19" s="204"/>
      <c r="F19" s="81" t="s">
        <v>75</v>
      </c>
      <c r="G19" s="81" t="s">
        <v>236</v>
      </c>
      <c r="H19" s="81" t="s">
        <v>72</v>
      </c>
      <c r="I19" s="124" t="s">
        <v>170</v>
      </c>
      <c r="J19" s="134" t="s">
        <v>132</v>
      </c>
      <c r="K19" s="116"/>
      <c r="N19" s="79"/>
      <c r="P19" s="79"/>
    </row>
    <row r="20" spans="2:17" ht="13.5" x14ac:dyDescent="0.3">
      <c r="B20" s="135" t="s">
        <v>5</v>
      </c>
      <c r="C20" s="136" t="s">
        <v>231</v>
      </c>
      <c r="D20" s="136" t="s">
        <v>5</v>
      </c>
      <c r="E20" s="136" t="s">
        <v>232</v>
      </c>
      <c r="F20" s="128" t="s">
        <v>6</v>
      </c>
      <c r="G20" s="128" t="s">
        <v>235</v>
      </c>
      <c r="H20" s="128" t="s">
        <v>6</v>
      </c>
      <c r="I20" s="137"/>
      <c r="J20" s="77" t="s">
        <v>222</v>
      </c>
      <c r="K20" s="116"/>
      <c r="N20" s="79"/>
      <c r="P20" s="79"/>
    </row>
    <row r="21" spans="2:17" x14ac:dyDescent="0.3">
      <c r="B21" s="87" t="s">
        <v>237</v>
      </c>
      <c r="C21" s="91" cm="1">
        <f t="array" ref="C21">Barx(B21,"a")</f>
        <v>426</v>
      </c>
      <c r="D21" s="88" t="s">
        <v>238</v>
      </c>
      <c r="E21" s="91" cm="1">
        <f t="array" ref="E21">Barx(D21,"a")</f>
        <v>254</v>
      </c>
      <c r="F21" s="138">
        <f>F18</f>
        <v>350</v>
      </c>
      <c r="G21" s="138" t="str">
        <f>G17</f>
        <v>(mm)</v>
      </c>
      <c r="H21" s="139">
        <f>(G6-E12*2)-H18</f>
        <v>1128.5</v>
      </c>
      <c r="I21" s="140" cm="1">
        <f t="array" ref="I21">RC_kantu_ps(C21,E21,F21,H21,"")</f>
        <v>1.9879998603525911E-3</v>
      </c>
      <c r="J21" s="141">
        <f>MAX(0.5*D6*(I21-0.002),0)</f>
        <v>0</v>
      </c>
      <c r="K21" s="116"/>
      <c r="N21" s="79"/>
      <c r="P21" s="79"/>
    </row>
    <row r="22" spans="2:17" x14ac:dyDescent="0.3">
      <c r="B22" s="142"/>
      <c r="C22" s="143" t="s">
        <v>163</v>
      </c>
      <c r="D22" s="81" t="s">
        <v>164</v>
      </c>
      <c r="E22" s="83" t="s">
        <v>41</v>
      </c>
      <c r="L22" s="156"/>
      <c r="O22" s="79"/>
      <c r="Q22" s="79"/>
    </row>
    <row r="23" spans="2:17" x14ac:dyDescent="0.3">
      <c r="B23" s="126" t="s">
        <v>199</v>
      </c>
      <c r="C23" s="128" t="s">
        <v>187</v>
      </c>
      <c r="D23" s="128" t="s">
        <v>187</v>
      </c>
      <c r="E23" s="144"/>
      <c r="H23" s="157"/>
      <c r="J23" s="133"/>
      <c r="K23" s="115"/>
      <c r="L23" s="156"/>
      <c r="O23" s="79"/>
      <c r="Q23" s="79"/>
    </row>
    <row r="24" spans="2:17" x14ac:dyDescent="0.3">
      <c r="B24" s="145">
        <f>+I15+J18</f>
        <v>0.6480536311329439</v>
      </c>
      <c r="C24" s="92">
        <f>F6*I6*B24/1000</f>
        <v>382.74249971471397</v>
      </c>
      <c r="D24" s="146">
        <f>+C15/C24</f>
        <v>0.34729198167406561</v>
      </c>
      <c r="E24" s="147" t="str">
        <f>IF(D24&lt;1,"OK","NG")</f>
        <v>OK</v>
      </c>
      <c r="G24" s="77" t="s">
        <v>171</v>
      </c>
      <c r="K24" s="115"/>
      <c r="L24" s="156"/>
      <c r="O24" s="79"/>
      <c r="Q24" s="79"/>
    </row>
    <row r="25" spans="2:17" x14ac:dyDescent="0.3">
      <c r="L25" s="116"/>
    </row>
    <row r="27" spans="2:17" ht="13.5" x14ac:dyDescent="0.3">
      <c r="C27" s="148" t="s">
        <v>200</v>
      </c>
      <c r="D27" s="77" t="s">
        <v>105</v>
      </c>
      <c r="E27" s="149"/>
      <c r="F27" s="149"/>
      <c r="G27" s="149"/>
      <c r="H27" s="149"/>
      <c r="I27" s="150" t="s">
        <v>201</v>
      </c>
    </row>
    <row r="28" spans="2:17" ht="13.5" x14ac:dyDescent="0.3">
      <c r="C28" s="148"/>
      <c r="D28" s="77" t="s">
        <v>102</v>
      </c>
      <c r="E28" s="149"/>
      <c r="F28" s="149"/>
      <c r="G28" s="149"/>
      <c r="H28" s="149"/>
    </row>
    <row r="29" spans="2:17" ht="13.5" x14ac:dyDescent="0.3">
      <c r="C29" s="148" t="s">
        <v>202</v>
      </c>
      <c r="D29" s="77" t="s">
        <v>104</v>
      </c>
      <c r="E29" s="149"/>
      <c r="F29" s="149"/>
      <c r="G29" s="149"/>
      <c r="H29" s="149"/>
    </row>
    <row r="30" spans="2:17" ht="13.5" x14ac:dyDescent="0.3">
      <c r="C30" s="148" t="s">
        <v>203</v>
      </c>
      <c r="D30" s="77" t="s">
        <v>233</v>
      </c>
      <c r="E30" s="149"/>
      <c r="F30" s="149"/>
      <c r="G30" s="149"/>
      <c r="H30" s="149"/>
    </row>
    <row r="31" spans="2:17" ht="13.5" x14ac:dyDescent="0.3">
      <c r="C31" s="148" t="s">
        <v>204</v>
      </c>
      <c r="D31" s="77" t="s">
        <v>109</v>
      </c>
      <c r="E31" s="149"/>
      <c r="F31" s="149"/>
      <c r="G31" s="149"/>
      <c r="H31" s="149"/>
    </row>
    <row r="32" spans="2:17" ht="13.5" x14ac:dyDescent="0.3">
      <c r="C32" s="148" t="s">
        <v>205</v>
      </c>
      <c r="D32" s="77" t="s">
        <v>110</v>
      </c>
      <c r="E32" s="149"/>
      <c r="F32" s="149"/>
      <c r="G32" s="149"/>
      <c r="H32" s="149"/>
    </row>
    <row r="33" spans="3:10" ht="13.5" x14ac:dyDescent="0.3">
      <c r="C33" s="148" t="s">
        <v>21</v>
      </c>
      <c r="D33" s="77" t="s">
        <v>111</v>
      </c>
      <c r="E33" s="149"/>
      <c r="F33" s="149"/>
      <c r="G33" s="149"/>
      <c r="H33" s="149"/>
    </row>
    <row r="34" spans="3:10" ht="13.5" x14ac:dyDescent="0.3">
      <c r="C34" s="148" t="s">
        <v>206</v>
      </c>
      <c r="D34" s="149" t="s">
        <v>113</v>
      </c>
      <c r="E34" s="149"/>
      <c r="F34" s="149"/>
      <c r="G34" s="149"/>
      <c r="H34" s="149"/>
    </row>
    <row r="35" spans="3:10" ht="13.5" x14ac:dyDescent="0.3">
      <c r="C35" s="148" t="s">
        <v>207</v>
      </c>
      <c r="D35" s="77" t="s">
        <v>115</v>
      </c>
      <c r="E35" s="149"/>
      <c r="F35" s="149"/>
      <c r="G35" s="149"/>
      <c r="H35" s="149"/>
    </row>
    <row r="36" spans="3:10" ht="13.5" x14ac:dyDescent="0.3">
      <c r="C36" s="148"/>
      <c r="D36" s="77" t="s">
        <v>208</v>
      </c>
      <c r="E36" s="149"/>
      <c r="F36" s="149"/>
      <c r="G36" s="149"/>
      <c r="H36" s="149"/>
    </row>
    <row r="37" spans="3:10" ht="13.5" x14ac:dyDescent="0.3">
      <c r="C37" s="148" t="s">
        <v>209</v>
      </c>
      <c r="D37" s="77" t="s">
        <v>118</v>
      </c>
      <c r="E37" s="149"/>
      <c r="F37" s="149"/>
      <c r="G37" s="149"/>
      <c r="H37" s="149"/>
    </row>
    <row r="38" spans="3:10" ht="13.5" x14ac:dyDescent="0.3">
      <c r="C38" s="148"/>
      <c r="D38" s="77" t="s">
        <v>210</v>
      </c>
      <c r="E38" s="149"/>
      <c r="F38" s="149"/>
      <c r="G38" s="149"/>
      <c r="H38" s="149"/>
    </row>
    <row r="39" spans="3:10" ht="13.5" x14ac:dyDescent="0.3">
      <c r="C39" s="148" t="s">
        <v>211</v>
      </c>
      <c r="D39" s="77" t="s">
        <v>121</v>
      </c>
      <c r="E39" s="149"/>
      <c r="F39" s="149"/>
      <c r="G39" s="149"/>
      <c r="H39" s="149"/>
    </row>
    <row r="40" spans="3:10" x14ac:dyDescent="0.3">
      <c r="C40" s="151" t="s">
        <v>212</v>
      </c>
      <c r="D40" s="77" t="s">
        <v>122</v>
      </c>
    </row>
    <row r="41" spans="3:10" x14ac:dyDescent="0.3">
      <c r="C41" s="151" t="s">
        <v>213</v>
      </c>
      <c r="D41" s="77" t="s">
        <v>3</v>
      </c>
    </row>
    <row r="42" spans="3:10" x14ac:dyDescent="0.3">
      <c r="C42" s="151"/>
    </row>
    <row r="43" spans="3:10" x14ac:dyDescent="0.3">
      <c r="C43" s="151"/>
    </row>
    <row r="44" spans="3:10" x14ac:dyDescent="0.3">
      <c r="C44" s="151"/>
    </row>
    <row r="45" spans="3:10" ht="13.5" x14ac:dyDescent="0.3">
      <c r="C45" s="148" t="s">
        <v>214</v>
      </c>
      <c r="D45" s="149" t="s">
        <v>32</v>
      </c>
      <c r="E45" s="149"/>
      <c r="F45" s="149"/>
      <c r="G45" s="149"/>
      <c r="H45" s="149"/>
      <c r="J45" s="79"/>
    </row>
    <row r="46" spans="3:10" ht="13.5" x14ac:dyDescent="0.3">
      <c r="C46" s="148" t="s">
        <v>85</v>
      </c>
      <c r="D46" s="149" t="s">
        <v>33</v>
      </c>
    </row>
    <row r="47" spans="3:10" x14ac:dyDescent="0.3">
      <c r="C47" s="151" t="s">
        <v>86</v>
      </c>
      <c r="D47" s="77" t="s">
        <v>18</v>
      </c>
    </row>
    <row r="48" spans="3:10" x14ac:dyDescent="0.3">
      <c r="C48" s="151" t="s">
        <v>215</v>
      </c>
      <c r="D48" s="77" t="s">
        <v>19</v>
      </c>
      <c r="I48" s="77" t="s">
        <v>24</v>
      </c>
    </row>
    <row r="49" spans="3:7" x14ac:dyDescent="0.3">
      <c r="C49" s="151" t="s">
        <v>25</v>
      </c>
      <c r="D49" s="77" t="s">
        <v>26</v>
      </c>
    </row>
    <row r="50" spans="3:7" x14ac:dyDescent="0.3">
      <c r="C50" s="151" t="s">
        <v>88</v>
      </c>
      <c r="D50" s="77" t="s">
        <v>52</v>
      </c>
    </row>
    <row r="51" spans="3:7" x14ac:dyDescent="0.3">
      <c r="C51" s="151" t="s">
        <v>89</v>
      </c>
      <c r="D51" s="77" t="s">
        <v>53</v>
      </c>
    </row>
    <row r="52" spans="3:7" x14ac:dyDescent="0.3">
      <c r="C52" s="151" t="s">
        <v>90</v>
      </c>
      <c r="D52" s="77" t="s">
        <v>56</v>
      </c>
    </row>
    <row r="53" spans="3:7" x14ac:dyDescent="0.3">
      <c r="C53" s="151" t="s">
        <v>91</v>
      </c>
      <c r="D53" s="77" t="s">
        <v>57</v>
      </c>
    </row>
    <row r="54" spans="3:7" x14ac:dyDescent="0.3">
      <c r="C54" s="151" t="s">
        <v>92</v>
      </c>
      <c r="D54" s="77" t="s">
        <v>58</v>
      </c>
    </row>
    <row r="55" spans="3:7" x14ac:dyDescent="0.3">
      <c r="C55" s="151" t="s">
        <v>94</v>
      </c>
      <c r="D55" s="77" t="s">
        <v>59</v>
      </c>
    </row>
    <row r="56" spans="3:7" x14ac:dyDescent="0.3">
      <c r="C56" s="151" t="s">
        <v>96</v>
      </c>
      <c r="D56" s="77" t="s">
        <v>62</v>
      </c>
      <c r="G56" s="77" t="s">
        <v>216</v>
      </c>
    </row>
    <row r="57" spans="3:7" x14ac:dyDescent="0.3">
      <c r="C57" s="151" t="s">
        <v>63</v>
      </c>
      <c r="D57" s="77" t="s">
        <v>64</v>
      </c>
      <c r="G57" s="77" t="s">
        <v>217</v>
      </c>
    </row>
    <row r="58" spans="3:7" x14ac:dyDescent="0.3">
      <c r="C58" s="151" t="s">
        <v>97</v>
      </c>
      <c r="D58" s="77" t="s">
        <v>66</v>
      </c>
    </row>
    <row r="59" spans="3:7" x14ac:dyDescent="0.3">
      <c r="C59" s="151" t="s">
        <v>98</v>
      </c>
      <c r="D59" s="77" t="s">
        <v>3</v>
      </c>
      <c r="F59" s="152" t="s">
        <v>99</v>
      </c>
    </row>
    <row r="60" spans="3:7" x14ac:dyDescent="0.3">
      <c r="C60" s="151" t="s">
        <v>100</v>
      </c>
      <c r="D60" s="77" t="s">
        <v>69</v>
      </c>
    </row>
    <row r="61" spans="3:7" x14ac:dyDescent="0.3">
      <c r="C61" s="151" t="s">
        <v>38</v>
      </c>
      <c r="D61" s="77" t="s">
        <v>70</v>
      </c>
    </row>
    <row r="62" spans="3:7" x14ac:dyDescent="0.3">
      <c r="C62" s="151"/>
    </row>
    <row r="63" spans="3:7" ht="13.5" x14ac:dyDescent="0.3">
      <c r="C63" s="151"/>
      <c r="D63" s="149"/>
    </row>
    <row r="64" spans="3:7" x14ac:dyDescent="0.3">
      <c r="C64" s="151"/>
    </row>
  </sheetData>
  <mergeCells count="8">
    <mergeCell ref="B19:C19"/>
    <mergeCell ref="D19:E19"/>
    <mergeCell ref="G7:I7"/>
    <mergeCell ref="B16:C16"/>
    <mergeCell ref="D16:E16"/>
    <mergeCell ref="B7:C7"/>
    <mergeCell ref="D7:E7"/>
    <mergeCell ref="E10:F10"/>
  </mergeCells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2208-7760-493E-A8A2-22358E89BDBD}">
  <sheetPr codeName="Sheet26"/>
  <dimension ref="B2:R52"/>
  <sheetViews>
    <sheetView topLeftCell="A19" zoomScale="150" zoomScaleNormal="150" workbookViewId="0">
      <selection activeCell="F27" sqref="F27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7" x14ac:dyDescent="0.3">
      <c r="B2" s="77" t="s">
        <v>359</v>
      </c>
      <c r="D2" s="77" t="s">
        <v>360</v>
      </c>
      <c r="E2" s="77" t="s">
        <v>361</v>
      </c>
    </row>
    <row r="3" spans="2:17" x14ac:dyDescent="0.3">
      <c r="B3" s="77" t="s">
        <v>279</v>
      </c>
      <c r="H3" s="78"/>
      <c r="I3" s="78"/>
      <c r="J3" s="78"/>
      <c r="N3" s="79"/>
      <c r="P3" s="79"/>
    </row>
    <row r="4" spans="2:17" ht="13.5" x14ac:dyDescent="0.3">
      <c r="D4" s="151" t="s">
        <v>247</v>
      </c>
      <c r="E4" s="189">
        <v>24</v>
      </c>
      <c r="F4" s="188" t="s">
        <v>226</v>
      </c>
      <c r="G4" s="151" t="s">
        <v>356</v>
      </c>
      <c r="H4" s="78">
        <f>RC_shear(E4)*1.5</f>
        <v>1.095</v>
      </c>
      <c r="I4" s="85" t="s">
        <v>226</v>
      </c>
      <c r="J4" s="78"/>
      <c r="N4" s="79"/>
      <c r="P4" s="199"/>
      <c r="Q4" s="198"/>
    </row>
    <row r="5" spans="2:17" ht="13.5" x14ac:dyDescent="0.3">
      <c r="D5" s="151" t="s">
        <v>244</v>
      </c>
      <c r="E5" s="190" t="s">
        <v>353</v>
      </c>
      <c r="G5" s="166" t="s">
        <v>221</v>
      </c>
      <c r="H5" s="192">
        <v>345</v>
      </c>
      <c r="I5" s="85" t="s">
        <v>226</v>
      </c>
      <c r="J5" s="78"/>
      <c r="K5" s="191" t="s">
        <v>139</v>
      </c>
      <c r="N5" s="79"/>
      <c r="P5" s="199"/>
      <c r="Q5" s="198"/>
    </row>
    <row r="6" spans="2:17" ht="13.5" x14ac:dyDescent="0.3">
      <c r="D6" s="151" t="s">
        <v>245</v>
      </c>
      <c r="E6" s="190" t="s">
        <v>246</v>
      </c>
      <c r="G6" s="166" t="s">
        <v>374</v>
      </c>
      <c r="H6" s="192">
        <v>295</v>
      </c>
      <c r="I6" s="85" t="s">
        <v>226</v>
      </c>
      <c r="J6" s="78"/>
      <c r="K6" s="191" t="s">
        <v>137</v>
      </c>
      <c r="N6" s="79"/>
      <c r="P6" s="199"/>
      <c r="Q6" s="198"/>
    </row>
    <row r="7" spans="2:17" x14ac:dyDescent="0.3">
      <c r="D7" s="151" t="s">
        <v>249</v>
      </c>
      <c r="E7" s="190">
        <v>4100</v>
      </c>
      <c r="F7" s="77" t="s">
        <v>220</v>
      </c>
      <c r="G7" s="166"/>
      <c r="H7" s="78"/>
      <c r="I7" s="103"/>
      <c r="J7" s="78"/>
      <c r="N7" s="79"/>
      <c r="P7" s="199"/>
      <c r="Q7" s="198"/>
    </row>
    <row r="8" spans="2:17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2500</v>
      </c>
      <c r="I8" s="169" t="s">
        <v>220</v>
      </c>
      <c r="N8" s="79"/>
      <c r="P8" s="199"/>
      <c r="Q8" s="198"/>
    </row>
    <row r="9" spans="2:17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1500</v>
      </c>
      <c r="J9" s="169" t="s">
        <v>220</v>
      </c>
      <c r="N9" s="79"/>
      <c r="P9" s="199"/>
      <c r="Q9" s="198"/>
    </row>
    <row r="10" spans="2:17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199"/>
      <c r="Q10" s="198"/>
    </row>
    <row r="11" spans="2:17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199"/>
      <c r="Q11" s="198"/>
    </row>
    <row r="12" spans="2:17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199"/>
      <c r="Q12" s="198"/>
    </row>
    <row r="13" spans="2:17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7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7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RC_dt2(J12,K6,E98)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7" x14ac:dyDescent="0.3">
      <c r="D16" s="151" t="s">
        <v>269</v>
      </c>
      <c r="F16" s="158" t="s">
        <v>271</v>
      </c>
      <c r="G16" s="175">
        <f>H8-L13</f>
        <v>2425.5</v>
      </c>
      <c r="H16" s="169" t="s">
        <v>220</v>
      </c>
      <c r="I16" s="103"/>
      <c r="K16" s="78" t="s">
        <v>315</v>
      </c>
      <c r="L16" s="197">
        <f>G16*7/8</f>
        <v>2122.3125</v>
      </c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2425.5</v>
      </c>
      <c r="H17" s="169" t="s">
        <v>220</v>
      </c>
      <c r="I17" s="103"/>
      <c r="J17" s="78"/>
      <c r="K17" s="78" t="s">
        <v>315</v>
      </c>
      <c r="L17" s="197">
        <f t="shared" ref="L17:L18" si="0">G17*7/8</f>
        <v>2122.3125</v>
      </c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2425.5</v>
      </c>
      <c r="H18" s="169" t="s">
        <v>220</v>
      </c>
      <c r="I18" s="78"/>
      <c r="J18" s="78"/>
      <c r="K18" s="78" t="s">
        <v>315</v>
      </c>
      <c r="L18" s="197">
        <f t="shared" si="0"/>
        <v>2122.3125</v>
      </c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B20" s="77" t="s">
        <v>280</v>
      </c>
      <c r="D20" s="151"/>
      <c r="F20" s="158"/>
      <c r="G20" s="158"/>
      <c r="H20" s="169"/>
      <c r="I20" s="78"/>
      <c r="J20" s="78"/>
      <c r="N20" s="79"/>
      <c r="P20" s="79"/>
    </row>
    <row r="21" spans="2:16" x14ac:dyDescent="0.3">
      <c r="D21" s="151" t="s">
        <v>281</v>
      </c>
      <c r="E21" s="151" t="s">
        <v>364</v>
      </c>
      <c r="F21" s="158">
        <v>0</v>
      </c>
      <c r="G21" s="167" t="s">
        <v>283</v>
      </c>
      <c r="H21" s="151" t="s">
        <v>365</v>
      </c>
      <c r="I21" s="158">
        <f>170+120</f>
        <v>290</v>
      </c>
      <c r="J21" s="167" t="s">
        <v>283</v>
      </c>
      <c r="K21" s="151" t="s">
        <v>366</v>
      </c>
      <c r="L21" s="158">
        <f>MAX(F21,I21)</f>
        <v>290</v>
      </c>
      <c r="M21" s="77" t="s">
        <v>283</v>
      </c>
      <c r="N21" s="79"/>
      <c r="P21" s="79"/>
    </row>
    <row r="22" spans="2:16" x14ac:dyDescent="0.3">
      <c r="D22" s="151" t="s">
        <v>357</v>
      </c>
      <c r="E22" s="151" t="s">
        <v>369</v>
      </c>
      <c r="F22" s="172">
        <f>H5*G12*L18/1000/1000</f>
        <v>630.42231656249999</v>
      </c>
      <c r="G22" s="77" t="s">
        <v>39</v>
      </c>
      <c r="H22" s="151" t="s">
        <v>368</v>
      </c>
      <c r="I22" s="172">
        <v>949</v>
      </c>
      <c r="J22" s="77" t="s">
        <v>39</v>
      </c>
      <c r="K22" s="151" t="s">
        <v>367</v>
      </c>
      <c r="L22" s="172">
        <f>MAX(F22,I22)</f>
        <v>949</v>
      </c>
      <c r="N22" s="79"/>
      <c r="P22" s="79"/>
    </row>
    <row r="23" spans="2:16" x14ac:dyDescent="0.3">
      <c r="D23" s="151" t="s">
        <v>296</v>
      </c>
      <c r="E23" s="151"/>
      <c r="F23" s="151" t="s">
        <v>297</v>
      </c>
      <c r="G23" s="176">
        <f>G10/(E8*G16)</f>
        <v>1.0142238713667284E-3</v>
      </c>
      <c r="H23" s="151"/>
      <c r="I23" s="158"/>
      <c r="J23" s="167"/>
      <c r="N23" s="79"/>
      <c r="P23" s="79"/>
    </row>
    <row r="24" spans="2:16" x14ac:dyDescent="0.3">
      <c r="D24" s="151" t="s">
        <v>298</v>
      </c>
      <c r="E24" s="151"/>
      <c r="F24" s="151" t="s">
        <v>299</v>
      </c>
      <c r="G24" s="176">
        <f>G19/(E8*J19)</f>
        <v>3.6285714285714285E-3</v>
      </c>
      <c r="H24" s="151"/>
      <c r="I24" s="158"/>
      <c r="J24" s="167"/>
      <c r="N24" s="79"/>
      <c r="P24" s="79"/>
    </row>
    <row r="25" spans="2:16" x14ac:dyDescent="0.3">
      <c r="D25" s="151" t="s">
        <v>358</v>
      </c>
      <c r="E25" s="193">
        <f>RC_shear_alf(L22,L21,G18)</f>
        <v>1.702728463835826</v>
      </c>
      <c r="F25" s="158"/>
      <c r="G25" s="151"/>
      <c r="H25" s="178"/>
      <c r="I25" s="158">
        <f>0.5*H6*(G24-0.002)</f>
        <v>0.24021428571428569</v>
      </c>
      <c r="J25" s="167"/>
      <c r="K25" s="158">
        <f>L18*E8</f>
        <v>742809.375</v>
      </c>
      <c r="L25" s="167">
        <f>I25*K25/1000</f>
        <v>178.43342343749995</v>
      </c>
      <c r="N25" s="79"/>
      <c r="P25" s="79"/>
    </row>
    <row r="26" spans="2:16" x14ac:dyDescent="0.3">
      <c r="D26" s="151" t="s">
        <v>362</v>
      </c>
      <c r="E26" s="151" t="s">
        <v>370</v>
      </c>
      <c r="F26" s="167" t="s">
        <v>363</v>
      </c>
      <c r="G26" s="151"/>
      <c r="H26" s="167"/>
      <c r="J26" s="167"/>
      <c r="N26" s="79"/>
      <c r="P26" s="79"/>
    </row>
    <row r="27" spans="2:16" x14ac:dyDescent="0.3">
      <c r="D27" s="151"/>
      <c r="E27" s="151" t="s">
        <v>370</v>
      </c>
      <c r="F27" s="180">
        <f>RC_Beam_Qs(E9,L18,E25,H4,H6,G24)</f>
        <v>1888.6960622222023</v>
      </c>
      <c r="G27" s="151"/>
      <c r="H27" s="167"/>
      <c r="I27" s="158"/>
      <c r="J27" s="167"/>
      <c r="N27" s="79"/>
      <c r="P27" s="79"/>
    </row>
    <row r="28" spans="2:16" x14ac:dyDescent="0.3">
      <c r="D28" s="151"/>
      <c r="E28" s="151" t="s">
        <v>371</v>
      </c>
      <c r="F28" s="179">
        <f>F27/L21</f>
        <v>6.5127450421455251</v>
      </c>
      <c r="G28" s="77" t="str">
        <f>IF(F28&gt;1,"OK","NG")</f>
        <v>OK</v>
      </c>
      <c r="I28" s="151"/>
      <c r="J28" s="167"/>
      <c r="K28" s="167"/>
      <c r="N28" s="79"/>
      <c r="P28" s="79"/>
    </row>
    <row r="29" spans="2:16" x14ac:dyDescent="0.3">
      <c r="B29" s="77" t="s">
        <v>318</v>
      </c>
      <c r="D29" s="151"/>
      <c r="E29" s="151"/>
      <c r="F29" s="167"/>
      <c r="G29" s="151"/>
      <c r="H29" s="167"/>
      <c r="I29" s="158"/>
      <c r="J29" s="167"/>
      <c r="N29" s="79"/>
      <c r="P29" s="79"/>
    </row>
    <row r="30" spans="2:16" x14ac:dyDescent="0.3">
      <c r="D30" s="151" t="s">
        <v>325</v>
      </c>
      <c r="E30" s="182" t="s">
        <v>319</v>
      </c>
      <c r="G30" s="151" t="s">
        <v>320</v>
      </c>
      <c r="H30" s="167">
        <f>H8-G15-K30</f>
        <v>925.5</v>
      </c>
      <c r="I30" s="167" t="s">
        <v>220</v>
      </c>
      <c r="J30" s="151" t="s">
        <v>322</v>
      </c>
      <c r="K30" s="158">
        <f>I9</f>
        <v>1500</v>
      </c>
      <c r="N30" s="79"/>
      <c r="P30" s="79"/>
    </row>
    <row r="31" spans="2:16" x14ac:dyDescent="0.3">
      <c r="D31" s="151"/>
      <c r="E31" s="182" t="s">
        <v>324</v>
      </c>
      <c r="G31" s="151" t="s">
        <v>323</v>
      </c>
      <c r="H31" s="183">
        <f>H8-G13-K31</f>
        <v>1425.5</v>
      </c>
      <c r="I31" s="167" t="s">
        <v>220</v>
      </c>
      <c r="J31" s="151" t="s">
        <v>322</v>
      </c>
      <c r="K31" s="158">
        <f>H8-K30</f>
        <v>1000</v>
      </c>
      <c r="N31" s="79"/>
      <c r="P31" s="79"/>
    </row>
    <row r="32" spans="2:16" x14ac:dyDescent="0.3">
      <c r="B32" s="182" t="s">
        <v>319</v>
      </c>
      <c r="D32" s="151" t="s">
        <v>326</v>
      </c>
      <c r="E32" s="179" t="s">
        <v>327</v>
      </c>
      <c r="F32" s="158" t="s">
        <v>124</v>
      </c>
      <c r="G32" s="158" t="s">
        <v>246</v>
      </c>
      <c r="H32" s="184" t="s">
        <v>334</v>
      </c>
      <c r="I32" s="158" cm="1">
        <f t="array" ref="I32">Barx(F32,"a")</f>
        <v>254</v>
      </c>
      <c r="J32" s="151" t="s">
        <v>348</v>
      </c>
      <c r="K32" s="77">
        <f>I32/(E8*H30)</f>
        <v>7.8413212935093003E-4</v>
      </c>
      <c r="L32" s="151" t="s">
        <v>350</v>
      </c>
      <c r="M32" s="185">
        <f>RIGHT(G32,3)*K32</f>
        <v>0.23131897815852437</v>
      </c>
      <c r="N32" s="79"/>
      <c r="P32" s="79"/>
    </row>
    <row r="33" spans="2:18" x14ac:dyDescent="0.3">
      <c r="D33" s="151"/>
      <c r="E33" s="179" t="s">
        <v>330</v>
      </c>
      <c r="F33" s="158" t="s">
        <v>124</v>
      </c>
      <c r="G33" s="158" t="s">
        <v>246</v>
      </c>
      <c r="H33" s="184" t="s">
        <v>335</v>
      </c>
      <c r="I33" s="172" cm="1">
        <f t="array" ref="I33">Barx(F33,"a")*(SIN(45*PI()/180)+COS(45*PI()/180))</f>
        <v>359.21024484276609</v>
      </c>
      <c r="J33" s="151" t="s">
        <v>349</v>
      </c>
      <c r="K33" s="77">
        <f>I33/(E8*H30)</f>
        <v>1.1089302920205791E-3</v>
      </c>
      <c r="L33" s="151" t="s">
        <v>351</v>
      </c>
      <c r="M33" s="185">
        <f>RIGHT(G33,3)*K33</f>
        <v>0.32713443614607085</v>
      </c>
      <c r="N33" s="79"/>
      <c r="P33" s="79"/>
    </row>
    <row r="34" spans="2:18" x14ac:dyDescent="0.3">
      <c r="D34" s="151" t="s">
        <v>333</v>
      </c>
      <c r="F34" s="158"/>
      <c r="H34" s="182" t="s">
        <v>339</v>
      </c>
      <c r="I34" s="158" cm="1">
        <f t="array" ref="I34">RC_kantu_ps(I32,I33,E8,H30,"")</f>
        <v>2.3523963880527836E-3</v>
      </c>
      <c r="J34" s="167"/>
      <c r="N34" s="79"/>
      <c r="P34" s="79"/>
      <c r="R34" s="79"/>
    </row>
    <row r="35" spans="2:18" x14ac:dyDescent="0.3">
      <c r="D35" s="151" t="s">
        <v>336</v>
      </c>
      <c r="E35" s="179" t="s">
        <v>327</v>
      </c>
      <c r="F35" s="158" t="s">
        <v>124</v>
      </c>
      <c r="G35" s="158" t="s">
        <v>246</v>
      </c>
      <c r="H35" s="184" t="s">
        <v>334</v>
      </c>
      <c r="I35" s="158" cm="1">
        <f t="array" ref="I35">Barx(F35,"a")</f>
        <v>254</v>
      </c>
      <c r="J35" s="151" t="s">
        <v>348</v>
      </c>
      <c r="K35" s="187">
        <f>I35/(E8*H31)</f>
        <v>5.0909455328957255E-4</v>
      </c>
      <c r="L35" s="151" t="s">
        <v>350</v>
      </c>
      <c r="M35" s="185">
        <f>RIGHT(G35,3)*K35</f>
        <v>0.15018289322042391</v>
      </c>
      <c r="N35" s="79"/>
      <c r="P35" s="79"/>
    </row>
    <row r="36" spans="2:18" x14ac:dyDescent="0.3">
      <c r="D36" s="151"/>
      <c r="E36" s="179" t="s">
        <v>330</v>
      </c>
      <c r="F36" s="158" t="s">
        <v>124</v>
      </c>
      <c r="G36" s="158" t="s">
        <v>246</v>
      </c>
      <c r="H36" s="184" t="s">
        <v>335</v>
      </c>
      <c r="I36" s="172" cm="1">
        <f t="array" ref="I36">Barx(F36,"a")*(SIN(45*PI()/180)+COS(45*PI()/180))</f>
        <v>359.21024484276609</v>
      </c>
      <c r="J36" s="151" t="s">
        <v>349</v>
      </c>
      <c r="K36" s="187">
        <f>I36/(E8*H31)</f>
        <v>7.1996842179238582E-4</v>
      </c>
      <c r="L36" s="151" t="s">
        <v>351</v>
      </c>
      <c r="M36" s="185">
        <f>RIGHT(G36,3)*K36</f>
        <v>0.21239068442875381</v>
      </c>
      <c r="N36" s="79"/>
      <c r="P36" s="79"/>
    </row>
    <row r="37" spans="2:18" x14ac:dyDescent="0.3">
      <c r="B37" s="182" t="s">
        <v>324</v>
      </c>
      <c r="D37" s="151" t="s">
        <v>337</v>
      </c>
      <c r="F37" s="158"/>
      <c r="H37" s="182" t="s">
        <v>338</v>
      </c>
      <c r="I37" s="158" cm="1">
        <f t="array" ref="I37">RC_kantu_ps(I35,I36,E8,H31,"")</f>
        <v>1.5272836598687136E-3</v>
      </c>
      <c r="J37" s="167"/>
      <c r="N37" s="79"/>
      <c r="P37" s="79"/>
    </row>
    <row r="38" spans="2:18" x14ac:dyDescent="0.3">
      <c r="E38" s="151" t="s">
        <v>340</v>
      </c>
      <c r="F38" s="186">
        <f>MIN(I34,I37)</f>
        <v>1.5272836598687136E-3</v>
      </c>
      <c r="G38" s="158" t="str">
        <f>IF(I34&lt;I37,"c1","c2")</f>
        <v>c2</v>
      </c>
      <c r="H38" s="184" t="s">
        <v>346</v>
      </c>
      <c r="I38" s="158">
        <f>IF(G38="c1",H30,H31)</f>
        <v>1425.5</v>
      </c>
      <c r="K38" s="151" t="s">
        <v>352</v>
      </c>
      <c r="L38" s="185">
        <f>IF(G38="c1",M32+M33,M35+M36)</f>
        <v>0.36257357764917775</v>
      </c>
    </row>
    <row r="39" spans="2:18" x14ac:dyDescent="0.3">
      <c r="D39" s="151" t="s">
        <v>304</v>
      </c>
      <c r="E39" s="151" t="s">
        <v>372</v>
      </c>
      <c r="F39" s="167" t="s">
        <v>355</v>
      </c>
      <c r="G39" s="151"/>
      <c r="H39" s="167"/>
      <c r="I39" s="158"/>
      <c r="J39" s="167"/>
      <c r="N39" s="79"/>
      <c r="P39" s="79"/>
    </row>
    <row r="40" spans="2:18" x14ac:dyDescent="0.3">
      <c r="D40" s="151"/>
      <c r="E40" s="151" t="s">
        <v>372</v>
      </c>
      <c r="F40" s="181">
        <f>RC_Qwu_kant_S(E8,L18,E25,H4,J41,H6,F38)</f>
        <v>701.71251910600961</v>
      </c>
      <c r="G40" s="151"/>
      <c r="H40" s="167"/>
      <c r="I40" s="158"/>
      <c r="J40" s="167"/>
      <c r="N40" s="79"/>
      <c r="P40" s="79"/>
    </row>
    <row r="41" spans="2:18" x14ac:dyDescent="0.3">
      <c r="D41" s="151"/>
      <c r="E41" s="151" t="s">
        <v>373</v>
      </c>
      <c r="F41" s="179">
        <f>F40/L21</f>
        <v>2.4196983417448608</v>
      </c>
      <c r="G41" s="77" t="str">
        <f>IF(F41&gt;1,"OK","NG")</f>
        <v>OK</v>
      </c>
      <c r="I41" s="151" t="s">
        <v>344</v>
      </c>
      <c r="J41" s="167">
        <f>E9/H8</f>
        <v>0.24</v>
      </c>
      <c r="K41" s="167"/>
      <c r="N41" s="79"/>
      <c r="P41" s="79"/>
    </row>
    <row r="42" spans="2:18" x14ac:dyDescent="0.3">
      <c r="D42" s="151"/>
      <c r="E42" s="151"/>
      <c r="F42" s="179"/>
      <c r="I42" s="151"/>
      <c r="J42" s="178"/>
      <c r="K42" s="167"/>
      <c r="N42" s="79"/>
      <c r="P42" s="79"/>
    </row>
    <row r="43" spans="2:18" x14ac:dyDescent="0.3">
      <c r="D43" s="151"/>
      <c r="E43" s="151"/>
      <c r="F43" s="179"/>
      <c r="I43" s="151"/>
      <c r="J43" s="181"/>
      <c r="K43" s="167"/>
      <c r="N43" s="79"/>
      <c r="P43" s="79"/>
    </row>
    <row r="44" spans="2:18" x14ac:dyDescent="0.3">
      <c r="D44" s="151"/>
      <c r="E44" s="151"/>
      <c r="F44" s="179"/>
      <c r="N44" s="79"/>
      <c r="P44" s="79"/>
    </row>
    <row r="45" spans="2:18" x14ac:dyDescent="0.3">
      <c r="D45" s="151"/>
      <c r="E45" s="151"/>
      <c r="F45" s="179"/>
      <c r="I45" s="151"/>
      <c r="J45" s="167"/>
      <c r="K45" s="167"/>
      <c r="N45" s="79"/>
      <c r="P45" s="79"/>
    </row>
    <row r="46" spans="2:18" x14ac:dyDescent="0.3">
      <c r="D46" s="151"/>
      <c r="E46" s="151"/>
      <c r="F46" s="179"/>
      <c r="I46" s="151"/>
      <c r="J46" s="167"/>
      <c r="K46" s="167"/>
      <c r="N46" s="79"/>
      <c r="P46" s="79"/>
    </row>
    <row r="47" spans="2:18" x14ac:dyDescent="0.3">
      <c r="D47" s="151"/>
      <c r="E47" s="151"/>
      <c r="F47" s="179"/>
      <c r="I47" s="151"/>
      <c r="J47" s="167"/>
      <c r="K47" s="167"/>
      <c r="N47" s="79"/>
      <c r="P47" s="79"/>
    </row>
    <row r="48" spans="2:18" x14ac:dyDescent="0.3">
      <c r="D48" s="151"/>
      <c r="E48" s="151"/>
      <c r="F48" s="179"/>
      <c r="I48" s="151"/>
      <c r="J48" s="167"/>
      <c r="K48" s="167"/>
      <c r="N48" s="79"/>
      <c r="P48" s="79"/>
    </row>
    <row r="49" spans="3:16" x14ac:dyDescent="0.3">
      <c r="D49" s="151"/>
      <c r="E49" s="151"/>
      <c r="F49" s="179"/>
      <c r="I49" s="151"/>
      <c r="J49" s="167"/>
      <c r="K49" s="167"/>
      <c r="N49" s="79"/>
      <c r="P49" s="79"/>
    </row>
    <row r="50" spans="3:16" x14ac:dyDescent="0.3">
      <c r="D50" s="151"/>
      <c r="E50" s="151"/>
      <c r="F50" s="179"/>
      <c r="I50" s="151"/>
      <c r="J50" s="167"/>
      <c r="K50" s="167"/>
      <c r="N50" s="79"/>
      <c r="P50" s="79"/>
    </row>
    <row r="51" spans="3:16" ht="13.5" x14ac:dyDescent="0.3">
      <c r="C51" s="151"/>
      <c r="D51" s="149"/>
    </row>
    <row r="52" spans="3:16" x14ac:dyDescent="0.3">
      <c r="C5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EA01D-4981-4047-8571-1BD566B66CAC}">
  <sheetPr codeName="Sheet24"/>
  <dimension ref="B2:R62"/>
  <sheetViews>
    <sheetView topLeftCell="A28" zoomScale="150" zoomScaleNormal="150" workbookViewId="0">
      <selection activeCell="O46" sqref="O46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  <c r="I2" s="77" t="s">
        <v>354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89">
        <v>24</v>
      </c>
      <c r="F4" s="188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90" t="s">
        <v>353</v>
      </c>
      <c r="G5" s="166" t="s">
        <v>305</v>
      </c>
      <c r="H5" s="78" t="str">
        <f>RIGHT(E5,3)</f>
        <v>345</v>
      </c>
      <c r="I5" s="85" t="s">
        <v>226</v>
      </c>
      <c r="J5" s="78"/>
      <c r="K5" s="191" t="s">
        <v>139</v>
      </c>
      <c r="N5" s="79"/>
      <c r="P5" s="79"/>
    </row>
    <row r="6" spans="2:16" ht="13.5" x14ac:dyDescent="0.3">
      <c r="D6" s="151" t="s">
        <v>245</v>
      </c>
      <c r="E6" s="190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191" t="s">
        <v>137</v>
      </c>
      <c r="N6" s="79"/>
      <c r="P6" s="79"/>
    </row>
    <row r="7" spans="2:16" x14ac:dyDescent="0.3">
      <c r="D7" s="151" t="s">
        <v>249</v>
      </c>
      <c r="E7" s="190">
        <f>G7-H7*0.5-I7*0.5</f>
        <v>2815</v>
      </c>
      <c r="F7" s="77" t="s">
        <v>220</v>
      </c>
      <c r="G7" s="166">
        <v>4500</v>
      </c>
      <c r="H7" s="171">
        <v>2290</v>
      </c>
      <c r="I7" s="103">
        <v>1080</v>
      </c>
      <c r="J7" s="78"/>
      <c r="N7" s="79"/>
      <c r="P7" s="79"/>
    </row>
    <row r="8" spans="2:16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2000</v>
      </c>
      <c r="I8" s="169" t="s">
        <v>220</v>
      </c>
      <c r="N8" s="79"/>
      <c r="P8" s="79"/>
    </row>
    <row r="9" spans="2:16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1000</v>
      </c>
      <c r="J9" s="169" t="s">
        <v>220</v>
      </c>
      <c r="N9" s="79"/>
      <c r="P9" s="79"/>
    </row>
    <row r="10" spans="2:16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79"/>
    </row>
    <row r="11" spans="2:16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79"/>
    </row>
    <row r="12" spans="2:16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1925.5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1925.5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1925.5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D20" s="151" t="s">
        <v>274</v>
      </c>
      <c r="E20" s="200" t="s">
        <v>375</v>
      </c>
      <c r="F20" s="151" t="s">
        <v>254</v>
      </c>
      <c r="G20" s="103" cm="1">
        <f t="array" ref="G20">Barx(E20,"a")</f>
        <v>710</v>
      </c>
      <c r="H20" s="78" t="s">
        <v>260</v>
      </c>
      <c r="I20" s="78" t="s">
        <v>276</v>
      </c>
      <c r="J20" s="170">
        <v>2</v>
      </c>
      <c r="K20" s="151" t="s">
        <v>254</v>
      </c>
      <c r="L20" s="77">
        <f>J20*G20</f>
        <v>1420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>
        <v>75</v>
      </c>
      <c r="G21" s="77" t="s">
        <v>220</v>
      </c>
      <c r="H21" s="151" t="s">
        <v>278</v>
      </c>
      <c r="I21" s="170">
        <f>Barx(E20,"gaik")/3+F21</f>
        <v>78.666666666666671</v>
      </c>
      <c r="J21" s="78" t="s">
        <v>220</v>
      </c>
      <c r="K21" s="77" t="s">
        <v>288</v>
      </c>
      <c r="L21" s="174">
        <f>H8-I21</f>
        <v>1921.3333333333333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90">
        <v>80</v>
      </c>
      <c r="G23" s="167" t="s">
        <v>283</v>
      </c>
      <c r="H23" s="151" t="s">
        <v>284</v>
      </c>
      <c r="I23" s="190">
        <v>80</v>
      </c>
      <c r="J23" s="167" t="s">
        <v>283</v>
      </c>
      <c r="K23" s="151" t="s">
        <v>295</v>
      </c>
      <c r="L23" s="158">
        <f>MAX(F23,I23)</f>
        <v>80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566.24054602500007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796.79806800000006</v>
      </c>
      <c r="J25" s="167"/>
      <c r="K25" s="151" t="s">
        <v>289</v>
      </c>
      <c r="L25" s="172">
        <f>I24+I25</f>
        <v>1363.0386140250002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566.24054602500007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902.42806112255789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1.2775902363022591E-3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3.6285714285714285E-3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0.78442611741897594</v>
      </c>
      <c r="F30" s="158"/>
      <c r="G30" s="151" t="s">
        <v>302</v>
      </c>
      <c r="H30" s="178">
        <f>RC_shear_mbqd(E30)</f>
        <v>1</v>
      </c>
      <c r="I30" s="158">
        <v>1</v>
      </c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376</v>
      </c>
      <c r="G31" s="151"/>
      <c r="H31" s="167"/>
      <c r="I31" s="158"/>
      <c r="J31" s="167"/>
      <c r="N31" s="79"/>
      <c r="P31" s="79"/>
    </row>
    <row r="32" spans="2:16" ht="13.5" x14ac:dyDescent="0.3">
      <c r="C32" s="149"/>
      <c r="D32" s="148"/>
      <c r="E32" s="148" t="s">
        <v>303</v>
      </c>
      <c r="F32" s="196">
        <f>RC_Qwu1(J33,J34,E4,H30,G29,H6,E8,J35)</f>
        <v>1265.2942003635847</v>
      </c>
      <c r="G32" s="148"/>
      <c r="H32" s="167"/>
      <c r="I32" s="158"/>
      <c r="J32" s="167"/>
      <c r="N32" s="79"/>
      <c r="P32" s="79"/>
    </row>
    <row r="33" spans="2:18" ht="13.5" x14ac:dyDescent="0.3">
      <c r="C33" s="149"/>
      <c r="D33" s="148"/>
      <c r="E33" s="148" t="s">
        <v>316</v>
      </c>
      <c r="F33" s="195">
        <f>F32/H27</f>
        <v>1.4020997959545345</v>
      </c>
      <c r="G33" s="149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0.50977914823823867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1684.8125</v>
      </c>
      <c r="K35" s="167" t="s">
        <v>220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925.5</v>
      </c>
      <c r="I37" s="167" t="s">
        <v>220</v>
      </c>
      <c r="J37" s="151" t="s">
        <v>322</v>
      </c>
      <c r="K37" s="158">
        <f>I9</f>
        <v>1000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925.5</v>
      </c>
      <c r="I38" s="167" t="s">
        <v>220</v>
      </c>
      <c r="J38" s="151" t="s">
        <v>322</v>
      </c>
      <c r="K38" s="158">
        <f>H8-K37</f>
        <v>1000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377</v>
      </c>
      <c r="G39" s="158" t="s">
        <v>246</v>
      </c>
      <c r="H39" s="184" t="s">
        <v>334</v>
      </c>
      <c r="I39" s="158" cm="1">
        <f t="array" ref="I39">Barx(F39,"a")</f>
        <v>508</v>
      </c>
      <c r="J39" s="151" t="s">
        <v>348</v>
      </c>
      <c r="K39" s="77">
        <f>I39/(E8*H37)</f>
        <v>1.5682642587018601E-3</v>
      </c>
      <c r="L39" s="151" t="s">
        <v>350</v>
      </c>
      <c r="M39" s="185">
        <f>RIGHT(G39,3)*K39</f>
        <v>0.46263795631704874</v>
      </c>
      <c r="N39" s="79"/>
      <c r="P39" s="79"/>
    </row>
    <row r="40" spans="2:18" x14ac:dyDescent="0.3">
      <c r="D40" s="151"/>
      <c r="E40" s="179" t="s">
        <v>330</v>
      </c>
      <c r="F40" s="158" t="s">
        <v>378</v>
      </c>
      <c r="G40" s="158" t="s">
        <v>353</v>
      </c>
      <c r="H40" s="184" t="s">
        <v>335</v>
      </c>
      <c r="I40" s="172" cm="1">
        <f t="array" ref="I40">Barx(F40,"a")*(SIN(45*PI()/180)+COS(45*PI()/180))</f>
        <v>811.75858480215652</v>
      </c>
      <c r="J40" s="151" t="s">
        <v>349</v>
      </c>
      <c r="K40" s="77">
        <f>I40/(E8*H37)</f>
        <v>2.5060078252748521E-3</v>
      </c>
      <c r="L40" s="151" t="s">
        <v>351</v>
      </c>
      <c r="M40" s="185">
        <f>RIGHT(G40,3)*K40</f>
        <v>0.86457269971982398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5.1122945126186479E-3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377</v>
      </c>
      <c r="G42" s="158" t="s">
        <v>246</v>
      </c>
      <c r="H42" s="184" t="s">
        <v>334</v>
      </c>
      <c r="I42" s="158" cm="1">
        <f t="array" ref="I42">Barx(F42,"a")</f>
        <v>508</v>
      </c>
      <c r="J42" s="151" t="s">
        <v>348</v>
      </c>
      <c r="K42" s="187">
        <f>I42/(E8*H38)</f>
        <v>1.5682642587018601E-3</v>
      </c>
      <c r="L42" s="151" t="s">
        <v>350</v>
      </c>
      <c r="M42" s="185">
        <f>RIGHT(G42,3)*K42</f>
        <v>0.46263795631704874</v>
      </c>
      <c r="N42" s="79"/>
      <c r="P42" s="79"/>
    </row>
    <row r="43" spans="2:18" x14ac:dyDescent="0.3">
      <c r="D43" s="151"/>
      <c r="E43" s="179" t="s">
        <v>330</v>
      </c>
      <c r="F43" s="158" t="s">
        <v>378</v>
      </c>
      <c r="G43" s="158" t="s">
        <v>353</v>
      </c>
      <c r="H43" s="184" t="s">
        <v>335</v>
      </c>
      <c r="I43" s="172" cm="1">
        <f t="array" ref="I43">Barx(F43,"a")*(SIN(45*PI()/180)+COS(45*PI()/180))</f>
        <v>811.75858480215652</v>
      </c>
      <c r="J43" s="151" t="s">
        <v>349</v>
      </c>
      <c r="K43" s="187">
        <f>I43/(E8*H38)</f>
        <v>2.5060078252748521E-3</v>
      </c>
      <c r="L43" s="151" t="s">
        <v>351</v>
      </c>
      <c r="M43" s="185">
        <f>RIGHT(G43,3)*K43</f>
        <v>0.86457269971982398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5.1122945126186479E-3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5.1122945126186479E-3</v>
      </c>
      <c r="G45" s="158" t="str">
        <f>IF(I41&lt;I44,"c1","c2")</f>
        <v>c2</v>
      </c>
      <c r="H45" s="184" t="s">
        <v>346</v>
      </c>
      <c r="I45" s="158">
        <f>IF(G45="c1",H37,H38)</f>
        <v>925.5</v>
      </c>
      <c r="K45" s="151" t="s">
        <v>352</v>
      </c>
      <c r="L45" s="185">
        <f>IF(G45="c1",M39+M40,M42+M43)</f>
        <v>1.3272106560368728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1.2775902363022591E-3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0.50977914823823867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ht="13.5" x14ac:dyDescent="0.3">
      <c r="D50" s="148"/>
      <c r="E50" s="148" t="s">
        <v>303</v>
      </c>
      <c r="F50" s="194">
        <f>RC_Qwu_k(J33,J52,E4,H30,G29,H6,E8,J53,J51,L45)</f>
        <v>963.49237836683471</v>
      </c>
      <c r="G50" s="148"/>
      <c r="H50" s="167"/>
      <c r="I50" s="158"/>
      <c r="J50" s="167"/>
      <c r="N50" s="79"/>
      <c r="P50" s="79"/>
    </row>
    <row r="51" spans="3:16" ht="13.5" x14ac:dyDescent="0.3">
      <c r="D51" s="148"/>
      <c r="E51" s="148" t="s">
        <v>316</v>
      </c>
      <c r="F51" s="195">
        <f>F50/H27</f>
        <v>1.0676666871022573</v>
      </c>
      <c r="G51" s="149" t="str">
        <f>IF(F51&gt;1,"OK","NG")</f>
        <v>OK</v>
      </c>
      <c r="I51" s="151" t="s">
        <v>344</v>
      </c>
      <c r="J51" s="167">
        <f>E9/H8</f>
        <v>0.3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0.50977914823823867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1684.8125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D2861-54D7-4243-A661-5F9A85076BB5}">
  <sheetPr codeName="Sheet23"/>
  <dimension ref="B2:R62"/>
  <sheetViews>
    <sheetView topLeftCell="A31" zoomScale="150" zoomScaleNormal="150" workbookViewId="0">
      <selection activeCell="G43" sqref="G43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89">
        <v>24</v>
      </c>
      <c r="F4" s="188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90" t="s">
        <v>353</v>
      </c>
      <c r="G5" s="166" t="s">
        <v>305</v>
      </c>
      <c r="H5" s="78" t="str">
        <f>RIGHT(E5,3)</f>
        <v>345</v>
      </c>
      <c r="I5" s="85" t="s">
        <v>226</v>
      </c>
      <c r="J5" s="78"/>
      <c r="K5" s="191" t="s">
        <v>139</v>
      </c>
      <c r="N5" s="79"/>
      <c r="P5" s="79"/>
    </row>
    <row r="6" spans="2:16" ht="13.5" x14ac:dyDescent="0.3">
      <c r="D6" s="151" t="s">
        <v>245</v>
      </c>
      <c r="E6" s="190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191" t="s">
        <v>137</v>
      </c>
      <c r="N6" s="79"/>
      <c r="P6" s="79"/>
    </row>
    <row r="7" spans="2:16" x14ac:dyDescent="0.3">
      <c r="D7" s="151" t="s">
        <v>249</v>
      </c>
      <c r="E7" s="190">
        <v>5600</v>
      </c>
      <c r="F7" s="77" t="s">
        <v>220</v>
      </c>
      <c r="G7" s="166"/>
      <c r="H7" s="78"/>
      <c r="I7" s="103"/>
      <c r="J7" s="78"/>
      <c r="N7" s="79"/>
      <c r="P7" s="79"/>
    </row>
    <row r="8" spans="2:16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2500</v>
      </c>
      <c r="I8" s="169" t="s">
        <v>220</v>
      </c>
      <c r="N8" s="79"/>
      <c r="P8" s="79"/>
    </row>
    <row r="9" spans="2:16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1250</v>
      </c>
      <c r="J9" s="169" t="s">
        <v>220</v>
      </c>
      <c r="N9" s="79"/>
      <c r="P9" s="79"/>
    </row>
    <row r="10" spans="2:16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79"/>
    </row>
    <row r="11" spans="2:16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79"/>
    </row>
    <row r="12" spans="2:16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2425.5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2425.5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2425.5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D20" s="151" t="s">
        <v>274</v>
      </c>
      <c r="E20" s="200" t="s">
        <v>375</v>
      </c>
      <c r="F20" s="151" t="s">
        <v>254</v>
      </c>
      <c r="G20" s="103" cm="1">
        <f t="array" ref="G20">Barx(E20,"a")</f>
        <v>710</v>
      </c>
      <c r="H20" s="78" t="s">
        <v>260</v>
      </c>
      <c r="I20" s="78" t="s">
        <v>276</v>
      </c>
      <c r="J20" s="170">
        <v>2</v>
      </c>
      <c r="K20" s="151" t="s">
        <v>254</v>
      </c>
      <c r="L20" s="77">
        <f>J20*G20</f>
        <v>1420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>
        <v>75</v>
      </c>
      <c r="G21" s="77" t="s">
        <v>220</v>
      </c>
      <c r="H21" s="151" t="s">
        <v>278</v>
      </c>
      <c r="I21" s="170" cm="1">
        <f t="array" ref="I21">Barx(E20,"gaik")/3+F21</f>
        <v>78.666666666666671</v>
      </c>
      <c r="J21" s="78" t="s">
        <v>220</v>
      </c>
      <c r="K21" s="77" t="s">
        <v>288</v>
      </c>
      <c r="L21" s="174">
        <f>H8-I21</f>
        <v>2421.3333333333335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90">
        <v>119</v>
      </c>
      <c r="G23" s="167" t="s">
        <v>283</v>
      </c>
      <c r="H23" s="151" t="s">
        <v>284</v>
      </c>
      <c r="I23" s="190">
        <v>108</v>
      </c>
      <c r="J23" s="167" t="s">
        <v>283</v>
      </c>
      <c r="K23" s="151" t="s">
        <v>295</v>
      </c>
      <c r="L23" s="158">
        <f>MAX(F23,I23)</f>
        <v>119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713.27782102500009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1004.1535680000002</v>
      </c>
      <c r="J25" s="167"/>
      <c r="K25" s="151" t="s">
        <v>289</v>
      </c>
      <c r="L25" s="172">
        <f>I24+I25</f>
        <v>1717.4313890250003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713.27782102500009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639.86625929642867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1.0142238713667284E-3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3.6285714285714285E-3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1.1065955185894356</v>
      </c>
      <c r="F30" s="158"/>
      <c r="G30" s="151" t="s">
        <v>302</v>
      </c>
      <c r="H30" s="178">
        <f>IF(E30&gt;3,3,E30)</f>
        <v>1.1065955185894356</v>
      </c>
      <c r="I30" s="158"/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310</v>
      </c>
      <c r="G31" s="151"/>
      <c r="H31" s="167"/>
      <c r="I31" s="158"/>
      <c r="J31" s="167"/>
      <c r="N31" s="79"/>
      <c r="P31" s="79"/>
    </row>
    <row r="32" spans="2:16" x14ac:dyDescent="0.3">
      <c r="D32" s="151"/>
      <c r="E32" s="151" t="s">
        <v>303</v>
      </c>
      <c r="F32" s="180" cm="1">
        <f t="array" ref="F32">RC_Qwu1(J33,J34,E4,H30,G29,H6,E8,J35)</f>
        <v>1467.7010273092394</v>
      </c>
      <c r="G32" s="151"/>
      <c r="H32" s="167"/>
      <c r="I32" s="158"/>
      <c r="J32" s="167"/>
      <c r="N32" s="79"/>
      <c r="P32" s="79"/>
    </row>
    <row r="33" spans="2:18" x14ac:dyDescent="0.3">
      <c r="D33" s="151"/>
      <c r="E33" s="151" t="s">
        <v>316</v>
      </c>
      <c r="F33" s="179">
        <f>F32/H27</f>
        <v>2.2937621823083227</v>
      </c>
      <c r="G33" s="77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0.48341796235131962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2122.3125</v>
      </c>
      <c r="K35" s="167" t="s">
        <v>220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1175.5</v>
      </c>
      <c r="I37" s="167" t="s">
        <v>220</v>
      </c>
      <c r="J37" s="151" t="s">
        <v>322</v>
      </c>
      <c r="K37" s="158">
        <f>I9</f>
        <v>1250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1175.5</v>
      </c>
      <c r="I38" s="167" t="s">
        <v>220</v>
      </c>
      <c r="J38" s="151" t="s">
        <v>322</v>
      </c>
      <c r="K38" s="158">
        <f>H8-K37</f>
        <v>1250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377</v>
      </c>
      <c r="G39" s="158" t="s">
        <v>246</v>
      </c>
      <c r="H39" s="184" t="s">
        <v>334</v>
      </c>
      <c r="I39" s="158" cm="1">
        <f t="array" ref="I39">Barx(F39,"a")</f>
        <v>508</v>
      </c>
      <c r="J39" s="151" t="s">
        <v>348</v>
      </c>
      <c r="K39" s="77">
        <f>I39/(E8*H37)</f>
        <v>1.2347329403901075E-3</v>
      </c>
      <c r="L39" s="151" t="s">
        <v>350</v>
      </c>
      <c r="M39" s="185">
        <f>RIGHT(G39,3)*K39</f>
        <v>0.36424621741508173</v>
      </c>
      <c r="N39" s="79"/>
      <c r="P39" s="79"/>
    </row>
    <row r="40" spans="2:18" x14ac:dyDescent="0.3">
      <c r="D40" s="151"/>
      <c r="E40" s="179" t="s">
        <v>330</v>
      </c>
      <c r="F40" s="158" t="s">
        <v>378</v>
      </c>
      <c r="G40" s="158" t="s">
        <v>353</v>
      </c>
      <c r="H40" s="184" t="s">
        <v>335</v>
      </c>
      <c r="I40" s="172" cm="1">
        <f t="array" ref="I40">Barx(F40,"a")*(SIN(45*PI()/180)+COS(45*PI()/180))</f>
        <v>811.75858480215652</v>
      </c>
      <c r="J40" s="151" t="s">
        <v>349</v>
      </c>
      <c r="K40" s="77">
        <f>I40/(E8*H37)</f>
        <v>1.9730414651568488E-3</v>
      </c>
      <c r="L40" s="151" t="s">
        <v>351</v>
      </c>
      <c r="M40" s="185">
        <f>RIGHT(G40,3)*K40</f>
        <v>0.68069930547911284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4.0250349395393945E-3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377</v>
      </c>
      <c r="G42" s="158" t="s">
        <v>246</v>
      </c>
      <c r="H42" s="184" t="s">
        <v>334</v>
      </c>
      <c r="I42" s="158" cm="1">
        <f t="array" ref="I42">Barx(F42,"a")</f>
        <v>508</v>
      </c>
      <c r="J42" s="151" t="s">
        <v>348</v>
      </c>
      <c r="K42" s="187">
        <f>I42/(E8*H38)</f>
        <v>1.2347329403901075E-3</v>
      </c>
      <c r="L42" s="151" t="s">
        <v>350</v>
      </c>
      <c r="M42" s="185">
        <f>RIGHT(G42,3)*K42</f>
        <v>0.36424621741508173</v>
      </c>
      <c r="N42" s="79"/>
      <c r="P42" s="79"/>
    </row>
    <row r="43" spans="2:18" x14ac:dyDescent="0.3">
      <c r="D43" s="151"/>
      <c r="E43" s="179" t="s">
        <v>330</v>
      </c>
      <c r="F43" s="158" t="s">
        <v>378</v>
      </c>
      <c r="G43" s="158" t="s">
        <v>353</v>
      </c>
      <c r="H43" s="184" t="s">
        <v>335</v>
      </c>
      <c r="I43" s="172" cm="1">
        <f t="array" ref="I43">Barx(F43,"a")*(SIN(45*PI()/180)+COS(45*PI()/180))</f>
        <v>811.75858480215652</v>
      </c>
      <c r="J43" s="151" t="s">
        <v>349</v>
      </c>
      <c r="K43" s="187">
        <f>I43/(E8*H38)</f>
        <v>1.9730414651568488E-3</v>
      </c>
      <c r="L43" s="151" t="s">
        <v>351</v>
      </c>
      <c r="M43" s="185">
        <f>RIGHT(G43,3)*K43</f>
        <v>0.68069930547911284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4.0250349395393945E-3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4.0250349395393945E-3</v>
      </c>
      <c r="G45" s="158" t="str">
        <f>IF(I41&lt;I44,"c1","c2")</f>
        <v>c2</v>
      </c>
      <c r="H45" s="184" t="s">
        <v>346</v>
      </c>
      <c r="I45" s="158">
        <f>IF(G45="c1",H37,H38)</f>
        <v>1175.5</v>
      </c>
      <c r="K45" s="151" t="s">
        <v>352</v>
      </c>
      <c r="L45" s="185">
        <f>IF(G45="c1",M39+M40,M42+M43)</f>
        <v>1.0449455228941946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1.0142238713667284E-3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0.48341796235131962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x14ac:dyDescent="0.3">
      <c r="D50" s="151"/>
      <c r="E50" s="151" t="s">
        <v>303</v>
      </c>
      <c r="F50" s="181" cm="1">
        <f t="array" ref="F50">RC_Qwu_k(J33,J52,E4,H30,G29,H6,E8,J53,J51,L45)</f>
        <v>1145.1721433283183</v>
      </c>
      <c r="G50" s="151"/>
      <c r="H50" s="167"/>
      <c r="I50" s="158"/>
      <c r="J50" s="167"/>
      <c r="N50" s="79"/>
      <c r="P50" s="79"/>
    </row>
    <row r="51" spans="3:16" x14ac:dyDescent="0.3">
      <c r="D51" s="151"/>
      <c r="E51" s="151" t="s">
        <v>316</v>
      </c>
      <c r="F51" s="179">
        <f>F50/H27</f>
        <v>1.789705468432581</v>
      </c>
      <c r="G51" s="77" t="str">
        <f>IF(F51&gt;1,"OK","NG")</f>
        <v>OK</v>
      </c>
      <c r="I51" s="151" t="s">
        <v>344</v>
      </c>
      <c r="J51" s="167">
        <f>E9/H8</f>
        <v>0.24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0.48341796235131962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2122.3125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23BE7-AB30-4EBE-B70A-0B094CACA5E6}">
  <sheetPr codeName="Sheet25"/>
  <dimension ref="B2:R62"/>
  <sheetViews>
    <sheetView topLeftCell="A25" zoomScale="150" zoomScaleNormal="150" workbookViewId="0">
      <selection activeCell="I24" sqref="I24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89">
        <v>24</v>
      </c>
      <c r="F4" s="188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90" t="s">
        <v>353</v>
      </c>
      <c r="G5" s="166" t="s">
        <v>305</v>
      </c>
      <c r="H5" s="78" t="str">
        <f>RIGHT(E5,3)</f>
        <v>345</v>
      </c>
      <c r="I5" s="85" t="s">
        <v>226</v>
      </c>
      <c r="J5" s="78"/>
      <c r="K5" s="191" t="s">
        <v>139</v>
      </c>
      <c r="N5" s="79"/>
      <c r="P5" s="79"/>
    </row>
    <row r="6" spans="2:16" ht="13.5" x14ac:dyDescent="0.3">
      <c r="D6" s="151" t="s">
        <v>245</v>
      </c>
      <c r="E6" s="190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191" t="s">
        <v>137</v>
      </c>
      <c r="N6" s="79"/>
      <c r="P6" s="79"/>
    </row>
    <row r="7" spans="2:16" x14ac:dyDescent="0.3">
      <c r="D7" s="151" t="s">
        <v>249</v>
      </c>
      <c r="E7" s="201">
        <v>4025</v>
      </c>
      <c r="F7" s="77" t="s">
        <v>220</v>
      </c>
      <c r="G7" s="166">
        <v>3015</v>
      </c>
      <c r="H7" s="78"/>
      <c r="I7" s="103"/>
      <c r="J7" s="78"/>
      <c r="N7" s="79"/>
      <c r="P7" s="79"/>
    </row>
    <row r="8" spans="2:16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2500</v>
      </c>
      <c r="I8" s="169" t="s">
        <v>220</v>
      </c>
      <c r="N8" s="79"/>
      <c r="P8" s="79"/>
    </row>
    <row r="9" spans="2:16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1250</v>
      </c>
      <c r="J9" s="169" t="s">
        <v>220</v>
      </c>
      <c r="N9" s="79"/>
      <c r="P9" s="79"/>
    </row>
    <row r="10" spans="2:16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79"/>
    </row>
    <row r="11" spans="2:16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79"/>
    </row>
    <row r="12" spans="2:16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2425.5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2425.5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2425.5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D20" s="151" t="s">
        <v>274</v>
      </c>
      <c r="E20" s="200" t="s">
        <v>380</v>
      </c>
      <c r="F20" s="151" t="s">
        <v>254</v>
      </c>
      <c r="G20" s="103" cm="1">
        <f t="array" ref="G20">Barx(E20,"a")</f>
        <v>710</v>
      </c>
      <c r="H20" s="78" t="s">
        <v>260</v>
      </c>
      <c r="I20" s="78" t="s">
        <v>276</v>
      </c>
      <c r="J20" s="170">
        <v>2</v>
      </c>
      <c r="K20" s="151" t="s">
        <v>254</v>
      </c>
      <c r="L20" s="77">
        <f>J20*G20</f>
        <v>1420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/>
      <c r="G21" s="77" t="s">
        <v>220</v>
      </c>
      <c r="H21" s="151" t="s">
        <v>278</v>
      </c>
      <c r="I21" s="170" cm="1">
        <f t="array" ref="I21">Barx(E20,"gaik")/3+F21</f>
        <v>3.6666666666666665</v>
      </c>
      <c r="J21" s="78" t="s">
        <v>220</v>
      </c>
      <c r="K21" s="77" t="s">
        <v>288</v>
      </c>
      <c r="L21" s="174">
        <f>H8-I21</f>
        <v>2496.3333333333335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90">
        <v>185</v>
      </c>
      <c r="G23" s="167" t="s">
        <v>283</v>
      </c>
      <c r="H23" s="151" t="s">
        <v>284</v>
      </c>
      <c r="I23" s="190">
        <v>185</v>
      </c>
      <c r="J23" s="167" t="s">
        <v>283</v>
      </c>
      <c r="K23" s="151" t="s">
        <v>295</v>
      </c>
      <c r="L23" s="158">
        <f>MAX(F23,I23)</f>
        <v>185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713.27782102500009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1035.2568930000002</v>
      </c>
      <c r="J25" s="167"/>
      <c r="K25" s="151" t="s">
        <v>289</v>
      </c>
      <c r="L25" s="172">
        <f>I24+I25</f>
        <v>1748.5347140250003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713.27782102500009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918.95653218882001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1.0142238713667284E-3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3.6285714285714285E-3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0.78447301822285176</v>
      </c>
      <c r="F30" s="158"/>
      <c r="G30" s="151" t="s">
        <v>302</v>
      </c>
      <c r="H30" s="178">
        <f>IF(E30&gt;3,3,E30)</f>
        <v>0.78447301822285176</v>
      </c>
      <c r="I30" s="158"/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310</v>
      </c>
      <c r="G31" s="151"/>
      <c r="H31" s="167"/>
      <c r="I31" s="158"/>
      <c r="J31" s="167"/>
      <c r="N31" s="79"/>
      <c r="P31" s="79"/>
    </row>
    <row r="32" spans="2:16" x14ac:dyDescent="0.3">
      <c r="D32" s="151"/>
      <c r="E32" s="151" t="s">
        <v>303</v>
      </c>
      <c r="F32" s="180" cm="1">
        <f t="array" ref="F32">RC_Qwu1(J33,J34,E4,H30,G29,H6,E8,J35)</f>
        <v>1757.7650369557418</v>
      </c>
      <c r="G32" s="151"/>
      <c r="H32" s="167"/>
      <c r="I32" s="158"/>
      <c r="J32" s="167"/>
      <c r="N32" s="79"/>
      <c r="P32" s="79"/>
    </row>
    <row r="33" spans="2:18" x14ac:dyDescent="0.3">
      <c r="D33" s="151"/>
      <c r="E33" s="151" t="s">
        <v>316</v>
      </c>
      <c r="F33" s="179">
        <f>F32/H27</f>
        <v>1.9127836577525628</v>
      </c>
      <c r="G33" s="77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0.48341796235131962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2122.3125</v>
      </c>
      <c r="K35" s="167" t="s">
        <v>220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1175.5</v>
      </c>
      <c r="I37" s="167" t="s">
        <v>220</v>
      </c>
      <c r="J37" s="151" t="s">
        <v>322</v>
      </c>
      <c r="K37" s="158">
        <f>I9</f>
        <v>1250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1175.5</v>
      </c>
      <c r="I38" s="167" t="s">
        <v>220</v>
      </c>
      <c r="J38" s="151" t="s">
        <v>322</v>
      </c>
      <c r="K38" s="158">
        <f>H8-K37</f>
        <v>1250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377</v>
      </c>
      <c r="G39" s="158" t="s">
        <v>246</v>
      </c>
      <c r="H39" s="184" t="s">
        <v>334</v>
      </c>
      <c r="I39" s="158" cm="1">
        <f t="array" ref="I39">Barx(F39,"a")</f>
        <v>508</v>
      </c>
      <c r="J39" s="151" t="s">
        <v>348</v>
      </c>
      <c r="K39" s="77">
        <f>I39/(E8*H37)</f>
        <v>1.2347329403901075E-3</v>
      </c>
      <c r="L39" s="151" t="s">
        <v>350</v>
      </c>
      <c r="M39" s="185">
        <f>RIGHT(G39,3)*K39</f>
        <v>0.36424621741508173</v>
      </c>
      <c r="N39" s="79"/>
      <c r="P39" s="79"/>
    </row>
    <row r="40" spans="2:18" x14ac:dyDescent="0.3">
      <c r="D40" s="151"/>
      <c r="E40" s="179" t="s">
        <v>330</v>
      </c>
      <c r="F40" s="158" t="s">
        <v>378</v>
      </c>
      <c r="G40" s="158" t="s">
        <v>353</v>
      </c>
      <c r="H40" s="184" t="s">
        <v>335</v>
      </c>
      <c r="I40" s="172" cm="1">
        <f t="array" ref="I40">Barx(F40,"a")*(SIN(45*PI()/180)+COS(45*PI()/180))</f>
        <v>811.75858480215652</v>
      </c>
      <c r="J40" s="151" t="s">
        <v>349</v>
      </c>
      <c r="K40" s="77">
        <f>I40/(E8*H37)</f>
        <v>1.9730414651568488E-3</v>
      </c>
      <c r="L40" s="151" t="s">
        <v>351</v>
      </c>
      <c r="M40" s="185">
        <f>RIGHT(G40,3)*K40</f>
        <v>0.68069930547911284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4.0250349395393945E-3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377</v>
      </c>
      <c r="G42" s="158" t="s">
        <v>246</v>
      </c>
      <c r="H42" s="184" t="s">
        <v>334</v>
      </c>
      <c r="I42" s="158" cm="1">
        <f t="array" ref="I42">Barx(F42,"a")</f>
        <v>508</v>
      </c>
      <c r="J42" s="151" t="s">
        <v>348</v>
      </c>
      <c r="K42" s="187">
        <f>I42/(E8*H38)</f>
        <v>1.2347329403901075E-3</v>
      </c>
      <c r="L42" s="151" t="s">
        <v>350</v>
      </c>
      <c r="M42" s="185">
        <f>RIGHT(G42,3)*K42</f>
        <v>0.36424621741508173</v>
      </c>
      <c r="N42" s="79"/>
      <c r="P42" s="79"/>
    </row>
    <row r="43" spans="2:18" x14ac:dyDescent="0.3">
      <c r="D43" s="151"/>
      <c r="E43" s="179" t="s">
        <v>330</v>
      </c>
      <c r="F43" s="158" t="s">
        <v>378</v>
      </c>
      <c r="G43" s="158" t="s">
        <v>353</v>
      </c>
      <c r="H43" s="184" t="s">
        <v>335</v>
      </c>
      <c r="I43" s="172" cm="1">
        <f t="array" ref="I43">Barx(F43,"a")*(SIN(45*PI()/180)+COS(45*PI()/180))</f>
        <v>811.75858480215652</v>
      </c>
      <c r="J43" s="151" t="s">
        <v>349</v>
      </c>
      <c r="K43" s="187">
        <f>I43/(E8*H38)</f>
        <v>1.9730414651568488E-3</v>
      </c>
      <c r="L43" s="151" t="s">
        <v>351</v>
      </c>
      <c r="M43" s="185">
        <f>RIGHT(G43,3)*K43</f>
        <v>0.68069930547911284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4.0250349395393945E-3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4.0250349395393945E-3</v>
      </c>
      <c r="G45" s="158" t="str">
        <f>IF(I41&lt;I44,"c1","c2")</f>
        <v>c2</v>
      </c>
      <c r="H45" s="184" t="s">
        <v>346</v>
      </c>
      <c r="I45" s="158">
        <f>IF(G45="c1",H37,H38)</f>
        <v>1175.5</v>
      </c>
      <c r="K45" s="151" t="s">
        <v>352</v>
      </c>
      <c r="L45" s="185">
        <f>IF(G45="c1",M39+M40,M42+M43)</f>
        <v>1.0449455228941946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1.0142238713667284E-3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0.48341796235131962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x14ac:dyDescent="0.3">
      <c r="D50" s="151"/>
      <c r="E50" s="151" t="s">
        <v>303</v>
      </c>
      <c r="F50" s="181" cm="1">
        <f t="array" ref="F50">RC_Qwu_k(J33,J52,E4,H30,G29,H6,E8,J53,J51,L45)</f>
        <v>1323.1554196474124</v>
      </c>
      <c r="G50" s="151"/>
      <c r="H50" s="167"/>
      <c r="I50" s="158"/>
      <c r="J50" s="167"/>
      <c r="N50" s="79"/>
      <c r="P50" s="79"/>
    </row>
    <row r="51" spans="3:16" x14ac:dyDescent="0.3">
      <c r="D51" s="151"/>
      <c r="E51" s="151" t="s">
        <v>316</v>
      </c>
      <c r="F51" s="179">
        <f>F50/H27</f>
        <v>1.4398454913812406</v>
      </c>
      <c r="G51" s="77" t="str">
        <f>IF(F51&gt;1,"OK","NG")</f>
        <v>OK</v>
      </c>
      <c r="I51" s="151" t="s">
        <v>344</v>
      </c>
      <c r="J51" s="167">
        <f>E9/H8</f>
        <v>0.24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0.48341796235131962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2122.3125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9226B-1499-48C4-8995-F7894BF92AB6}">
  <sheetPr codeName="Sheet22"/>
  <dimension ref="B2:R62"/>
  <sheetViews>
    <sheetView zoomScale="150" zoomScaleNormal="150" workbookViewId="0">
      <selection activeCell="F43" sqref="F43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6" x14ac:dyDescent="0.3">
      <c r="B2" s="77" t="s">
        <v>243</v>
      </c>
    </row>
    <row r="3" spans="2:16" x14ac:dyDescent="0.3">
      <c r="B3" s="77" t="s">
        <v>279</v>
      </c>
      <c r="H3" s="78"/>
      <c r="I3" s="78"/>
      <c r="J3" s="78"/>
      <c r="N3" s="79"/>
      <c r="P3" s="79"/>
    </row>
    <row r="4" spans="2:16" ht="13.5" x14ac:dyDescent="0.3">
      <c r="D4" s="151" t="s">
        <v>247</v>
      </c>
      <c r="E4" s="189">
        <v>24</v>
      </c>
      <c r="F4" s="188" t="s">
        <v>226</v>
      </c>
      <c r="H4" s="78"/>
      <c r="J4" s="78"/>
      <c r="N4" s="79"/>
      <c r="P4" s="79"/>
    </row>
    <row r="5" spans="2:16" ht="13.5" x14ac:dyDescent="0.3">
      <c r="D5" s="151" t="s">
        <v>244</v>
      </c>
      <c r="E5" s="190" t="s">
        <v>353</v>
      </c>
      <c r="G5" s="166" t="s">
        <v>305</v>
      </c>
      <c r="H5" s="78" t="str">
        <f>RIGHT(E5,3)</f>
        <v>345</v>
      </c>
      <c r="I5" s="85" t="s">
        <v>226</v>
      </c>
      <c r="J5" s="78"/>
      <c r="K5" s="191" t="s">
        <v>139</v>
      </c>
      <c r="N5" s="79"/>
      <c r="P5" s="79"/>
    </row>
    <row r="6" spans="2:16" ht="13.5" x14ac:dyDescent="0.3">
      <c r="D6" s="151" t="s">
        <v>245</v>
      </c>
      <c r="E6" s="190" t="s">
        <v>246</v>
      </c>
      <c r="G6" s="166" t="s">
        <v>306</v>
      </c>
      <c r="H6" s="78" t="str">
        <f>RIGHT(E6,3)</f>
        <v>295</v>
      </c>
      <c r="I6" s="85" t="s">
        <v>248</v>
      </c>
      <c r="J6" s="78"/>
      <c r="K6" s="191" t="s">
        <v>137</v>
      </c>
      <c r="N6" s="79"/>
      <c r="P6" s="79"/>
    </row>
    <row r="7" spans="2:16" x14ac:dyDescent="0.3">
      <c r="D7" s="151" t="s">
        <v>249</v>
      </c>
      <c r="E7" s="190">
        <v>3700</v>
      </c>
      <c r="F7" s="77" t="s">
        <v>220</v>
      </c>
      <c r="G7" s="166"/>
      <c r="H7" s="78"/>
      <c r="I7" s="103"/>
      <c r="J7" s="78"/>
      <c r="N7" s="79"/>
      <c r="P7" s="79"/>
    </row>
    <row r="8" spans="2:16" x14ac:dyDescent="0.3">
      <c r="D8" s="151" t="s">
        <v>252</v>
      </c>
      <c r="E8" s="190">
        <v>350</v>
      </c>
      <c r="F8" s="152" t="s">
        <v>220</v>
      </c>
      <c r="G8" s="168" t="s">
        <v>250</v>
      </c>
      <c r="H8" s="189">
        <v>2500</v>
      </c>
      <c r="I8" s="169" t="s">
        <v>220</v>
      </c>
      <c r="N8" s="79"/>
      <c r="P8" s="79"/>
    </row>
    <row r="9" spans="2:16" x14ac:dyDescent="0.3">
      <c r="D9" s="151" t="s">
        <v>251</v>
      </c>
      <c r="E9" s="190">
        <v>600</v>
      </c>
      <c r="F9" s="77" t="s">
        <v>220</v>
      </c>
      <c r="H9" s="166" t="s">
        <v>321</v>
      </c>
      <c r="I9" s="189">
        <v>1250</v>
      </c>
      <c r="J9" s="169" t="s">
        <v>220</v>
      </c>
      <c r="N9" s="79"/>
      <c r="P9" s="79"/>
    </row>
    <row r="10" spans="2:16" x14ac:dyDescent="0.3">
      <c r="D10" s="151" t="s">
        <v>253</v>
      </c>
      <c r="E10" s="190" t="s">
        <v>125</v>
      </c>
      <c r="F10" s="151" t="s">
        <v>254</v>
      </c>
      <c r="G10" s="103" cm="1">
        <f t="array" ref="G10">Barx(E10,"a")</f>
        <v>861</v>
      </c>
      <c r="H10" s="78" t="s">
        <v>260</v>
      </c>
      <c r="I10" s="168" t="s">
        <v>266</v>
      </c>
      <c r="J10" s="158">
        <v>50</v>
      </c>
      <c r="K10" s="77" t="s">
        <v>220</v>
      </c>
      <c r="N10" s="79"/>
      <c r="P10" s="79"/>
    </row>
    <row r="11" spans="2:16" x14ac:dyDescent="0.3">
      <c r="D11" s="151" t="s">
        <v>255</v>
      </c>
      <c r="E11" s="190" t="s">
        <v>125</v>
      </c>
      <c r="F11" s="151" t="s">
        <v>254</v>
      </c>
      <c r="G11" s="103" cm="1">
        <f t="array" ref="G11">Barx(E11,"a")</f>
        <v>861</v>
      </c>
      <c r="H11" s="78" t="s">
        <v>260</v>
      </c>
      <c r="I11" s="168" t="s">
        <v>266</v>
      </c>
      <c r="J11" s="158">
        <v>50</v>
      </c>
      <c r="K11" s="77" t="s">
        <v>220</v>
      </c>
      <c r="N11" s="79"/>
      <c r="P11" s="79"/>
    </row>
    <row r="12" spans="2:16" x14ac:dyDescent="0.3">
      <c r="D12" s="151" t="s">
        <v>258</v>
      </c>
      <c r="E12" s="190" t="s">
        <v>125</v>
      </c>
      <c r="F12" s="151" t="s">
        <v>254</v>
      </c>
      <c r="G12" s="103" cm="1">
        <f t="array" ref="G12">Barx(E12,"a")</f>
        <v>861</v>
      </c>
      <c r="H12" s="78" t="s">
        <v>260</v>
      </c>
      <c r="I12" s="168" t="s">
        <v>266</v>
      </c>
      <c r="J12" s="158">
        <v>50</v>
      </c>
      <c r="K12" s="77" t="s">
        <v>220</v>
      </c>
      <c r="N12" s="79"/>
      <c r="P12" s="79"/>
    </row>
    <row r="13" spans="2:16" x14ac:dyDescent="0.3">
      <c r="D13" s="151" t="s">
        <v>267</v>
      </c>
      <c r="E13" s="158" t="s">
        <v>261</v>
      </c>
      <c r="F13" s="151" t="s">
        <v>262</v>
      </c>
      <c r="G13" s="103" cm="1">
        <f t="array" ref="G13">RC_dt1(J10,K6,K5)</f>
        <v>74.5</v>
      </c>
      <c r="H13" s="158" t="s">
        <v>263</v>
      </c>
      <c r="I13" s="151" t="s">
        <v>264</v>
      </c>
      <c r="J13" s="170" cm="1">
        <f t="array" ref="J13">RC_dt2(J10,K6,E10)</f>
        <v>0</v>
      </c>
      <c r="K13" s="151" t="s">
        <v>265</v>
      </c>
      <c r="L13" s="173" cm="1">
        <f t="array" ref="L13">RC_dt_a(J10,K6,E10)</f>
        <v>74.5</v>
      </c>
      <c r="M13" s="77" t="s">
        <v>220</v>
      </c>
      <c r="N13" s="79"/>
      <c r="P13" s="79"/>
    </row>
    <row r="14" spans="2:16" x14ac:dyDescent="0.3">
      <c r="D14" s="151" t="s">
        <v>268</v>
      </c>
      <c r="E14" s="158" t="s">
        <v>261</v>
      </c>
      <c r="F14" s="151" t="s">
        <v>262</v>
      </c>
      <c r="G14" s="103" cm="1">
        <f t="array" ref="G14">RC_dt1(J11,K6,K5)</f>
        <v>74.5</v>
      </c>
      <c r="H14" s="158" t="s">
        <v>263</v>
      </c>
      <c r="I14" s="151" t="s">
        <v>264</v>
      </c>
      <c r="J14" s="170" cm="1">
        <f t="array" ref="J14">RC_dt2(J11,K6,E11)</f>
        <v>0</v>
      </c>
      <c r="K14" s="151" t="s">
        <v>265</v>
      </c>
      <c r="L14" s="173" cm="1">
        <f t="array" ref="L14">RC_dt_a(J11,K6,E11)</f>
        <v>74.5</v>
      </c>
      <c r="M14" s="77" t="s">
        <v>220</v>
      </c>
      <c r="N14" s="79"/>
      <c r="P14" s="79"/>
    </row>
    <row r="15" spans="2:16" x14ac:dyDescent="0.3">
      <c r="D15" s="151" t="s">
        <v>270</v>
      </c>
      <c r="E15" s="158" t="s">
        <v>261</v>
      </c>
      <c r="F15" s="151" t="s">
        <v>262</v>
      </c>
      <c r="G15" s="103" cm="1">
        <f t="array" ref="G15">RC_dt1(J12,K6,K5)</f>
        <v>74.5</v>
      </c>
      <c r="H15" s="158" t="s">
        <v>263</v>
      </c>
      <c r="I15" s="151" t="s">
        <v>264</v>
      </c>
      <c r="J15" s="170" cm="1">
        <f t="array" ref="J15">RC_dt2(J12,K6,E108)</f>
        <v>0</v>
      </c>
      <c r="K15" s="151" t="s">
        <v>265</v>
      </c>
      <c r="L15" s="173" cm="1">
        <f t="array" ref="L15">RC_dt_a(J12,K6,E12)</f>
        <v>74.5</v>
      </c>
      <c r="M15" s="77" t="s">
        <v>220</v>
      </c>
      <c r="N15" s="79"/>
      <c r="P15" s="79"/>
    </row>
    <row r="16" spans="2:16" x14ac:dyDescent="0.3">
      <c r="D16" s="151" t="s">
        <v>269</v>
      </c>
      <c r="F16" s="158" t="s">
        <v>271</v>
      </c>
      <c r="G16" s="175">
        <f>H8-L13</f>
        <v>2425.5</v>
      </c>
      <c r="H16" s="169" t="s">
        <v>220</v>
      </c>
      <c r="I16" s="103"/>
      <c r="J16" s="78"/>
      <c r="N16" s="79"/>
      <c r="P16" s="79"/>
    </row>
    <row r="17" spans="2:16" x14ac:dyDescent="0.3">
      <c r="D17" s="151" t="s">
        <v>268</v>
      </c>
      <c r="E17" s="158"/>
      <c r="F17" s="158" t="s">
        <v>271</v>
      </c>
      <c r="G17" s="175">
        <f>H8-L14</f>
        <v>2425.5</v>
      </c>
      <c r="H17" s="169" t="s">
        <v>220</v>
      </c>
      <c r="I17" s="103"/>
      <c r="J17" s="78"/>
      <c r="N17" s="79"/>
      <c r="P17" s="79"/>
    </row>
    <row r="18" spans="2:16" x14ac:dyDescent="0.3">
      <c r="D18" s="151" t="s">
        <v>270</v>
      </c>
      <c r="F18" s="158" t="s">
        <v>271</v>
      </c>
      <c r="G18" s="158">
        <f>H8-L15</f>
        <v>2425.5</v>
      </c>
      <c r="H18" s="169" t="s">
        <v>220</v>
      </c>
      <c r="I18" s="78"/>
      <c r="J18" s="78"/>
      <c r="N18" s="79"/>
      <c r="P18" s="79"/>
    </row>
    <row r="19" spans="2:16" x14ac:dyDescent="0.3">
      <c r="D19" s="151" t="s">
        <v>272</v>
      </c>
      <c r="E19" s="190" t="s">
        <v>124</v>
      </c>
      <c r="F19" s="151" t="s">
        <v>254</v>
      </c>
      <c r="G19" s="103" cm="1">
        <f t="array" ref="G19">Barx(E19,"a")</f>
        <v>254</v>
      </c>
      <c r="H19" s="169" t="s">
        <v>260</v>
      </c>
      <c r="I19" s="177" t="s">
        <v>300</v>
      </c>
      <c r="J19" s="192">
        <v>200</v>
      </c>
      <c r="K19" s="77" t="s">
        <v>220</v>
      </c>
      <c r="N19" s="79"/>
      <c r="P19" s="79"/>
    </row>
    <row r="20" spans="2:16" x14ac:dyDescent="0.3">
      <c r="D20" s="151" t="s">
        <v>274</v>
      </c>
      <c r="E20" s="200" t="s">
        <v>379</v>
      </c>
      <c r="F20" s="151" t="s">
        <v>254</v>
      </c>
      <c r="G20" s="103" cm="1">
        <f t="array" ref="G20">Barx(E20,"a")</f>
        <v>355</v>
      </c>
      <c r="H20" s="78" t="s">
        <v>260</v>
      </c>
      <c r="I20" s="78" t="s">
        <v>276</v>
      </c>
      <c r="J20" s="170">
        <f>4.5*0.25+5.6*0.25</f>
        <v>2.5249999999999999</v>
      </c>
      <c r="K20" s="151" t="s">
        <v>254</v>
      </c>
      <c r="L20" s="77">
        <f>J20*G20</f>
        <v>896.375</v>
      </c>
      <c r="M20" s="169" t="s">
        <v>260</v>
      </c>
      <c r="N20" s="79"/>
      <c r="P20" s="79"/>
    </row>
    <row r="21" spans="2:16" x14ac:dyDescent="0.3">
      <c r="D21" s="151" t="s">
        <v>277</v>
      </c>
      <c r="E21" s="151" t="s">
        <v>266</v>
      </c>
      <c r="F21" s="158">
        <v>75</v>
      </c>
      <c r="G21" s="77" t="s">
        <v>220</v>
      </c>
      <c r="H21" s="151" t="s">
        <v>278</v>
      </c>
      <c r="I21" s="170" cm="1">
        <f t="array" ref="I21">Barx(E20,"gaik")/3+F21</f>
        <v>78.666666666666671</v>
      </c>
      <c r="J21" s="78" t="s">
        <v>220</v>
      </c>
      <c r="K21" s="77" t="s">
        <v>288</v>
      </c>
      <c r="L21" s="174">
        <f>H8-I21</f>
        <v>2421.3333333333335</v>
      </c>
      <c r="M21" s="169" t="s">
        <v>260</v>
      </c>
      <c r="N21" s="79"/>
      <c r="P21" s="79"/>
    </row>
    <row r="22" spans="2:16" x14ac:dyDescent="0.3">
      <c r="B22" s="77" t="s">
        <v>280</v>
      </c>
      <c r="D22" s="151"/>
      <c r="F22" s="158"/>
      <c r="G22" s="158"/>
      <c r="H22" s="169"/>
      <c r="I22" s="78"/>
      <c r="J22" s="78"/>
      <c r="N22" s="79"/>
      <c r="P22" s="79"/>
    </row>
    <row r="23" spans="2:16" x14ac:dyDescent="0.3">
      <c r="D23" s="151" t="s">
        <v>281</v>
      </c>
      <c r="E23" s="151" t="s">
        <v>282</v>
      </c>
      <c r="F23" s="158">
        <v>0</v>
      </c>
      <c r="G23" s="167" t="s">
        <v>283</v>
      </c>
      <c r="H23" s="151" t="s">
        <v>284</v>
      </c>
      <c r="I23" s="158">
        <v>0</v>
      </c>
      <c r="J23" s="167" t="s">
        <v>283</v>
      </c>
      <c r="K23" s="151" t="s">
        <v>295</v>
      </c>
      <c r="L23" s="158">
        <f>MAX(F23,I23)</f>
        <v>0</v>
      </c>
      <c r="M23" s="77" t="s">
        <v>283</v>
      </c>
      <c r="N23" s="79"/>
      <c r="P23" s="79"/>
    </row>
    <row r="24" spans="2:16" x14ac:dyDescent="0.3">
      <c r="D24" s="151" t="s">
        <v>285</v>
      </c>
      <c r="E24" s="151" t="s">
        <v>286</v>
      </c>
      <c r="H24" s="151" t="s">
        <v>307</v>
      </c>
      <c r="I24" s="172">
        <f>0.9*G10*1.1*H5*G16/1000/1000</f>
        <v>713.27782102500009</v>
      </c>
      <c r="J24" s="167"/>
      <c r="N24" s="79"/>
      <c r="P24" s="79"/>
    </row>
    <row r="25" spans="2:16" x14ac:dyDescent="0.3">
      <c r="D25" s="151"/>
      <c r="E25" s="151" t="s">
        <v>287</v>
      </c>
      <c r="F25" s="158"/>
      <c r="G25" s="167"/>
      <c r="H25" s="151" t="s">
        <v>308</v>
      </c>
      <c r="I25" s="172">
        <f>0.9*L20*1.1*H6*L21/1000/1000</f>
        <v>633.87193980000006</v>
      </c>
      <c r="J25" s="167"/>
      <c r="K25" s="151" t="s">
        <v>289</v>
      </c>
      <c r="L25" s="172">
        <f>I24+I25</f>
        <v>1347.1497608250002</v>
      </c>
      <c r="M25" s="77" t="s">
        <v>290</v>
      </c>
      <c r="N25" s="79"/>
      <c r="P25" s="79"/>
    </row>
    <row r="26" spans="2:16" ht="12" customHeight="1" x14ac:dyDescent="0.3">
      <c r="D26" s="151" t="s">
        <v>291</v>
      </c>
      <c r="E26" s="151" t="s">
        <v>286</v>
      </c>
      <c r="H26" s="151" t="s">
        <v>309</v>
      </c>
      <c r="I26" s="172">
        <f>0.9*G11*1.1*H5*G17/1000/1000</f>
        <v>713.27782102500009</v>
      </c>
      <c r="J26" s="77" t="s">
        <v>290</v>
      </c>
      <c r="N26" s="79"/>
      <c r="P26" s="79"/>
    </row>
    <row r="27" spans="2:16" ht="12" customHeight="1" x14ac:dyDescent="0.3">
      <c r="D27" s="151" t="s">
        <v>292</v>
      </c>
      <c r="G27" s="151" t="s">
        <v>294</v>
      </c>
      <c r="H27" s="173">
        <f>L23+L27*(L25+I26)/(E7/1000)</f>
        <v>668.24678330270262</v>
      </c>
      <c r="I27" s="167" t="s">
        <v>283</v>
      </c>
      <c r="J27" s="167"/>
      <c r="K27" s="151" t="s">
        <v>293</v>
      </c>
      <c r="L27" s="167">
        <v>1.2</v>
      </c>
      <c r="N27" s="79"/>
      <c r="P27" s="79"/>
    </row>
    <row r="28" spans="2:16" x14ac:dyDescent="0.3">
      <c r="D28" s="151" t="s">
        <v>296</v>
      </c>
      <c r="E28" s="151"/>
      <c r="F28" s="151" t="s">
        <v>297</v>
      </c>
      <c r="G28" s="176">
        <f>G10/(E8*G16)</f>
        <v>1.0142238713667284E-3</v>
      </c>
      <c r="H28" s="151"/>
      <c r="I28" s="158"/>
      <c r="J28" s="167"/>
      <c r="N28" s="79"/>
      <c r="P28" s="79"/>
    </row>
    <row r="29" spans="2:16" x14ac:dyDescent="0.3">
      <c r="D29" s="151" t="s">
        <v>298</v>
      </c>
      <c r="E29" s="151"/>
      <c r="F29" s="151" t="s">
        <v>299</v>
      </c>
      <c r="G29" s="176">
        <f>G19/(E8*J19)</f>
        <v>3.6285714285714285E-3</v>
      </c>
      <c r="H29" s="151"/>
      <c r="I29" s="158"/>
      <c r="J29" s="167"/>
      <c r="N29" s="79"/>
      <c r="P29" s="79"/>
    </row>
    <row r="30" spans="2:16" x14ac:dyDescent="0.3">
      <c r="D30" s="151" t="s">
        <v>301</v>
      </c>
      <c r="E30" s="178">
        <f>L25/(H27*G16/1000)</f>
        <v>0.83114677194208175</v>
      </c>
      <c r="F30" s="158"/>
      <c r="G30" s="151" t="s">
        <v>302</v>
      </c>
      <c r="H30" s="178">
        <f>IF(E30&gt;3,3,E30)</f>
        <v>0.83114677194208175</v>
      </c>
      <c r="I30" s="158"/>
      <c r="J30" s="167"/>
      <c r="N30" s="79"/>
      <c r="P30" s="79"/>
    </row>
    <row r="31" spans="2:16" x14ac:dyDescent="0.3">
      <c r="D31" s="151" t="s">
        <v>304</v>
      </c>
      <c r="E31" s="151" t="s">
        <v>303</v>
      </c>
      <c r="F31" s="167" t="s">
        <v>310</v>
      </c>
      <c r="G31" s="151"/>
      <c r="H31" s="167"/>
      <c r="I31" s="158"/>
      <c r="J31" s="167"/>
      <c r="N31" s="79"/>
      <c r="P31" s="79"/>
    </row>
    <row r="32" spans="2:16" x14ac:dyDescent="0.3">
      <c r="D32" s="151"/>
      <c r="E32" s="151" t="s">
        <v>303</v>
      </c>
      <c r="F32" s="180" cm="1">
        <f t="array" ref="F32">RC_Qwu1(J33,J34,E4,H30,G29,H6,E8,J35)</f>
        <v>1703.565029015183</v>
      </c>
      <c r="G32" s="151"/>
      <c r="H32" s="167"/>
      <c r="I32" s="158"/>
      <c r="J32" s="167"/>
      <c r="N32" s="79"/>
      <c r="P32" s="79"/>
    </row>
    <row r="33" spans="2:18" x14ac:dyDescent="0.3">
      <c r="D33" s="151"/>
      <c r="E33" s="151" t="s">
        <v>316</v>
      </c>
      <c r="F33" s="179">
        <f>F32/H27</f>
        <v>2.5493052440830106</v>
      </c>
      <c r="G33" s="77" t="str">
        <f>IF(F33&gt;1,"OK","NG")</f>
        <v>OK</v>
      </c>
      <c r="I33" s="151" t="s">
        <v>312</v>
      </c>
      <c r="J33" s="167">
        <v>0.72</v>
      </c>
      <c r="K33" s="167" t="s">
        <v>311</v>
      </c>
      <c r="N33" s="79"/>
      <c r="P33" s="79"/>
    </row>
    <row r="34" spans="2:18" x14ac:dyDescent="0.3">
      <c r="D34" s="151"/>
      <c r="E34" s="151"/>
      <c r="F34" s="167"/>
      <c r="G34" s="151"/>
      <c r="I34" s="151" t="s">
        <v>314</v>
      </c>
      <c r="J34" s="178">
        <f>2.36*G28^0.23</f>
        <v>0.48341796235131962</v>
      </c>
      <c r="K34" s="167" t="s">
        <v>313</v>
      </c>
      <c r="N34" s="79"/>
      <c r="P34" s="79"/>
    </row>
    <row r="35" spans="2:18" x14ac:dyDescent="0.3">
      <c r="D35" s="151"/>
      <c r="E35" s="151"/>
      <c r="F35" s="167"/>
      <c r="G35" s="151"/>
      <c r="I35" s="151" t="s">
        <v>315</v>
      </c>
      <c r="J35" s="172">
        <f>G16*7/8</f>
        <v>2122.3125</v>
      </c>
      <c r="K35" s="167" t="s">
        <v>220</v>
      </c>
      <c r="N35" s="79"/>
      <c r="P35" s="79"/>
    </row>
    <row r="36" spans="2:18" x14ac:dyDescent="0.3">
      <c r="B36" s="77" t="s">
        <v>318</v>
      </c>
      <c r="D36" s="151"/>
      <c r="E36" s="151"/>
      <c r="F36" s="167"/>
      <c r="G36" s="151"/>
      <c r="H36" s="167"/>
      <c r="I36" s="158"/>
      <c r="J36" s="167"/>
      <c r="N36" s="79"/>
      <c r="P36" s="79"/>
    </row>
    <row r="37" spans="2:18" x14ac:dyDescent="0.3">
      <c r="D37" s="151" t="s">
        <v>325</v>
      </c>
      <c r="E37" s="182" t="s">
        <v>319</v>
      </c>
      <c r="G37" s="151" t="s">
        <v>320</v>
      </c>
      <c r="H37" s="167">
        <f>H8-G15-K37</f>
        <v>1175.5</v>
      </c>
      <c r="I37" s="167" t="s">
        <v>220</v>
      </c>
      <c r="J37" s="151" t="s">
        <v>322</v>
      </c>
      <c r="K37" s="158">
        <f>I9</f>
        <v>1250</v>
      </c>
      <c r="N37" s="79"/>
      <c r="P37" s="79"/>
    </row>
    <row r="38" spans="2:18" x14ac:dyDescent="0.3">
      <c r="D38" s="151"/>
      <c r="E38" s="182" t="s">
        <v>324</v>
      </c>
      <c r="G38" s="151" t="s">
        <v>323</v>
      </c>
      <c r="H38" s="183">
        <f>H8-G13-K38</f>
        <v>1175.5</v>
      </c>
      <c r="I38" s="167" t="s">
        <v>220</v>
      </c>
      <c r="J38" s="151" t="s">
        <v>322</v>
      </c>
      <c r="K38" s="158">
        <f>H8-K37</f>
        <v>1250</v>
      </c>
      <c r="N38" s="79"/>
      <c r="P38" s="79"/>
    </row>
    <row r="39" spans="2:18" x14ac:dyDescent="0.3">
      <c r="B39" s="182" t="s">
        <v>319</v>
      </c>
      <c r="D39" s="151" t="s">
        <v>326</v>
      </c>
      <c r="E39" s="179" t="s">
        <v>327</v>
      </c>
      <c r="F39" s="158" t="s">
        <v>124</v>
      </c>
      <c r="G39" s="158" t="s">
        <v>246</v>
      </c>
      <c r="H39" s="184" t="s">
        <v>334</v>
      </c>
      <c r="I39" s="158" cm="1">
        <f t="array" ref="I39">Barx(F39,"a")</f>
        <v>254</v>
      </c>
      <c r="J39" s="151" t="s">
        <v>348</v>
      </c>
      <c r="K39" s="77">
        <f>I39/(E8*H37)</f>
        <v>6.1736647019505373E-4</v>
      </c>
      <c r="L39" s="151" t="s">
        <v>350</v>
      </c>
      <c r="M39" s="185">
        <f>RIGHT(G39,3)*K39</f>
        <v>0.18212310870754087</v>
      </c>
      <c r="N39" s="79"/>
      <c r="P39" s="79"/>
    </row>
    <row r="40" spans="2:18" x14ac:dyDescent="0.3">
      <c r="D40" s="151"/>
      <c r="E40" s="179" t="s">
        <v>330</v>
      </c>
      <c r="F40" s="158" t="s">
        <v>124</v>
      </c>
      <c r="G40" s="158" t="s">
        <v>353</v>
      </c>
      <c r="H40" s="184" t="s">
        <v>335</v>
      </c>
      <c r="I40" s="172" cm="1">
        <f t="array" ref="I40">Barx(F40,"a")*(SIN(45*PI()/180)+COS(45*PI()/180))</f>
        <v>359.21024484276609</v>
      </c>
      <c r="J40" s="151" t="s">
        <v>349</v>
      </c>
      <c r="K40" s="77">
        <f>I40/(E8*H37)</f>
        <v>8.7308803510425007E-4</v>
      </c>
      <c r="L40" s="151" t="s">
        <v>351</v>
      </c>
      <c r="M40" s="185">
        <f>RIGHT(G40,3)*K40</f>
        <v>0.30121537211096627</v>
      </c>
      <c r="N40" s="79"/>
      <c r="P40" s="79"/>
    </row>
    <row r="41" spans="2:18" x14ac:dyDescent="0.3">
      <c r="D41" s="151" t="s">
        <v>333</v>
      </c>
      <c r="F41" s="158"/>
      <c r="H41" s="182" t="s">
        <v>339</v>
      </c>
      <c r="I41" s="158" cm="1">
        <f t="array" ref="I41">RC_kantu_ps(I39,I40,E8,H37,"")</f>
        <v>1.8520994105851564E-3</v>
      </c>
      <c r="J41" s="167"/>
      <c r="N41" s="79"/>
      <c r="P41" s="79"/>
      <c r="R41" s="79"/>
    </row>
    <row r="42" spans="2:18" x14ac:dyDescent="0.3">
      <c r="D42" s="151" t="s">
        <v>336</v>
      </c>
      <c r="E42" s="179" t="s">
        <v>327</v>
      </c>
      <c r="F42" s="158" t="s">
        <v>124</v>
      </c>
      <c r="G42" s="158" t="s">
        <v>246</v>
      </c>
      <c r="H42" s="184" t="s">
        <v>334</v>
      </c>
      <c r="I42" s="158" cm="1">
        <f t="array" ref="I42">Barx(F42,"a")</f>
        <v>254</v>
      </c>
      <c r="J42" s="151" t="s">
        <v>348</v>
      </c>
      <c r="K42" s="187">
        <f>I42/(E8*H38)</f>
        <v>6.1736647019505373E-4</v>
      </c>
      <c r="L42" s="151" t="s">
        <v>350</v>
      </c>
      <c r="M42" s="185">
        <f>RIGHT(G42,3)*K42</f>
        <v>0.18212310870754087</v>
      </c>
      <c r="N42" s="79"/>
      <c r="P42" s="79"/>
    </row>
    <row r="43" spans="2:18" x14ac:dyDescent="0.3">
      <c r="D43" s="151"/>
      <c r="E43" s="179" t="s">
        <v>330</v>
      </c>
      <c r="F43" s="158" t="s">
        <v>378</v>
      </c>
      <c r="G43" s="158" t="s">
        <v>353</v>
      </c>
      <c r="H43" s="184" t="s">
        <v>335</v>
      </c>
      <c r="I43" s="172" cm="1">
        <f t="array" ref="I43">Barx(F43,"a")*(SIN(45*PI()/180)+COS(45*PI()/180))</f>
        <v>811.75858480215652</v>
      </c>
      <c r="J43" s="151" t="s">
        <v>349</v>
      </c>
      <c r="K43" s="187">
        <f>I43/(E8*H38)</f>
        <v>1.9730414651568488E-3</v>
      </c>
      <c r="L43" s="151" t="s">
        <v>351</v>
      </c>
      <c r="M43" s="185">
        <f>RIGHT(G43,3)*K43</f>
        <v>0.68069930547911284</v>
      </c>
      <c r="N43" s="79"/>
      <c r="P43" s="79"/>
    </row>
    <row r="44" spans="2:18" x14ac:dyDescent="0.3">
      <c r="B44" s="182" t="s">
        <v>324</v>
      </c>
      <c r="D44" s="151" t="s">
        <v>337</v>
      </c>
      <c r="F44" s="158"/>
      <c r="H44" s="182" t="s">
        <v>338</v>
      </c>
      <c r="I44" s="158" cm="1">
        <f t="array" ref="I44">RC_kantu_ps(I42,I43,E8,H38,"")</f>
        <v>3.4076684693443407E-3</v>
      </c>
      <c r="J44" s="167"/>
      <c r="N44" s="79"/>
      <c r="P44" s="79"/>
    </row>
    <row r="45" spans="2:18" x14ac:dyDescent="0.3">
      <c r="E45" s="151" t="s">
        <v>340</v>
      </c>
      <c r="F45" s="186">
        <f>MIN(I41,I44)</f>
        <v>1.8520994105851564E-3</v>
      </c>
      <c r="G45" s="158" t="str">
        <f>IF(I41&lt;I44,"c1","c2")</f>
        <v>c1</v>
      </c>
      <c r="H45" s="184" t="s">
        <v>346</v>
      </c>
      <c r="I45" s="158">
        <f>IF(G45="c1",H37,H38)</f>
        <v>1175.5</v>
      </c>
      <c r="K45" s="151" t="s">
        <v>352</v>
      </c>
      <c r="L45" s="185">
        <f>IF(G45="c1",M39+M40,M42+M43)</f>
        <v>0.48333848081850717</v>
      </c>
    </row>
    <row r="46" spans="2:18" x14ac:dyDescent="0.3">
      <c r="D46" s="151" t="s">
        <v>341</v>
      </c>
      <c r="E46" s="151"/>
      <c r="G46" s="151" t="s">
        <v>297</v>
      </c>
      <c r="H46" s="176">
        <f>G12/(E8*G18)</f>
        <v>1.0142238713667284E-3</v>
      </c>
      <c r="I46" s="158"/>
      <c r="N46" s="79"/>
      <c r="P46" s="79"/>
    </row>
    <row r="47" spans="2:18" x14ac:dyDescent="0.3">
      <c r="D47" s="151" t="s">
        <v>342</v>
      </c>
      <c r="G47" s="151" t="s">
        <v>314</v>
      </c>
      <c r="H47" s="178">
        <f>2.36*H46^0.23</f>
        <v>0.48341796235131962</v>
      </c>
      <c r="I47" s="158"/>
      <c r="J47" s="167"/>
      <c r="N47" s="79"/>
      <c r="P47" s="79"/>
    </row>
    <row r="48" spans="2:18" x14ac:dyDescent="0.3">
      <c r="D48" s="151" t="s">
        <v>304</v>
      </c>
      <c r="E48" s="151" t="s">
        <v>303</v>
      </c>
      <c r="F48" s="167" t="s">
        <v>343</v>
      </c>
      <c r="G48" s="151"/>
      <c r="H48" s="167"/>
      <c r="I48" s="158"/>
      <c r="J48" s="167"/>
      <c r="N48" s="79"/>
      <c r="P48" s="79"/>
    </row>
    <row r="49" spans="3:16" x14ac:dyDescent="0.3">
      <c r="D49" s="151"/>
      <c r="H49" s="167" t="s">
        <v>345</v>
      </c>
      <c r="N49" s="79"/>
      <c r="P49" s="79"/>
    </row>
    <row r="50" spans="3:16" x14ac:dyDescent="0.3">
      <c r="D50" s="151"/>
      <c r="E50" s="151" t="s">
        <v>303</v>
      </c>
      <c r="F50" s="181" cm="1">
        <f t="array" ref="F50">RC_Qwu_k(J33,J52,E4,H30,G29,H6,E8,J53,J51,L45)</f>
        <v>1083.4342522979985</v>
      </c>
      <c r="G50" s="151"/>
      <c r="H50" s="167"/>
      <c r="I50" s="158"/>
      <c r="J50" s="167"/>
      <c r="N50" s="79"/>
      <c r="P50" s="79"/>
    </row>
    <row r="51" spans="3:16" x14ac:dyDescent="0.3">
      <c r="D51" s="151"/>
      <c r="E51" s="151" t="s">
        <v>316</v>
      </c>
      <c r="F51" s="179">
        <f>F50/H27</f>
        <v>1.6213085934260667</v>
      </c>
      <c r="G51" s="77" t="str">
        <f>IF(F51&gt;1,"OK","NG")</f>
        <v>OK</v>
      </c>
      <c r="I51" s="151" t="s">
        <v>344</v>
      </c>
      <c r="J51" s="167">
        <f>E9/H8</f>
        <v>0.24</v>
      </c>
      <c r="K51" s="167"/>
      <c r="N51" s="79"/>
      <c r="P51" s="79"/>
    </row>
    <row r="52" spans="3:16" x14ac:dyDescent="0.3">
      <c r="D52" s="151"/>
      <c r="E52" s="151"/>
      <c r="F52" s="179"/>
      <c r="I52" s="151" t="s">
        <v>314</v>
      </c>
      <c r="J52" s="178">
        <f>2.36*H46^0.23</f>
        <v>0.48341796235131962</v>
      </c>
      <c r="K52" s="167" t="s">
        <v>313</v>
      </c>
      <c r="N52" s="79"/>
      <c r="P52" s="79"/>
    </row>
    <row r="53" spans="3:16" x14ac:dyDescent="0.3">
      <c r="D53" s="151"/>
      <c r="E53" s="151"/>
      <c r="F53" s="179"/>
      <c r="I53" s="151" t="s">
        <v>347</v>
      </c>
      <c r="J53" s="181">
        <f>G18*7/8</f>
        <v>2122.3125</v>
      </c>
      <c r="K53" s="167"/>
      <c r="N53" s="79"/>
      <c r="P53" s="79"/>
    </row>
    <row r="54" spans="3:16" x14ac:dyDescent="0.3">
      <c r="D54" s="151"/>
      <c r="E54" s="151"/>
      <c r="F54" s="179"/>
      <c r="N54" s="79"/>
      <c r="P54" s="79"/>
    </row>
    <row r="55" spans="3:16" x14ac:dyDescent="0.3">
      <c r="D55" s="151"/>
      <c r="E55" s="151"/>
      <c r="F55" s="179"/>
      <c r="I55" s="151"/>
      <c r="J55" s="167"/>
      <c r="K55" s="167"/>
      <c r="N55" s="79"/>
      <c r="P55" s="79"/>
    </row>
    <row r="56" spans="3:16" x14ac:dyDescent="0.3">
      <c r="D56" s="151"/>
      <c r="E56" s="151"/>
      <c r="F56" s="179"/>
      <c r="I56" s="151"/>
      <c r="J56" s="167"/>
      <c r="K56" s="167"/>
      <c r="N56" s="79"/>
      <c r="P56" s="79"/>
    </row>
    <row r="57" spans="3:16" x14ac:dyDescent="0.3">
      <c r="D57" s="151"/>
      <c r="E57" s="151"/>
      <c r="F57" s="179"/>
      <c r="I57" s="151"/>
      <c r="J57" s="167"/>
      <c r="K57" s="167"/>
      <c r="N57" s="79"/>
      <c r="P57" s="79"/>
    </row>
    <row r="58" spans="3:16" x14ac:dyDescent="0.3">
      <c r="D58" s="151"/>
      <c r="E58" s="151"/>
      <c r="F58" s="179"/>
      <c r="I58" s="151"/>
      <c r="J58" s="167"/>
      <c r="K58" s="167"/>
      <c r="N58" s="79"/>
      <c r="P58" s="79"/>
    </row>
    <row r="59" spans="3:16" x14ac:dyDescent="0.3">
      <c r="D59" s="151"/>
      <c r="E59" s="151"/>
      <c r="F59" s="179"/>
      <c r="I59" s="151"/>
      <c r="J59" s="167"/>
      <c r="K59" s="167"/>
      <c r="N59" s="79"/>
      <c r="P59" s="79"/>
    </row>
    <row r="60" spans="3:16" x14ac:dyDescent="0.3">
      <c r="D60" s="151"/>
      <c r="E60" s="151"/>
      <c r="F60" s="179"/>
      <c r="I60" s="151"/>
      <c r="J60" s="167"/>
      <c r="K60" s="167"/>
      <c r="N60" s="79"/>
      <c r="P60" s="79"/>
    </row>
    <row r="61" spans="3:16" ht="13.5" x14ac:dyDescent="0.3">
      <c r="C61" s="151"/>
      <c r="D61" s="149"/>
    </row>
    <row r="62" spans="3:16" x14ac:dyDescent="0.3">
      <c r="C62" s="151"/>
    </row>
  </sheetData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Q61"/>
  <sheetViews>
    <sheetView workbookViewId="0">
      <selection activeCell="P27" sqref="P27"/>
    </sheetView>
  </sheetViews>
  <sheetFormatPr defaultColWidth="9.1171875" defaultRowHeight="10.5" x14ac:dyDescent="0.3"/>
  <cols>
    <col min="1" max="1" width="2.703125" style="1" customWidth="1"/>
    <col min="2" max="14" width="8.234375" style="1" customWidth="1"/>
    <col min="15" max="16384" width="9.1171875" style="1"/>
  </cols>
  <sheetData>
    <row r="2" spans="2:17" x14ac:dyDescent="0.3">
      <c r="B2" s="1" t="s">
        <v>169</v>
      </c>
    </row>
    <row r="3" spans="2:17" x14ac:dyDescent="0.3">
      <c r="H3" s="5"/>
      <c r="I3" s="5"/>
      <c r="J3" s="5"/>
      <c r="O3" s="2"/>
      <c r="Q3" s="2"/>
    </row>
    <row r="4" spans="2:17" x14ac:dyDescent="0.3">
      <c r="B4" s="17" t="s">
        <v>74</v>
      </c>
      <c r="C4" s="7" t="s">
        <v>123</v>
      </c>
      <c r="D4" s="7" t="s">
        <v>131</v>
      </c>
      <c r="E4" s="7" t="s">
        <v>130</v>
      </c>
      <c r="F4" s="7" t="s">
        <v>129</v>
      </c>
      <c r="G4" s="7" t="s">
        <v>73</v>
      </c>
      <c r="H4" s="7" t="s">
        <v>77</v>
      </c>
      <c r="I4" s="25" t="s">
        <v>78</v>
      </c>
      <c r="J4" s="7"/>
      <c r="K4" s="8" t="s">
        <v>79</v>
      </c>
      <c r="O4" s="2"/>
      <c r="Q4" s="2"/>
    </row>
    <row r="5" spans="2:17" ht="12.3" x14ac:dyDescent="0.3">
      <c r="B5" s="26" t="s">
        <v>80</v>
      </c>
      <c r="C5" s="27" t="s">
        <v>80</v>
      </c>
      <c r="D5" s="27" t="s">
        <v>80</v>
      </c>
      <c r="E5" s="27" t="s">
        <v>80</v>
      </c>
      <c r="F5" s="27" t="s">
        <v>81</v>
      </c>
      <c r="G5" s="27" t="s">
        <v>81</v>
      </c>
      <c r="H5" s="27" t="s">
        <v>81</v>
      </c>
      <c r="I5" s="27" t="s">
        <v>81</v>
      </c>
      <c r="J5" s="27"/>
      <c r="K5" s="28" t="s">
        <v>82</v>
      </c>
      <c r="O5" s="2"/>
      <c r="Q5" s="2"/>
    </row>
    <row r="6" spans="2:17" x14ac:dyDescent="0.3">
      <c r="B6" s="20">
        <v>295</v>
      </c>
      <c r="C6" s="21">
        <v>21</v>
      </c>
      <c r="D6" s="30">
        <v>195</v>
      </c>
      <c r="E6" s="21">
        <f>C6/30</f>
        <v>0.7</v>
      </c>
      <c r="F6" s="30">
        <v>350</v>
      </c>
      <c r="G6" s="30">
        <v>1350</v>
      </c>
      <c r="H6" s="12" t="e">
        <f>G6-G12</f>
        <v>#REF!</v>
      </c>
      <c r="I6" s="12" t="e">
        <f>H6*7/8</f>
        <v>#REF!</v>
      </c>
      <c r="J6" s="31"/>
      <c r="K6" s="14" t="e">
        <f ca="1">B6*F9*I6/1000/1000</f>
        <v>#NAME?</v>
      </c>
      <c r="O6" s="2"/>
      <c r="Q6" s="2"/>
    </row>
    <row r="7" spans="2:17" ht="11.7" x14ac:dyDescent="0.3">
      <c r="B7" s="218" t="s">
        <v>0</v>
      </c>
      <c r="C7" s="219"/>
      <c r="D7" s="219" t="s">
        <v>1</v>
      </c>
      <c r="E7" s="219"/>
      <c r="F7" s="51" t="s">
        <v>23</v>
      </c>
      <c r="G7" s="212" t="s">
        <v>136</v>
      </c>
      <c r="H7" s="213"/>
      <c r="I7" s="214"/>
      <c r="J7" s="44" t="s">
        <v>149</v>
      </c>
      <c r="K7" s="55" t="s">
        <v>146</v>
      </c>
      <c r="O7" s="2"/>
      <c r="Q7" s="2"/>
    </row>
    <row r="8" spans="2:17" ht="12.3" x14ac:dyDescent="0.3">
      <c r="B8" s="23" t="s">
        <v>45</v>
      </c>
      <c r="C8" s="24" t="s">
        <v>46</v>
      </c>
      <c r="D8" s="24" t="s">
        <v>45</v>
      </c>
      <c r="E8" s="24" t="s">
        <v>47</v>
      </c>
      <c r="F8" s="39" t="s">
        <v>48</v>
      </c>
      <c r="G8" s="41" t="s">
        <v>45</v>
      </c>
      <c r="H8" s="67" t="s">
        <v>147</v>
      </c>
      <c r="I8" s="42" t="s">
        <v>148</v>
      </c>
      <c r="J8" s="38" t="s">
        <v>150</v>
      </c>
      <c r="K8" s="28" t="s">
        <v>151</v>
      </c>
      <c r="O8" s="2"/>
      <c r="Q8" s="2"/>
    </row>
    <row r="9" spans="2:17" ht="11.7" x14ac:dyDescent="0.3">
      <c r="B9" s="20" t="s">
        <v>27</v>
      </c>
      <c r="C9" s="12" t="e">
        <f ca="1">[1]!Bar(B9,11)*100</f>
        <v>#NAME?</v>
      </c>
      <c r="D9" s="21" t="s">
        <v>145</v>
      </c>
      <c r="E9" s="32" t="e">
        <f ca="1">IF(D9="-",0,[1]!Bar(D9,11)*100)</f>
        <v>#NAME?</v>
      </c>
      <c r="F9" s="52" t="e">
        <f ca="1">+C9+E9</f>
        <v>#NAME?</v>
      </c>
      <c r="G9" s="53" t="s">
        <v>134</v>
      </c>
      <c r="H9" s="29">
        <v>200</v>
      </c>
      <c r="I9" s="54" t="e">
        <f ca="1">[1]!Bar(G9,11)*100</f>
        <v>#NAME?</v>
      </c>
      <c r="J9" s="45" t="e">
        <f ca="1">I9/H9/F6</f>
        <v>#NAME?</v>
      </c>
      <c r="K9" s="56" t="e">
        <f ca="1">F6*I6*(E15*E6+0.5*D6*(J9-0.002))/1000</f>
        <v>#REF!</v>
      </c>
      <c r="O9" s="2"/>
      <c r="Q9" s="2"/>
    </row>
    <row r="10" spans="2:17" x14ac:dyDescent="0.3">
      <c r="B10" s="46" t="s">
        <v>152</v>
      </c>
      <c r="C10" s="43" t="s">
        <v>135</v>
      </c>
      <c r="D10" s="43" t="s">
        <v>144</v>
      </c>
      <c r="E10" s="220" t="s">
        <v>141</v>
      </c>
      <c r="F10" s="221"/>
      <c r="G10" s="47" t="s">
        <v>83</v>
      </c>
      <c r="H10" s="35"/>
      <c r="I10" s="34"/>
      <c r="J10" s="34"/>
      <c r="K10" s="34"/>
      <c r="L10" s="36"/>
      <c r="O10" s="2"/>
      <c r="Q10" s="2"/>
    </row>
    <row r="11" spans="2:17" x14ac:dyDescent="0.3">
      <c r="B11" s="48" t="s">
        <v>44</v>
      </c>
      <c r="C11" s="18" t="s">
        <v>44</v>
      </c>
      <c r="D11" s="18" t="s">
        <v>44</v>
      </c>
      <c r="E11" s="38" t="s">
        <v>142</v>
      </c>
      <c r="F11" s="24" t="s">
        <v>143</v>
      </c>
      <c r="G11" s="19" t="s">
        <v>44</v>
      </c>
      <c r="H11" s="35"/>
      <c r="I11" s="34"/>
      <c r="J11" s="34"/>
      <c r="K11" s="34"/>
      <c r="L11" s="36"/>
      <c r="O11" s="2"/>
      <c r="Q11" s="2"/>
    </row>
    <row r="12" spans="2:17" x14ac:dyDescent="0.3">
      <c r="B12" s="49">
        <v>50</v>
      </c>
      <c r="C12" s="40" t="e">
        <f>VLOOKUP(RIGHT(B9,3),#REF!,2)</f>
        <v>#REF!</v>
      </c>
      <c r="D12" s="40" t="e">
        <f>VLOOKUP(RIGHT(G9,3),#REF!,2)</f>
        <v>#REF!</v>
      </c>
      <c r="E12" s="66" t="e">
        <f>B12+D12+C12/2</f>
        <v>#REF!</v>
      </c>
      <c r="F12" s="22" t="e">
        <f>RIGHT(D9,2)*1.5+C12+E12</f>
        <v>#REF!</v>
      </c>
      <c r="G12" s="50" t="e">
        <f>(LEFT(B9,1)*E12+LEFT(D9,1)*F12)/(LEFT(B9,1)+LEFT(D9,1))</f>
        <v>#REF!</v>
      </c>
      <c r="H12" s="35"/>
      <c r="I12" s="34"/>
      <c r="J12" s="34"/>
      <c r="K12" s="34"/>
      <c r="L12" s="36"/>
      <c r="O12" s="2"/>
      <c r="Q12" s="2"/>
    </row>
    <row r="13" spans="2:17" x14ac:dyDescent="0.3">
      <c r="B13" s="17" t="s">
        <v>153</v>
      </c>
      <c r="C13" s="7" t="s">
        <v>154</v>
      </c>
      <c r="D13" s="7" t="s">
        <v>155</v>
      </c>
      <c r="E13" s="7" t="s">
        <v>156</v>
      </c>
      <c r="F13" s="60" t="s">
        <v>157</v>
      </c>
      <c r="G13" s="60" t="s">
        <v>158</v>
      </c>
      <c r="H13" s="60" t="s">
        <v>159</v>
      </c>
      <c r="I13" s="61" t="s">
        <v>160</v>
      </c>
      <c r="J13" s="34"/>
      <c r="K13" s="34"/>
      <c r="L13" s="36"/>
      <c r="O13" s="2"/>
      <c r="Q13" s="2"/>
    </row>
    <row r="14" spans="2:17" x14ac:dyDescent="0.3">
      <c r="B14" s="62" t="s">
        <v>162</v>
      </c>
      <c r="C14" s="63" t="s">
        <v>162</v>
      </c>
      <c r="D14" s="63" t="s">
        <v>162</v>
      </c>
      <c r="E14" s="15" t="s">
        <v>161</v>
      </c>
      <c r="F14" s="63" t="s">
        <v>162</v>
      </c>
      <c r="G14" s="63" t="s">
        <v>162</v>
      </c>
      <c r="H14" s="63"/>
      <c r="I14" s="64"/>
      <c r="J14" s="34"/>
      <c r="K14" s="34"/>
      <c r="L14" s="36"/>
      <c r="O14" s="2"/>
      <c r="Q14" s="2"/>
    </row>
    <row r="15" spans="2:17" x14ac:dyDescent="0.3">
      <c r="B15" s="57">
        <v>278</v>
      </c>
      <c r="C15" s="30">
        <v>218</v>
      </c>
      <c r="D15" s="30" t="e">
        <f>+H6</f>
        <v>#REF!</v>
      </c>
      <c r="E15" s="58" t="e">
        <f>B15*1000/C15/D15</f>
        <v>#REF!</v>
      </c>
      <c r="F15" s="30">
        <v>107</v>
      </c>
      <c r="G15" s="30">
        <f>+G6</f>
        <v>1350</v>
      </c>
      <c r="H15" s="11">
        <f>F15/G15</f>
        <v>7.9259259259259265E-2</v>
      </c>
      <c r="I15" s="59" t="e">
        <f>+E15*E6*(1-H15)</f>
        <v>#REF!</v>
      </c>
      <c r="J15" s="37"/>
      <c r="K15" s="34"/>
      <c r="L15" s="36"/>
      <c r="O15" s="2"/>
      <c r="Q15" s="2"/>
    </row>
    <row r="16" spans="2:17" ht="11.7" x14ac:dyDescent="0.3">
      <c r="B16" s="215" t="s">
        <v>167</v>
      </c>
      <c r="C16" s="216"/>
      <c r="D16" s="217" t="s">
        <v>168</v>
      </c>
      <c r="E16" s="217"/>
      <c r="F16" s="7" t="s">
        <v>129</v>
      </c>
      <c r="G16" s="7" t="s">
        <v>76</v>
      </c>
      <c r="H16" s="60" t="s">
        <v>170</v>
      </c>
      <c r="I16" s="65" t="s">
        <v>132</v>
      </c>
      <c r="L16" s="36"/>
      <c r="O16" s="2"/>
      <c r="Q16" s="2"/>
    </row>
    <row r="17" spans="2:17" ht="12.3" x14ac:dyDescent="0.3">
      <c r="B17" s="9" t="s">
        <v>45</v>
      </c>
      <c r="C17" s="10" t="s">
        <v>165</v>
      </c>
      <c r="D17" s="10" t="s">
        <v>45</v>
      </c>
      <c r="E17" s="10" t="s">
        <v>166</v>
      </c>
      <c r="F17" s="15" t="s">
        <v>81</v>
      </c>
      <c r="G17" s="15" t="s">
        <v>81</v>
      </c>
      <c r="H17" s="72"/>
      <c r="I17" s="73"/>
      <c r="L17" s="36"/>
      <c r="O17" s="2"/>
      <c r="Q17" s="2"/>
    </row>
    <row r="18" spans="2:17" x14ac:dyDescent="0.3">
      <c r="B18" s="20" t="s">
        <v>124</v>
      </c>
      <c r="C18" s="12" t="e">
        <f ca="1">[1]!Bar(B18,11)*100</f>
        <v>#NAME?</v>
      </c>
      <c r="D18" s="21"/>
      <c r="E18" s="12" t="str">
        <f>IF(D18="","-",[1]!Bar(D18,11)*100*2^0.5)</f>
        <v>-</v>
      </c>
      <c r="F18" s="74">
        <f>+F6</f>
        <v>350</v>
      </c>
      <c r="G18" s="29">
        <v>200</v>
      </c>
      <c r="H18" s="75" t="e">
        <f ca="1">IF(D18="",C18/F6/G18,(C18+E18*2^0.5)/F6/G18)</f>
        <v>#NAME?</v>
      </c>
      <c r="I18" s="76" t="e">
        <f ca="1">0.5*D6*(H18-0.002)</f>
        <v>#NAME?</v>
      </c>
      <c r="L18" s="36"/>
      <c r="O18" s="2"/>
      <c r="Q18" s="2"/>
    </row>
    <row r="19" spans="2:17" x14ac:dyDescent="0.3">
      <c r="B19" s="70"/>
      <c r="C19" s="71" t="s">
        <v>163</v>
      </c>
      <c r="D19" s="7" t="s">
        <v>164</v>
      </c>
      <c r="E19" s="8" t="s">
        <v>41</v>
      </c>
      <c r="L19" s="36"/>
      <c r="O19" s="2"/>
      <c r="Q19" s="2"/>
    </row>
    <row r="20" spans="2:17" x14ac:dyDescent="0.3">
      <c r="B20" s="62" t="s">
        <v>133</v>
      </c>
      <c r="C20" s="15" t="s">
        <v>151</v>
      </c>
      <c r="D20" s="15" t="s">
        <v>151</v>
      </c>
      <c r="E20" s="16"/>
      <c r="J20" s="37"/>
      <c r="K20" s="34"/>
      <c r="L20" s="36"/>
      <c r="O20" s="2"/>
      <c r="Q20" s="2"/>
    </row>
    <row r="21" spans="2:17" x14ac:dyDescent="0.3">
      <c r="B21" s="68" t="e">
        <f ca="1">+I15+I18</f>
        <v>#REF!</v>
      </c>
      <c r="C21" s="31" t="e">
        <f ca="1">F6*I6*B21/1000</f>
        <v>#REF!</v>
      </c>
      <c r="D21" s="13" t="e">
        <f ca="1">+C15/C21</f>
        <v>#REF!</v>
      </c>
      <c r="E21" s="69" t="e">
        <f ca="1">IF(D21&lt;1,"OK","NG")</f>
        <v>#REF!</v>
      </c>
      <c r="G21" s="1" t="s">
        <v>171</v>
      </c>
      <c r="K21" s="34"/>
      <c r="L21" s="36"/>
      <c r="O21" s="2"/>
      <c r="Q21" s="2"/>
    </row>
    <row r="22" spans="2:17" x14ac:dyDescent="0.3">
      <c r="L22" s="36"/>
    </row>
    <row r="24" spans="2:17" ht="11.7" x14ac:dyDescent="0.3">
      <c r="C24" s="6" t="s">
        <v>101</v>
      </c>
      <c r="D24" s="1" t="s">
        <v>105</v>
      </c>
      <c r="E24"/>
      <c r="F24"/>
      <c r="G24"/>
      <c r="H24"/>
      <c r="I24" s="33" t="s">
        <v>28</v>
      </c>
    </row>
    <row r="25" spans="2:17" ht="11.7" x14ac:dyDescent="0.3">
      <c r="C25" s="6"/>
      <c r="D25" s="1" t="s">
        <v>102</v>
      </c>
      <c r="E25"/>
      <c r="F25"/>
      <c r="G25"/>
      <c r="H25"/>
    </row>
    <row r="26" spans="2:17" ht="11.7" x14ac:dyDescent="0.3">
      <c r="C26" s="6" t="s">
        <v>103</v>
      </c>
      <c r="D26" s="1" t="s">
        <v>104</v>
      </c>
      <c r="E26"/>
      <c r="F26"/>
      <c r="G26"/>
      <c r="H26"/>
    </row>
    <row r="27" spans="2:17" ht="12.3" x14ac:dyDescent="0.3">
      <c r="C27" s="6" t="s">
        <v>106</v>
      </c>
      <c r="D27" s="1" t="s">
        <v>107</v>
      </c>
      <c r="E27"/>
      <c r="F27"/>
      <c r="G27"/>
      <c r="H27"/>
    </row>
    <row r="28" spans="2:17" ht="11.7" x14ac:dyDescent="0.3">
      <c r="C28" s="6" t="s">
        <v>108</v>
      </c>
      <c r="D28" s="1" t="s">
        <v>109</v>
      </c>
      <c r="E28"/>
      <c r="F28"/>
      <c r="G28"/>
      <c r="H28"/>
    </row>
    <row r="29" spans="2:17" ht="11.7" x14ac:dyDescent="0.3">
      <c r="C29" s="6" t="s">
        <v>2</v>
      </c>
      <c r="D29" s="1" t="s">
        <v>110</v>
      </c>
      <c r="E29"/>
      <c r="F29"/>
      <c r="G29"/>
      <c r="H29"/>
    </row>
    <row r="30" spans="2:17" ht="11.7" x14ac:dyDescent="0.3">
      <c r="C30" s="6" t="s">
        <v>21</v>
      </c>
      <c r="D30" s="1" t="s">
        <v>111</v>
      </c>
      <c r="E30"/>
      <c r="F30"/>
      <c r="G30"/>
      <c r="H30"/>
    </row>
    <row r="31" spans="2:17" ht="11.7" x14ac:dyDescent="0.3">
      <c r="C31" s="6" t="s">
        <v>112</v>
      </c>
      <c r="D31" t="s">
        <v>113</v>
      </c>
      <c r="E31"/>
      <c r="F31"/>
      <c r="G31"/>
      <c r="H31"/>
    </row>
    <row r="32" spans="2:17" ht="11.7" x14ac:dyDescent="0.3">
      <c r="C32" s="6" t="s">
        <v>114</v>
      </c>
      <c r="D32" s="1" t="s">
        <v>115</v>
      </c>
      <c r="E32"/>
      <c r="F32"/>
      <c r="G32"/>
      <c r="H32"/>
    </row>
    <row r="33" spans="3:10" ht="11.7" x14ac:dyDescent="0.3">
      <c r="C33" s="6"/>
      <c r="D33" s="1" t="s">
        <v>116</v>
      </c>
      <c r="E33"/>
      <c r="F33"/>
      <c r="G33"/>
      <c r="H33"/>
    </row>
    <row r="34" spans="3:10" ht="11.7" x14ac:dyDescent="0.3">
      <c r="C34" s="6" t="s">
        <v>117</v>
      </c>
      <c r="D34" s="1" t="s">
        <v>118</v>
      </c>
      <c r="E34"/>
      <c r="F34"/>
      <c r="G34"/>
      <c r="H34"/>
    </row>
    <row r="35" spans="3:10" ht="11.7" x14ac:dyDescent="0.3">
      <c r="C35" s="6"/>
      <c r="D35" s="1" t="s">
        <v>119</v>
      </c>
      <c r="E35"/>
      <c r="F35"/>
      <c r="G35"/>
      <c r="H35"/>
    </row>
    <row r="36" spans="3:10" ht="11.7" x14ac:dyDescent="0.3">
      <c r="C36" s="6" t="s">
        <v>120</v>
      </c>
      <c r="D36" s="1" t="s">
        <v>121</v>
      </c>
      <c r="E36"/>
      <c r="F36"/>
      <c r="G36"/>
      <c r="H36"/>
    </row>
    <row r="37" spans="3:10" x14ac:dyDescent="0.3">
      <c r="C37" s="3" t="s">
        <v>37</v>
      </c>
      <c r="D37" s="1" t="s">
        <v>122</v>
      </c>
    </row>
    <row r="38" spans="3:10" x14ac:dyDescent="0.3">
      <c r="C38" s="3" t="s">
        <v>98</v>
      </c>
      <c r="D38" s="1" t="s">
        <v>3</v>
      </c>
    </row>
    <row r="39" spans="3:10" x14ac:dyDescent="0.3">
      <c r="C39" s="3"/>
    </row>
    <row r="40" spans="3:10" x14ac:dyDescent="0.3">
      <c r="C40" s="3"/>
    </row>
    <row r="41" spans="3:10" x14ac:dyDescent="0.3">
      <c r="C41" s="3"/>
    </row>
    <row r="42" spans="3:10" ht="11.7" x14ac:dyDescent="0.3">
      <c r="C42" s="6" t="s">
        <v>84</v>
      </c>
      <c r="D42" t="s">
        <v>32</v>
      </c>
      <c r="E42"/>
      <c r="F42"/>
      <c r="G42"/>
      <c r="H42"/>
      <c r="J42" s="2"/>
    </row>
    <row r="43" spans="3:10" ht="11.7" x14ac:dyDescent="0.3">
      <c r="C43" s="6" t="s">
        <v>85</v>
      </c>
      <c r="D43" t="s">
        <v>33</v>
      </c>
    </row>
    <row r="44" spans="3:10" x14ac:dyDescent="0.3">
      <c r="C44" s="3" t="s">
        <v>86</v>
      </c>
      <c r="D44" s="1" t="s">
        <v>18</v>
      </c>
    </row>
    <row r="45" spans="3:10" x14ac:dyDescent="0.3">
      <c r="C45" s="3" t="s">
        <v>87</v>
      </c>
      <c r="D45" s="1" t="s">
        <v>19</v>
      </c>
      <c r="I45" s="1" t="s">
        <v>24</v>
      </c>
    </row>
    <row r="46" spans="3:10" x14ac:dyDescent="0.3">
      <c r="C46" s="3" t="s">
        <v>25</v>
      </c>
      <c r="D46" s="1" t="s">
        <v>26</v>
      </c>
    </row>
    <row r="47" spans="3:10" x14ac:dyDescent="0.3">
      <c r="C47" s="3" t="s">
        <v>88</v>
      </c>
      <c r="D47" s="1" t="s">
        <v>52</v>
      </c>
    </row>
    <row r="48" spans="3:10" x14ac:dyDescent="0.3">
      <c r="C48" s="3" t="s">
        <v>89</v>
      </c>
      <c r="D48" s="1" t="s">
        <v>53</v>
      </c>
    </row>
    <row r="49" spans="3:7" x14ac:dyDescent="0.3">
      <c r="C49" s="3" t="s">
        <v>90</v>
      </c>
      <c r="D49" s="1" t="s">
        <v>56</v>
      </c>
    </row>
    <row r="50" spans="3:7" x14ac:dyDescent="0.3">
      <c r="C50" s="3" t="s">
        <v>91</v>
      </c>
      <c r="D50" s="1" t="s">
        <v>57</v>
      </c>
    </row>
    <row r="51" spans="3:7" x14ac:dyDescent="0.3">
      <c r="C51" s="3" t="s">
        <v>92</v>
      </c>
      <c r="D51" s="1" t="s">
        <v>58</v>
      </c>
    </row>
    <row r="52" spans="3:7" x14ac:dyDescent="0.3">
      <c r="C52" s="3" t="s">
        <v>94</v>
      </c>
      <c r="D52" s="1" t="s">
        <v>59</v>
      </c>
    </row>
    <row r="53" spans="3:7" x14ac:dyDescent="0.3">
      <c r="C53" s="3" t="s">
        <v>96</v>
      </c>
      <c r="D53" s="1" t="s">
        <v>62</v>
      </c>
      <c r="G53" s="1" t="s">
        <v>93</v>
      </c>
    </row>
    <row r="54" spans="3:7" x14ac:dyDescent="0.3">
      <c r="C54" s="3" t="s">
        <v>63</v>
      </c>
      <c r="D54" s="1" t="s">
        <v>64</v>
      </c>
      <c r="G54" s="1" t="s">
        <v>95</v>
      </c>
    </row>
    <row r="55" spans="3:7" x14ac:dyDescent="0.3">
      <c r="C55" s="3" t="s">
        <v>97</v>
      </c>
      <c r="D55" s="1" t="s">
        <v>66</v>
      </c>
    </row>
    <row r="56" spans="3:7" x14ac:dyDescent="0.3">
      <c r="C56" s="3" t="s">
        <v>98</v>
      </c>
      <c r="D56" s="1" t="s">
        <v>3</v>
      </c>
      <c r="F56" s="4" t="s">
        <v>99</v>
      </c>
    </row>
    <row r="57" spans="3:7" x14ac:dyDescent="0.3">
      <c r="C57" s="3" t="s">
        <v>100</v>
      </c>
      <c r="D57" s="1" t="s">
        <v>69</v>
      </c>
    </row>
    <row r="58" spans="3:7" x14ac:dyDescent="0.3">
      <c r="C58" s="3" t="s">
        <v>38</v>
      </c>
      <c r="D58" s="1" t="s">
        <v>70</v>
      </c>
    </row>
    <row r="59" spans="3:7" x14ac:dyDescent="0.3">
      <c r="C59" s="3"/>
    </row>
    <row r="60" spans="3:7" ht="11.7" x14ac:dyDescent="0.3">
      <c r="C60" s="3"/>
      <c r="D60"/>
    </row>
    <row r="61" spans="3:7" x14ac:dyDescent="0.3">
      <c r="C61" s="3"/>
    </row>
  </sheetData>
  <mergeCells count="6">
    <mergeCell ref="G7:I7"/>
    <mergeCell ref="B16:C16"/>
    <mergeCell ref="D16:E16"/>
    <mergeCell ref="B7:C7"/>
    <mergeCell ref="D7:E7"/>
    <mergeCell ref="E10:F10"/>
  </mergeCells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38A73-3A84-49DE-85E0-A7407CE8673D}">
  <sheetPr codeName="Sheet20"/>
  <dimension ref="B2:Q64"/>
  <sheetViews>
    <sheetView zoomScale="150" zoomScaleNormal="150" workbookViewId="0">
      <selection activeCell="M23" sqref="M23"/>
    </sheetView>
  </sheetViews>
  <sheetFormatPr defaultColWidth="9.1171875" defaultRowHeight="12.3" x14ac:dyDescent="0.3"/>
  <cols>
    <col min="1" max="1" width="2.703125" style="77" customWidth="1"/>
    <col min="2" max="14" width="8.234375" style="77" customWidth="1"/>
    <col min="15" max="16384" width="9.1171875" style="77"/>
  </cols>
  <sheetData>
    <row r="2" spans="2:17" x14ac:dyDescent="0.3">
      <c r="B2" s="77" t="s">
        <v>242</v>
      </c>
    </row>
    <row r="3" spans="2:17" x14ac:dyDescent="0.3">
      <c r="H3" s="78"/>
      <c r="I3" s="78"/>
      <c r="J3" s="78"/>
      <c r="N3" s="79"/>
      <c r="P3" s="79"/>
    </row>
    <row r="4" spans="2:17" x14ac:dyDescent="0.3">
      <c r="B4" s="80" t="s">
        <v>9</v>
      </c>
      <c r="C4" s="81" t="s">
        <v>123</v>
      </c>
      <c r="D4" s="81" t="s">
        <v>128</v>
      </c>
      <c r="E4" s="81" t="s">
        <v>130</v>
      </c>
      <c r="F4" s="81" t="s">
        <v>75</v>
      </c>
      <c r="G4" s="81" t="s">
        <v>7</v>
      </c>
      <c r="H4" s="81" t="s">
        <v>8</v>
      </c>
      <c r="I4" s="82" t="s">
        <v>49</v>
      </c>
      <c r="J4" s="81" t="s">
        <v>234</v>
      </c>
      <c r="K4" s="113" t="s">
        <v>10</v>
      </c>
      <c r="N4" s="79"/>
      <c r="P4" s="79"/>
    </row>
    <row r="5" spans="2:17" ht="13.5" x14ac:dyDescent="0.3">
      <c r="B5" s="84" t="s">
        <v>226</v>
      </c>
      <c r="C5" s="85" t="s">
        <v>226</v>
      </c>
      <c r="D5" s="85" t="s">
        <v>226</v>
      </c>
      <c r="E5" s="85" t="s">
        <v>226</v>
      </c>
      <c r="F5" s="85" t="s">
        <v>6</v>
      </c>
      <c r="G5" s="85" t="s">
        <v>6</v>
      </c>
      <c r="H5" s="85" t="s">
        <v>6</v>
      </c>
      <c r="I5" s="85" t="s">
        <v>6</v>
      </c>
      <c r="J5" s="85" t="s">
        <v>235</v>
      </c>
      <c r="K5" s="86" t="s">
        <v>11</v>
      </c>
      <c r="N5" s="79"/>
      <c r="P5" s="79"/>
    </row>
    <row r="6" spans="2:17" x14ac:dyDescent="0.3">
      <c r="B6" s="87">
        <v>345</v>
      </c>
      <c r="C6" s="88">
        <v>21</v>
      </c>
      <c r="D6" s="89">
        <v>295</v>
      </c>
      <c r="E6" s="88">
        <f>C6/30*1.5</f>
        <v>1.0499999999999998</v>
      </c>
      <c r="F6" s="89">
        <v>350</v>
      </c>
      <c r="G6" s="89">
        <v>2500</v>
      </c>
      <c r="H6" s="90">
        <f>G6-G12</f>
        <v>2425.5</v>
      </c>
      <c r="I6" s="91">
        <f>H6*7/8</f>
        <v>2122.3125</v>
      </c>
      <c r="J6" s="155">
        <v>5.6</v>
      </c>
      <c r="K6" s="93">
        <f>B6*F9*I6/1000/1000</f>
        <v>630.42231656249999</v>
      </c>
      <c r="N6" s="79"/>
      <c r="P6" s="79"/>
    </row>
    <row r="7" spans="2:17" ht="13.5" x14ac:dyDescent="0.3">
      <c r="B7" s="208" t="s">
        <v>0</v>
      </c>
      <c r="C7" s="209"/>
      <c r="D7" s="209" t="s">
        <v>1</v>
      </c>
      <c r="E7" s="209"/>
      <c r="F7" s="94" t="s">
        <v>4</v>
      </c>
      <c r="G7" s="205" t="s">
        <v>136</v>
      </c>
      <c r="H7" s="206"/>
      <c r="I7" s="207"/>
      <c r="J7" s="95" t="s">
        <v>127</v>
      </c>
      <c r="K7" s="96" t="s">
        <v>146</v>
      </c>
      <c r="N7" s="79"/>
      <c r="P7" s="79"/>
    </row>
    <row r="8" spans="2:17" ht="13.5" x14ac:dyDescent="0.3">
      <c r="B8" s="97" t="s">
        <v>5</v>
      </c>
      <c r="C8" s="98" t="s">
        <v>227</v>
      </c>
      <c r="D8" s="98" t="s">
        <v>5</v>
      </c>
      <c r="E8" s="98" t="s">
        <v>228</v>
      </c>
      <c r="F8" s="99" t="s">
        <v>229</v>
      </c>
      <c r="G8" s="100" t="s">
        <v>5</v>
      </c>
      <c r="H8" s="101" t="s">
        <v>147</v>
      </c>
      <c r="I8" s="164" t="s">
        <v>230</v>
      </c>
      <c r="J8" s="103" t="s">
        <v>225</v>
      </c>
      <c r="K8" s="86" t="s">
        <v>35</v>
      </c>
      <c r="N8" s="79"/>
      <c r="P8" s="79"/>
    </row>
    <row r="9" spans="2:17" ht="13.5" x14ac:dyDescent="0.3">
      <c r="B9" s="87" t="s">
        <v>125</v>
      </c>
      <c r="C9" s="91" cm="1">
        <f t="array" ref="C9">Barx(B9,"a")</f>
        <v>861</v>
      </c>
      <c r="D9" s="88" t="s">
        <v>219</v>
      </c>
      <c r="E9" s="104" cm="1">
        <f t="array" ref="E9">IF(D9="-",0,Barx(D9,"a"))</f>
        <v>0</v>
      </c>
      <c r="F9" s="105">
        <f>+C9+E9</f>
        <v>861</v>
      </c>
      <c r="G9" s="106" t="s">
        <v>124</v>
      </c>
      <c r="H9" s="107">
        <v>200</v>
      </c>
      <c r="I9" s="108" cm="1">
        <f t="array" ref="I9">Barx(G9,"a")</f>
        <v>254</v>
      </c>
      <c r="J9" s="162">
        <f>I9/H9/F6</f>
        <v>3.6285714285714285E-3</v>
      </c>
      <c r="K9" s="163" cm="1">
        <f t="array" ref="K9">RC_Beam_Qs(F6,I6,E15,E6,D6,J9)</f>
        <v>778.68342343749975</v>
      </c>
      <c r="N9" s="79"/>
      <c r="P9" s="79"/>
    </row>
    <row r="10" spans="2:17" x14ac:dyDescent="0.3">
      <c r="B10" s="111" t="s">
        <v>14</v>
      </c>
      <c r="C10" s="112" t="s">
        <v>135</v>
      </c>
      <c r="D10" s="112" t="s">
        <v>144</v>
      </c>
      <c r="E10" s="210" t="s">
        <v>141</v>
      </c>
      <c r="F10" s="211"/>
      <c r="G10" s="113" t="s">
        <v>50</v>
      </c>
      <c r="H10" s="114"/>
      <c r="I10" s="115"/>
      <c r="J10" s="115"/>
      <c r="K10" s="115"/>
      <c r="N10" s="79"/>
      <c r="P10" s="79"/>
    </row>
    <row r="11" spans="2:17" x14ac:dyDescent="0.3">
      <c r="B11" s="117" t="s">
        <v>6</v>
      </c>
      <c r="C11" s="118" t="s">
        <v>6</v>
      </c>
      <c r="D11" s="118" t="s">
        <v>6</v>
      </c>
      <c r="E11" s="103" t="s">
        <v>142</v>
      </c>
      <c r="F11" s="98" t="s">
        <v>143</v>
      </c>
      <c r="G11" s="119" t="s">
        <v>6</v>
      </c>
      <c r="H11" s="114"/>
      <c r="I11" s="115"/>
      <c r="J11" s="115"/>
      <c r="K11" s="115"/>
      <c r="N11" s="79"/>
      <c r="P11" s="79"/>
    </row>
    <row r="12" spans="2:17" x14ac:dyDescent="0.3">
      <c r="B12" s="120">
        <v>50</v>
      </c>
      <c r="C12" s="121" cm="1">
        <f t="array" ref="C12">Barx(B9,3)</f>
        <v>21</v>
      </c>
      <c r="D12" s="121" cm="1">
        <f t="array" ref="D12">Barx(G9,3)</f>
        <v>14</v>
      </c>
      <c r="E12" s="122">
        <f>B12+D12+C12/2</f>
        <v>74.5</v>
      </c>
      <c r="F12" s="90">
        <f>IF(D9="-",0,RIGHT(D9,2)*1.5+C12+E12)</f>
        <v>0</v>
      </c>
      <c r="G12" s="123">
        <f>+E12</f>
        <v>74.5</v>
      </c>
      <c r="H12" s="114"/>
      <c r="I12" s="115"/>
      <c r="J12" s="115"/>
      <c r="K12" s="115"/>
      <c r="L12" s="116"/>
      <c r="O12" s="79"/>
      <c r="Q12" s="79"/>
    </row>
    <row r="13" spans="2:17" x14ac:dyDescent="0.3">
      <c r="B13" s="80" t="s">
        <v>40</v>
      </c>
      <c r="C13" s="81" t="s">
        <v>154</v>
      </c>
      <c r="D13" s="81" t="s">
        <v>8</v>
      </c>
      <c r="E13" s="81" t="s">
        <v>126</v>
      </c>
      <c r="F13" s="124" t="s">
        <v>157</v>
      </c>
      <c r="G13" s="124" t="s">
        <v>7</v>
      </c>
      <c r="H13" s="153" t="s">
        <v>159</v>
      </c>
      <c r="I13" s="226" t="s">
        <v>160</v>
      </c>
      <c r="J13" s="227"/>
      <c r="K13" s="115"/>
      <c r="L13" s="116"/>
      <c r="O13" s="79"/>
      <c r="Q13" s="79"/>
    </row>
    <row r="14" spans="2:17" x14ac:dyDescent="0.3">
      <c r="B14" s="126" t="s">
        <v>6</v>
      </c>
      <c r="C14" s="127" t="s">
        <v>6</v>
      </c>
      <c r="D14" s="127" t="s">
        <v>6</v>
      </c>
      <c r="E14" s="128" t="s">
        <v>161</v>
      </c>
      <c r="F14" s="127" t="s">
        <v>6</v>
      </c>
      <c r="G14" s="127" t="s">
        <v>6</v>
      </c>
      <c r="H14" s="159"/>
      <c r="I14" s="228" t="s">
        <v>239</v>
      </c>
      <c r="J14" s="229"/>
      <c r="K14" s="115"/>
      <c r="O14" s="79"/>
      <c r="Q14" s="79"/>
    </row>
    <row r="15" spans="2:17" x14ac:dyDescent="0.3">
      <c r="B15" s="129">
        <f>+K6</f>
        <v>630.42231656249999</v>
      </c>
      <c r="C15" s="130">
        <f>+K6*2/J6</f>
        <v>225.15082734375002</v>
      </c>
      <c r="D15" s="89">
        <f>+H6</f>
        <v>2425.5</v>
      </c>
      <c r="E15" s="130">
        <f>MIN(3,B15*1000/C15/D15)</f>
        <v>1.1544011544011543</v>
      </c>
      <c r="F15" s="89">
        <v>600</v>
      </c>
      <c r="G15" s="89">
        <f>+G6</f>
        <v>2500</v>
      </c>
      <c r="H15" s="160">
        <f>IF(F15&gt;G15/3,"NG",F15/G15)</f>
        <v>0.24</v>
      </c>
      <c r="I15" s="230">
        <f>2/3*E15*E6*(1-H15)</f>
        <v>0.61414141414141399</v>
      </c>
      <c r="J15" s="231"/>
      <c r="K15" s="115"/>
      <c r="L15" s="116"/>
      <c r="O15" s="79"/>
      <c r="Q15" s="79"/>
    </row>
    <row r="16" spans="2:17" ht="13.5" x14ac:dyDescent="0.3">
      <c r="B16" s="202" t="s">
        <v>167</v>
      </c>
      <c r="C16" s="203"/>
      <c r="D16" s="204" t="s">
        <v>168</v>
      </c>
      <c r="E16" s="204"/>
      <c r="F16" s="81" t="s">
        <v>75</v>
      </c>
      <c r="G16" s="81" t="s">
        <v>236</v>
      </c>
      <c r="H16" s="81" t="s">
        <v>71</v>
      </c>
      <c r="I16" s="153" t="s">
        <v>170</v>
      </c>
      <c r="J16" s="232" t="s">
        <v>241</v>
      </c>
      <c r="K16" s="233"/>
      <c r="N16" s="79"/>
      <c r="P16" s="79"/>
    </row>
    <row r="17" spans="2:17" ht="13.5" x14ac:dyDescent="0.3">
      <c r="B17" s="135" t="s">
        <v>5</v>
      </c>
      <c r="C17" s="136" t="s">
        <v>231</v>
      </c>
      <c r="D17" s="136" t="s">
        <v>5</v>
      </c>
      <c r="E17" s="136" t="s">
        <v>232</v>
      </c>
      <c r="F17" s="128" t="s">
        <v>6</v>
      </c>
      <c r="G17" s="128" t="s">
        <v>235</v>
      </c>
      <c r="H17" s="128" t="s">
        <v>6</v>
      </c>
      <c r="I17" s="161"/>
      <c r="J17" s="222" t="s">
        <v>222</v>
      </c>
      <c r="K17" s="223"/>
      <c r="N17" s="79"/>
      <c r="P17" s="79"/>
    </row>
    <row r="18" spans="2:17" x14ac:dyDescent="0.3">
      <c r="B18" s="87" t="s">
        <v>124</v>
      </c>
      <c r="C18" s="91" cm="1">
        <f t="array" ref="C18">Barx(B18,"a")</f>
        <v>254</v>
      </c>
      <c r="D18" s="88" t="s">
        <v>238</v>
      </c>
      <c r="E18" s="91" cm="1">
        <f t="array" ref="E18">Barx(D18,"a")</f>
        <v>254</v>
      </c>
      <c r="F18" s="138">
        <f>+F6</f>
        <v>350</v>
      </c>
      <c r="G18" s="138">
        <v>1250</v>
      </c>
      <c r="H18" s="139" cm="1">
        <f t="array" ref="H18">range_C45(G6,B12+D12+C12/2,G18)</f>
        <v>1175.5</v>
      </c>
      <c r="I18" s="154">
        <f>RC_kantu_ps(C18,E18,F18,H18,"")</f>
        <v>1.4904545052993004E-3</v>
      </c>
      <c r="J18" s="224">
        <f>MAX(0,0.5*D6*(I18-0.002))</f>
        <v>0</v>
      </c>
      <c r="K18" s="225"/>
      <c r="N18" s="79"/>
      <c r="P18" s="79"/>
    </row>
    <row r="19" spans="2:17" ht="13.5" x14ac:dyDescent="0.3">
      <c r="B19" s="202" t="s">
        <v>167</v>
      </c>
      <c r="C19" s="203"/>
      <c r="D19" s="204" t="s">
        <v>168</v>
      </c>
      <c r="E19" s="204"/>
      <c r="F19" s="81" t="s">
        <v>75</v>
      </c>
      <c r="G19" s="81" t="s">
        <v>236</v>
      </c>
      <c r="H19" s="81" t="s">
        <v>72</v>
      </c>
      <c r="I19" s="153" t="s">
        <v>170</v>
      </c>
      <c r="J19" s="232" t="s">
        <v>240</v>
      </c>
      <c r="K19" s="233"/>
      <c r="N19" s="79"/>
      <c r="P19" s="79"/>
    </row>
    <row r="20" spans="2:17" ht="13.5" x14ac:dyDescent="0.3">
      <c r="B20" s="135" t="s">
        <v>5</v>
      </c>
      <c r="C20" s="136" t="s">
        <v>231</v>
      </c>
      <c r="D20" s="136" t="s">
        <v>5</v>
      </c>
      <c r="E20" s="165" t="s">
        <v>232</v>
      </c>
      <c r="F20" s="128" t="s">
        <v>6</v>
      </c>
      <c r="G20" s="128" t="s">
        <v>235</v>
      </c>
      <c r="H20" s="128" t="s">
        <v>6</v>
      </c>
      <c r="I20" s="161"/>
      <c r="J20" s="222" t="s">
        <v>222</v>
      </c>
      <c r="K20" s="223"/>
      <c r="N20" s="79"/>
      <c r="P20" s="79"/>
    </row>
    <row r="21" spans="2:17" x14ac:dyDescent="0.3">
      <c r="B21" s="87" t="s">
        <v>124</v>
      </c>
      <c r="C21" s="91" cm="1">
        <f t="array" ref="C21">Barx(B21,"a")</f>
        <v>254</v>
      </c>
      <c r="D21" s="88" t="s">
        <v>238</v>
      </c>
      <c r="E21" s="91" cm="1">
        <f t="array" ref="E21">Barx(D21,"a")</f>
        <v>254</v>
      </c>
      <c r="F21" s="138">
        <f>F18</f>
        <v>350</v>
      </c>
      <c r="G21" s="138">
        <v>1000</v>
      </c>
      <c r="H21" s="139">
        <f>(G6-E12*2)-H18</f>
        <v>1175.5</v>
      </c>
      <c r="I21" s="154" cm="1">
        <f t="array" ref="I21">RC_kantu_ps(C21,E21,F21,H21,"")</f>
        <v>1.4904545052993004E-3</v>
      </c>
      <c r="J21" s="234">
        <f>MAX(0.5*D6*(I21-0.002),0)</f>
        <v>0</v>
      </c>
      <c r="K21" s="235"/>
      <c r="N21" s="79"/>
      <c r="P21" s="79"/>
    </row>
    <row r="22" spans="2:17" x14ac:dyDescent="0.3">
      <c r="B22" s="142"/>
      <c r="C22" s="143" t="s">
        <v>163</v>
      </c>
      <c r="D22" s="81" t="s">
        <v>164</v>
      </c>
      <c r="E22" s="83" t="s">
        <v>41</v>
      </c>
      <c r="L22" s="156"/>
      <c r="O22" s="79"/>
      <c r="Q22" s="79"/>
    </row>
    <row r="23" spans="2:17" x14ac:dyDescent="0.3">
      <c r="B23" s="126" t="s">
        <v>133</v>
      </c>
      <c r="C23" s="128" t="s">
        <v>35</v>
      </c>
      <c r="D23" s="128" t="s">
        <v>35</v>
      </c>
      <c r="E23" s="144"/>
      <c r="H23" s="157"/>
      <c r="J23" s="133"/>
      <c r="K23" s="115"/>
      <c r="L23" s="156"/>
      <c r="O23" s="79"/>
      <c r="Q23" s="79"/>
    </row>
    <row r="24" spans="2:17" x14ac:dyDescent="0.3">
      <c r="B24" s="145">
        <f>+I15+MAX(J18,J21)</f>
        <v>0.61414141414141399</v>
      </c>
      <c r="C24" s="92">
        <f>F6*I6*B24/1000</f>
        <v>456.18999999999988</v>
      </c>
      <c r="D24" s="146">
        <f>+C15/C24</f>
        <v>0.49354617011278212</v>
      </c>
      <c r="E24" s="147" t="str">
        <f>IF(D24&lt;1,"OK","NG")</f>
        <v>OK</v>
      </c>
      <c r="K24" s="115"/>
      <c r="L24" s="156"/>
      <c r="O24" s="79"/>
      <c r="Q24" s="79"/>
    </row>
    <row r="25" spans="2:17" x14ac:dyDescent="0.3">
      <c r="G25" s="77" t="s">
        <v>171</v>
      </c>
      <c r="L25" s="116"/>
    </row>
    <row r="27" spans="2:17" ht="13.5" x14ac:dyDescent="0.3">
      <c r="C27" s="148" t="s">
        <v>101</v>
      </c>
      <c r="D27" s="77" t="s">
        <v>105</v>
      </c>
      <c r="E27" s="149"/>
      <c r="F27" s="149"/>
      <c r="G27" s="149"/>
      <c r="H27" s="149"/>
      <c r="I27" s="150" t="s">
        <v>28</v>
      </c>
    </row>
    <row r="28" spans="2:17" ht="13.5" x14ac:dyDescent="0.3">
      <c r="C28" s="148"/>
      <c r="D28" s="77" t="s">
        <v>102</v>
      </c>
      <c r="E28" s="149"/>
      <c r="F28" s="149"/>
      <c r="G28" s="149"/>
      <c r="H28" s="149"/>
    </row>
    <row r="29" spans="2:17" ht="13.5" x14ac:dyDescent="0.3">
      <c r="C29" s="148" t="s">
        <v>103</v>
      </c>
      <c r="D29" s="77" t="s">
        <v>104</v>
      </c>
      <c r="E29" s="149"/>
      <c r="F29" s="149"/>
      <c r="G29" s="149"/>
      <c r="H29" s="149"/>
    </row>
    <row r="30" spans="2:17" ht="13.5" x14ac:dyDescent="0.3">
      <c r="C30" s="148" t="s">
        <v>106</v>
      </c>
      <c r="D30" s="77" t="s">
        <v>233</v>
      </c>
      <c r="E30" s="149"/>
      <c r="F30" s="149"/>
      <c r="G30" s="149"/>
      <c r="H30" s="149"/>
    </row>
    <row r="31" spans="2:17" ht="13.5" x14ac:dyDescent="0.3">
      <c r="C31" s="148" t="s">
        <v>108</v>
      </c>
      <c r="D31" s="77" t="s">
        <v>109</v>
      </c>
      <c r="E31" s="149"/>
      <c r="F31" s="149"/>
      <c r="G31" s="149"/>
      <c r="H31" s="149"/>
    </row>
    <row r="32" spans="2:17" ht="13.5" x14ac:dyDescent="0.3">
      <c r="C32" s="148" t="s">
        <v>2</v>
      </c>
      <c r="D32" s="77" t="s">
        <v>110</v>
      </c>
      <c r="E32" s="149"/>
      <c r="F32" s="149"/>
      <c r="G32" s="149"/>
      <c r="H32" s="149"/>
    </row>
    <row r="33" spans="3:10" ht="13.5" x14ac:dyDescent="0.3">
      <c r="C33" s="148" t="s">
        <v>21</v>
      </c>
      <c r="D33" s="77" t="s">
        <v>111</v>
      </c>
      <c r="E33" s="149"/>
      <c r="F33" s="149"/>
      <c r="G33" s="149"/>
      <c r="H33" s="149"/>
    </row>
    <row r="34" spans="3:10" ht="13.5" x14ac:dyDescent="0.3">
      <c r="C34" s="148" t="s">
        <v>112</v>
      </c>
      <c r="D34" s="149" t="s">
        <v>113</v>
      </c>
      <c r="E34" s="149"/>
      <c r="F34" s="149"/>
      <c r="G34" s="149"/>
      <c r="H34" s="149"/>
    </row>
    <row r="35" spans="3:10" ht="13.5" x14ac:dyDescent="0.3">
      <c r="C35" s="148" t="s">
        <v>114</v>
      </c>
      <c r="D35" s="77" t="s">
        <v>115</v>
      </c>
      <c r="E35" s="149"/>
      <c r="F35" s="149"/>
      <c r="G35" s="149"/>
      <c r="H35" s="149"/>
    </row>
    <row r="36" spans="3:10" ht="13.5" x14ac:dyDescent="0.3">
      <c r="C36" s="148"/>
      <c r="D36" s="77" t="s">
        <v>116</v>
      </c>
      <c r="E36" s="149"/>
      <c r="F36" s="149"/>
      <c r="G36" s="149"/>
      <c r="H36" s="149"/>
    </row>
    <row r="37" spans="3:10" ht="13.5" x14ac:dyDescent="0.3">
      <c r="C37" s="148" t="s">
        <v>117</v>
      </c>
      <c r="D37" s="77" t="s">
        <v>118</v>
      </c>
      <c r="E37" s="149"/>
      <c r="F37" s="149"/>
      <c r="G37" s="149"/>
      <c r="H37" s="149"/>
    </row>
    <row r="38" spans="3:10" ht="13.5" x14ac:dyDescent="0.3">
      <c r="C38" s="148"/>
      <c r="D38" s="77" t="s">
        <v>119</v>
      </c>
      <c r="E38" s="149"/>
      <c r="F38" s="149"/>
      <c r="G38" s="149"/>
      <c r="H38" s="149"/>
    </row>
    <row r="39" spans="3:10" ht="13.5" x14ac:dyDescent="0.3">
      <c r="C39" s="148" t="s">
        <v>120</v>
      </c>
      <c r="D39" s="77" t="s">
        <v>121</v>
      </c>
      <c r="E39" s="149"/>
      <c r="F39" s="149"/>
      <c r="G39" s="149"/>
      <c r="H39" s="149"/>
    </row>
    <row r="40" spans="3:10" x14ac:dyDescent="0.3">
      <c r="C40" s="151" t="s">
        <v>37</v>
      </c>
      <c r="D40" s="77" t="s">
        <v>122</v>
      </c>
    </row>
    <row r="41" spans="3:10" x14ac:dyDescent="0.3">
      <c r="C41" s="151" t="s">
        <v>13</v>
      </c>
      <c r="D41" s="77" t="s">
        <v>3</v>
      </c>
    </row>
    <row r="42" spans="3:10" x14ac:dyDescent="0.3">
      <c r="C42" s="151"/>
    </row>
    <row r="43" spans="3:10" x14ac:dyDescent="0.3">
      <c r="C43" s="151"/>
    </row>
    <row r="44" spans="3:10" x14ac:dyDescent="0.3">
      <c r="C44" s="151"/>
    </row>
    <row r="45" spans="3:10" ht="13.5" x14ac:dyDescent="0.3">
      <c r="C45" s="148" t="s">
        <v>30</v>
      </c>
      <c r="D45" s="149" t="s">
        <v>32</v>
      </c>
      <c r="E45" s="149"/>
      <c r="F45" s="149"/>
      <c r="G45" s="149"/>
      <c r="H45" s="149"/>
      <c r="J45" s="79"/>
    </row>
    <row r="46" spans="3:10" ht="13.5" x14ac:dyDescent="0.3">
      <c r="C46" s="148" t="s">
        <v>31</v>
      </c>
      <c r="D46" s="149" t="s">
        <v>33</v>
      </c>
    </row>
    <row r="47" spans="3:10" x14ac:dyDescent="0.3">
      <c r="C47" s="151" t="s">
        <v>17</v>
      </c>
      <c r="D47" s="77" t="s">
        <v>18</v>
      </c>
    </row>
    <row r="48" spans="3:10" x14ac:dyDescent="0.3">
      <c r="C48" s="151" t="s">
        <v>2</v>
      </c>
      <c r="D48" s="77" t="s">
        <v>19</v>
      </c>
      <c r="I48" s="77" t="s">
        <v>20</v>
      </c>
    </row>
    <row r="49" spans="3:7" x14ac:dyDescent="0.3">
      <c r="C49" s="151" t="s">
        <v>21</v>
      </c>
      <c r="D49" s="77" t="s">
        <v>22</v>
      </c>
    </row>
    <row r="50" spans="3:7" x14ac:dyDescent="0.3">
      <c r="C50" s="151" t="s">
        <v>12</v>
      </c>
      <c r="D50" s="77" t="s">
        <v>52</v>
      </c>
    </row>
    <row r="51" spans="3:7" x14ac:dyDescent="0.3">
      <c r="C51" s="151" t="s">
        <v>51</v>
      </c>
      <c r="D51" s="77" t="s">
        <v>53</v>
      </c>
    </row>
    <row r="52" spans="3:7" x14ac:dyDescent="0.3">
      <c r="C52" s="151" t="s">
        <v>54</v>
      </c>
      <c r="D52" s="77" t="s">
        <v>56</v>
      </c>
    </row>
    <row r="53" spans="3:7" x14ac:dyDescent="0.3">
      <c r="C53" s="151" t="s">
        <v>55</v>
      </c>
      <c r="D53" s="77" t="s">
        <v>57</v>
      </c>
    </row>
    <row r="54" spans="3:7" x14ac:dyDescent="0.3">
      <c r="C54" s="151" t="s">
        <v>15</v>
      </c>
      <c r="D54" s="77" t="s">
        <v>58</v>
      </c>
    </row>
    <row r="55" spans="3:7" x14ac:dyDescent="0.3">
      <c r="C55" s="151" t="s">
        <v>29</v>
      </c>
      <c r="D55" s="77" t="s">
        <v>59</v>
      </c>
    </row>
    <row r="56" spans="3:7" x14ac:dyDescent="0.3">
      <c r="C56" s="151" t="s">
        <v>61</v>
      </c>
      <c r="D56" s="77" t="s">
        <v>62</v>
      </c>
      <c r="G56" s="77" t="s">
        <v>16</v>
      </c>
    </row>
    <row r="57" spans="3:7" x14ac:dyDescent="0.3">
      <c r="C57" s="151" t="s">
        <v>63</v>
      </c>
      <c r="D57" s="77" t="s">
        <v>64</v>
      </c>
      <c r="G57" s="77" t="s">
        <v>60</v>
      </c>
    </row>
    <row r="58" spans="3:7" x14ac:dyDescent="0.3">
      <c r="C58" s="151" t="s">
        <v>65</v>
      </c>
      <c r="D58" s="77" t="s">
        <v>66</v>
      </c>
    </row>
    <row r="59" spans="3:7" x14ac:dyDescent="0.3">
      <c r="C59" s="151" t="s">
        <v>13</v>
      </c>
      <c r="D59" s="77" t="s">
        <v>3</v>
      </c>
      <c r="F59" s="152" t="s">
        <v>67</v>
      </c>
    </row>
    <row r="60" spans="3:7" x14ac:dyDescent="0.3">
      <c r="C60" s="151" t="s">
        <v>68</v>
      </c>
      <c r="D60" s="77" t="s">
        <v>69</v>
      </c>
    </row>
    <row r="61" spans="3:7" x14ac:dyDescent="0.3">
      <c r="C61" s="151" t="s">
        <v>38</v>
      </c>
      <c r="D61" s="77" t="s">
        <v>70</v>
      </c>
    </row>
    <row r="62" spans="3:7" x14ac:dyDescent="0.3">
      <c r="C62" s="151"/>
    </row>
    <row r="63" spans="3:7" ht="13.5" x14ac:dyDescent="0.3">
      <c r="C63" s="151"/>
      <c r="D63" s="149"/>
    </row>
    <row r="64" spans="3:7" x14ac:dyDescent="0.3">
      <c r="C64" s="151"/>
    </row>
  </sheetData>
  <mergeCells count="17">
    <mergeCell ref="B19:C19"/>
    <mergeCell ref="D19:E19"/>
    <mergeCell ref="J19:K19"/>
    <mergeCell ref="J20:K20"/>
    <mergeCell ref="J21:K21"/>
    <mergeCell ref="J17:K17"/>
    <mergeCell ref="J18:K18"/>
    <mergeCell ref="B7:C7"/>
    <mergeCell ref="D7:E7"/>
    <mergeCell ref="G7:I7"/>
    <mergeCell ref="E10:F10"/>
    <mergeCell ref="B16:C16"/>
    <mergeCell ref="D16:E16"/>
    <mergeCell ref="I13:J13"/>
    <mergeCell ref="I14:J14"/>
    <mergeCell ref="I15:J15"/>
    <mergeCell ref="J16:K16"/>
  </mergeCells>
  <phoneticPr fontId="2"/>
  <pageMargins left="0.78740157480314965" right="0.27" top="0.98425196850393704" bottom="0.98425196850393704" header="0.51181102362204722" footer="0.51181102362204722"/>
  <pageSetup paperSize="9" orientation="portrait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開口補強(大地震）計算例</vt:lpstr>
      <vt:lpstr>開口補強(長期）</vt:lpstr>
      <vt:lpstr>開口補強(短期）1</vt:lpstr>
      <vt:lpstr>開口補強(大地震）FG11A</vt:lpstr>
      <vt:lpstr>開口補強(大地震）FG11</vt:lpstr>
      <vt:lpstr>開口補強(大地震）FG12</vt:lpstr>
      <vt:lpstr>開口補強(大地震）FG2</vt:lpstr>
      <vt:lpstr>old開口補強</vt:lpstr>
      <vt:lpstr>old開口補強(短期）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大和ハウス工業株式会社</dc:creator>
  <cp:lastModifiedBy>Administrator</cp:lastModifiedBy>
  <cp:lastPrinted>2022-02-10T06:25:29Z</cp:lastPrinted>
  <dcterms:created xsi:type="dcterms:W3CDTF">2009-06-30T00:33:01Z</dcterms:created>
  <dcterms:modified xsi:type="dcterms:W3CDTF">2022-03-16T01:49:20Z</dcterms:modified>
</cp:coreProperties>
</file>