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excel_RC\"/>
    </mc:Choice>
  </mc:AlternateContent>
  <xr:revisionPtr revIDLastSave="0" documentId="13_ncr:1_{651B3B9D-83BA-4D18-AEEF-FDF361A379E4}" xr6:coauthVersionLast="36" xr6:coauthVersionMax="36" xr10:uidLastSave="{00000000-0000-0000-0000-000000000000}"/>
  <bookViews>
    <workbookView xWindow="32766" yWindow="32766" windowWidth="23040" windowHeight="10686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36" i="1" l="1"/>
  <c r="C65" i="1" l="1"/>
  <c r="F66" i="1"/>
  <c r="C66" i="1"/>
  <c r="G66" i="1" l="1"/>
  <c r="F23" i="1"/>
  <c r="E23" i="1"/>
  <c r="D23" i="1"/>
  <c r="D31" i="1"/>
  <c r="F31" i="1"/>
  <c r="D13" i="1"/>
  <c r="D33" i="1"/>
  <c r="E60" i="1"/>
  <c r="D14" i="1"/>
  <c r="E35" i="1" l="1"/>
  <c r="D16" i="1"/>
  <c r="F32" i="1"/>
  <c r="F33" i="1" s="1"/>
  <c r="F36" i="1" s="1"/>
  <c r="D15" i="1"/>
  <c r="D18" i="1" l="1"/>
  <c r="D17" i="1"/>
  <c r="I57" i="1" s="1"/>
  <c r="F35" i="1"/>
  <c r="E39" i="1" s="1"/>
  <c r="E38" i="1"/>
  <c r="F38" i="1"/>
  <c r="F39" i="1"/>
  <c r="G39" i="1" l="1"/>
  <c r="G38" i="1"/>
  <c r="D57" i="1"/>
  <c r="D58" i="1"/>
  <c r="G57" i="1"/>
  <c r="G58" i="1"/>
  <c r="G60" i="1" l="1"/>
  <c r="F60" i="1" l="1"/>
  <c r="H60" i="1"/>
</calcChain>
</file>

<file path=xl/sharedStrings.xml><?xml version="1.0" encoding="utf-8"?>
<sst xmlns="http://schemas.openxmlformats.org/spreadsheetml/2006/main" count="71" uniqueCount="61">
  <si>
    <t>B=</t>
    <phoneticPr fontId="3"/>
  </si>
  <si>
    <t>mm</t>
    <phoneticPr fontId="3"/>
  </si>
  <si>
    <t>D=</t>
    <phoneticPr fontId="3"/>
  </si>
  <si>
    <t>あばら筋：</t>
    <rPh sb="3" eb="4">
      <t>キン</t>
    </rPh>
    <phoneticPr fontId="2"/>
  </si>
  <si>
    <t>Fc</t>
    <phoneticPr fontId="2"/>
  </si>
  <si>
    <t>SD</t>
    <phoneticPr fontId="2"/>
  </si>
  <si>
    <t>主筋</t>
    <rPh sb="0" eb="2">
      <t>シュキン</t>
    </rPh>
    <phoneticPr fontId="2"/>
  </si>
  <si>
    <t>あばら筋</t>
    <rPh sb="3" eb="4">
      <t>キン</t>
    </rPh>
    <phoneticPr fontId="2"/>
  </si>
  <si>
    <t>k=</t>
    <phoneticPr fontId="3"/>
  </si>
  <si>
    <t>D10</t>
    <phoneticPr fontId="2"/>
  </si>
  <si>
    <t>ats=</t>
    <phoneticPr fontId="2"/>
  </si>
  <si>
    <t>dmax=</t>
    <phoneticPr fontId="2"/>
  </si>
  <si>
    <t>b1=B-2*k-dmax=</t>
    <phoneticPr fontId="3"/>
  </si>
  <si>
    <t>d1=D-2*k-dmax=</t>
    <phoneticPr fontId="3"/>
  </si>
  <si>
    <t>A0=b1*d1=</t>
    <phoneticPr fontId="2"/>
  </si>
  <si>
    <t>m2</t>
    <phoneticPr fontId="2"/>
  </si>
  <si>
    <t>φ0=(b1+d1)*2=</t>
    <phoneticPr fontId="2"/>
  </si>
  <si>
    <t>mm</t>
    <phoneticPr fontId="2"/>
  </si>
  <si>
    <t>mm(かぶり)</t>
    <phoneticPr fontId="3"/>
  </si>
  <si>
    <t>T=</t>
    <phoneticPr fontId="2"/>
  </si>
  <si>
    <t>bt=</t>
    <phoneticPr fontId="2"/>
  </si>
  <si>
    <t>Dt=</t>
    <phoneticPr fontId="2"/>
  </si>
  <si>
    <t>fs=</t>
    <phoneticPr fontId="2"/>
  </si>
  <si>
    <t>T0=bt^2*Dt*1.15*fs/3=</t>
    <phoneticPr fontId="2"/>
  </si>
  <si>
    <t>d=</t>
    <phoneticPr fontId="2"/>
  </si>
  <si>
    <t>j=</t>
    <phoneticPr fontId="2"/>
  </si>
  <si>
    <t>Q0=B*j*α*fs=</t>
    <phoneticPr fontId="2"/>
  </si>
  <si>
    <t>長期</t>
    <rPh sb="0" eb="2">
      <t>チョウキ</t>
    </rPh>
    <phoneticPr fontId="2"/>
  </si>
  <si>
    <t>　短期</t>
    <rPh sb="1" eb="3">
      <t>タンキ</t>
    </rPh>
    <phoneticPr fontId="2"/>
  </si>
  <si>
    <t>端部M</t>
    <rPh sb="0" eb="2">
      <t>タンブ</t>
    </rPh>
    <phoneticPr fontId="2"/>
  </si>
  <si>
    <t>中央M</t>
    <rPh sb="0" eb="2">
      <t>チュウオウ</t>
    </rPh>
    <phoneticPr fontId="2"/>
  </si>
  <si>
    <t>Q</t>
    <phoneticPr fontId="2"/>
  </si>
  <si>
    <t>水平荷重時</t>
    <rPh sb="0" eb="2">
      <t>スイヘイ</t>
    </rPh>
    <rPh sb="2" eb="4">
      <t>カジュウ</t>
    </rPh>
    <rPh sb="4" eb="5">
      <t>ジ</t>
    </rPh>
    <phoneticPr fontId="2"/>
  </si>
  <si>
    <t>短期</t>
    <rPh sb="0" eb="2">
      <t>タンキ</t>
    </rPh>
    <phoneticPr fontId="2"/>
  </si>
  <si>
    <t>Qs＝QL+2*Qe</t>
    <phoneticPr fontId="2"/>
  </si>
  <si>
    <t>ねじれに対する検討</t>
    <rPh sb="4" eb="5">
      <t>タイ</t>
    </rPh>
    <rPh sb="7" eb="9">
      <t>ケントウ</t>
    </rPh>
    <phoneticPr fontId="2"/>
  </si>
  <si>
    <t>１．一般事項</t>
    <rPh sb="2" eb="4">
      <t>イッパン</t>
    </rPh>
    <rPh sb="4" eb="6">
      <t>ジコウ</t>
    </rPh>
    <phoneticPr fontId="2"/>
  </si>
  <si>
    <t>2.ねじれモーメント算出</t>
    <phoneticPr fontId="2"/>
  </si>
  <si>
    <t>D22</t>
    <phoneticPr fontId="2"/>
  </si>
  <si>
    <t>3.断面算定</t>
    <rPh sb="2" eb="4">
      <t>ダンメン</t>
    </rPh>
    <rPh sb="4" eb="6">
      <t>サンテイ</t>
    </rPh>
    <phoneticPr fontId="2"/>
  </si>
  <si>
    <t>(1)許容ねじりモーメント，許容せん断力</t>
    <rPh sb="3" eb="5">
      <t>キョヨウ</t>
    </rPh>
    <rPh sb="14" eb="16">
      <t>キョヨウ</t>
    </rPh>
    <rPh sb="18" eb="19">
      <t>ダン</t>
    </rPh>
    <rPh sb="19" eb="20">
      <t>リョク</t>
    </rPh>
    <phoneticPr fontId="2"/>
  </si>
  <si>
    <t>(2)長期</t>
    <rPh sb="3" eb="5">
      <t>チョウキ</t>
    </rPh>
    <phoneticPr fontId="2"/>
  </si>
  <si>
    <t>(3)短期</t>
    <rPh sb="3" eb="5">
      <t>タンキ</t>
    </rPh>
    <phoneticPr fontId="2"/>
  </si>
  <si>
    <t>a1=T*x/(2*wft*A0)</t>
    <phoneticPr fontId="2"/>
  </si>
  <si>
    <t>pw=</t>
    <phoneticPr fontId="2"/>
  </si>
  <si>
    <t>2*a1/(b*x)=T/(wft*A0*b)</t>
    <phoneticPr fontId="2"/>
  </si>
  <si>
    <t>短期，pw=</t>
    <rPh sb="0" eb="2">
      <t>タンキ</t>
    </rPh>
    <phoneticPr fontId="2"/>
  </si>
  <si>
    <t>長期，pw=</t>
    <rPh sb="0" eb="2">
      <t>チョウキ</t>
    </rPh>
    <phoneticPr fontId="2"/>
  </si>
  <si>
    <t>ⅰ.あばら筋</t>
    <rPh sb="5" eb="6">
      <t>キン</t>
    </rPh>
    <phoneticPr fontId="2"/>
  </si>
  <si>
    <t>use ,pw=</t>
    <phoneticPr fontId="2"/>
  </si>
  <si>
    <t>2-D10@200</t>
    <phoneticPr fontId="2"/>
  </si>
  <si>
    <t>スラブの設計，CS1ﾖﾘ</t>
    <rPh sb="4" eb="6">
      <t>セッケイ</t>
    </rPh>
    <phoneticPr fontId="2"/>
  </si>
  <si>
    <t>FG3　(1通り　C-D間）</t>
    <phoneticPr fontId="2"/>
  </si>
  <si>
    <t>ⅱ）軸方向筋の算定</t>
    <rPh sb="2" eb="3">
      <t>ジク</t>
    </rPh>
    <rPh sb="3" eb="5">
      <t>ホウコウ</t>
    </rPh>
    <rPh sb="5" eb="6">
      <t>キン</t>
    </rPh>
    <rPh sb="7" eb="9">
      <t>サンテイ</t>
    </rPh>
    <phoneticPr fontId="3"/>
  </si>
  <si>
    <t>as=</t>
    <phoneticPr fontId="3"/>
  </si>
  <si>
    <t>&lt;</t>
    <phoneticPr fontId="3"/>
  </si>
  <si>
    <t>at=</t>
    <phoneticPr fontId="3"/>
  </si>
  <si>
    <t>T*φ0/(2*ft*Ao)</t>
    <phoneticPr fontId="3"/>
  </si>
  <si>
    <t>ft=</t>
    <phoneticPr fontId="2"/>
  </si>
  <si>
    <t>腹筋</t>
    <rPh sb="0" eb="1">
      <t>ハラ</t>
    </rPh>
    <rPh sb="1" eb="2">
      <t>キン</t>
    </rPh>
    <phoneticPr fontId="2"/>
  </si>
  <si>
    <t>10-D13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</si>
</sst>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"/>
    <numFmt numFmtId="178" formatCode="0.0_ "/>
  </numFmts>
  <fonts count="8" x14ac:knownFonts="1">
    <font>
      <sz val="11"/>
      <color theme="1"/>
      <name val="游ゴシック"/>
      <family val="3"/>
      <charset val="128"/>
      <scheme val="minor"/>
    </font>
    <font>
      <sz val="10.5"/>
      <name val="Meiryo UI"/>
      <family val="3"/>
      <charset val="128"/>
    </font>
    <font>
      <sz val="6"/>
      <name val="游ゴシック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0"/>
      <color indexed="12"/>
      <name val="Meiryo UI"/>
      <family val="3"/>
      <charset val="128"/>
    </font>
    <font>
      <sz val="10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1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5" fillId="0" borderId="1" xfId="0" applyFont="1" applyFill="1" applyBorder="1" applyAlignment="1">
      <alignment horizontal="center"/>
    </xf>
    <xf numFmtId="0" fontId="6" fillId="0" borderId="0" xfId="0" applyFont="1">
      <alignment vertical="center"/>
    </xf>
    <xf numFmtId="0" fontId="6" fillId="0" borderId="0" xfId="0" applyFont="1" applyFill="1">
      <alignment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6" fillId="0" borderId="1" xfId="0" applyFont="1" applyBorder="1">
      <alignment vertical="center"/>
    </xf>
    <xf numFmtId="0" fontId="6" fillId="0" borderId="2" xfId="0" applyFont="1" applyFill="1" applyBorder="1">
      <alignment vertical="center"/>
    </xf>
    <xf numFmtId="0" fontId="6" fillId="0" borderId="3" xfId="0" applyFont="1" applyBorder="1">
      <alignment vertical="center"/>
    </xf>
    <xf numFmtId="0" fontId="6" fillId="0" borderId="4" xfId="0" applyFont="1" applyBorder="1">
      <alignment vertical="center"/>
    </xf>
    <xf numFmtId="0" fontId="6" fillId="0" borderId="5" xfId="0" applyFont="1" applyFill="1" applyBorder="1">
      <alignment vertical="center"/>
    </xf>
    <xf numFmtId="0" fontId="6" fillId="0" borderId="6" xfId="0" applyFont="1" applyBorder="1">
      <alignment vertical="center"/>
    </xf>
    <xf numFmtId="0" fontId="6" fillId="0" borderId="7" xfId="0" applyFont="1" applyFill="1" applyBorder="1">
      <alignment vertical="center"/>
    </xf>
    <xf numFmtId="0" fontId="6" fillId="0" borderId="8" xfId="0" applyFont="1" applyBorder="1">
      <alignment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0" fontId="6" fillId="0" borderId="11" xfId="0" applyFont="1" applyBorder="1">
      <alignment vertical="center"/>
    </xf>
    <xf numFmtId="0" fontId="6" fillId="0" borderId="12" xfId="0" applyFont="1" applyBorder="1">
      <alignment vertical="center"/>
    </xf>
    <xf numFmtId="0" fontId="6" fillId="0" borderId="13" xfId="0" applyFont="1" applyBorder="1">
      <alignment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>
      <alignment vertical="center"/>
    </xf>
    <xf numFmtId="0" fontId="6" fillId="0" borderId="16" xfId="0" applyFont="1" applyFill="1" applyBorder="1">
      <alignment vertical="center"/>
    </xf>
    <xf numFmtId="0" fontId="6" fillId="0" borderId="16" xfId="0" applyFont="1" applyFill="1" applyBorder="1" applyAlignment="1">
      <alignment horizontal="right" vertical="center"/>
    </xf>
    <xf numFmtId="177" fontId="6" fillId="0" borderId="16" xfId="0" applyNumberFormat="1" applyFont="1" applyBorder="1" applyAlignment="1">
      <alignment horizontal="center" vertical="center"/>
    </xf>
    <xf numFmtId="177" fontId="6" fillId="0" borderId="17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/>
    </xf>
    <xf numFmtId="1" fontId="6" fillId="0" borderId="20" xfId="0" applyNumberFormat="1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22" xfId="0" applyFont="1" applyBorder="1">
      <alignment vertical="center"/>
    </xf>
    <xf numFmtId="0" fontId="6" fillId="0" borderId="22" xfId="0" applyFont="1" applyFill="1" applyBorder="1">
      <alignment vertical="center"/>
    </xf>
    <xf numFmtId="0" fontId="6" fillId="0" borderId="23" xfId="0" applyFont="1" applyBorder="1">
      <alignment vertical="center"/>
    </xf>
    <xf numFmtId="0" fontId="6" fillId="0" borderId="23" xfId="0" applyFont="1" applyFill="1" applyBorder="1">
      <alignment vertical="center"/>
    </xf>
    <xf numFmtId="0" fontId="6" fillId="0" borderId="18" xfId="0" applyFont="1" applyBorder="1" applyAlignment="1">
      <alignment horizontal="right" vertical="center"/>
    </xf>
    <xf numFmtId="0" fontId="4" fillId="0" borderId="0" xfId="0" applyFont="1" applyAlignment="1"/>
    <xf numFmtId="1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78" fontId="4" fillId="0" borderId="0" xfId="0" applyNumberFormat="1" applyFont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461010</xdr:colOff>
          <xdr:row>1</xdr:row>
          <xdr:rowOff>57150</xdr:rowOff>
        </xdr:from>
        <xdr:to>
          <xdr:col>7</xdr:col>
          <xdr:colOff>419100</xdr:colOff>
          <xdr:row>2</xdr:row>
          <xdr:rowOff>80010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6</xdr:row>
      <xdr:rowOff>0</xdr:rowOff>
    </xdr:from>
    <xdr:to>
      <xdr:col>8</xdr:col>
      <xdr:colOff>166143</xdr:colOff>
      <xdr:row>15</xdr:row>
      <xdr:rowOff>0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5276850" y="857250"/>
          <a:ext cx="166143" cy="1550670"/>
        </a:xfrm>
        <a:prstGeom prst="rect">
          <a:avLst/>
        </a:prstGeom>
        <a:noFill/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0</xdr:colOff>
      <xdr:row>4</xdr:row>
      <xdr:rowOff>25400</xdr:rowOff>
    </xdr:from>
    <xdr:to>
      <xdr:col>8</xdr:col>
      <xdr:colOff>166143</xdr:colOff>
      <xdr:row>4</xdr:row>
      <xdr:rowOff>25400</xdr:rowOff>
    </xdr:to>
    <xdr:cxnSp macro="">
      <xdr:nvCxnSpPr>
        <xdr:cNvPr id="30" name="line0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>
          <a:off x="5276850" y="539750"/>
          <a:ext cx="166143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254000</xdr:colOff>
      <xdr:row>2</xdr:row>
      <xdr:rowOff>152400</xdr:rowOff>
    </xdr:from>
    <xdr:to>
      <xdr:col>9</xdr:col>
      <xdr:colOff>60960</xdr:colOff>
      <xdr:row>4</xdr:row>
      <xdr:rowOff>0</xdr:rowOff>
    </xdr:to>
    <xdr:sp macro="" textlink="">
      <xdr:nvSpPr>
        <xdr:cNvPr id="31" name="textbox0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5530850" y="323850"/>
          <a:ext cx="508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8</xdr:col>
      <xdr:colOff>0</xdr:colOff>
      <xdr:row>3</xdr:row>
      <xdr:rowOff>158750</xdr:rowOff>
    </xdr:from>
    <xdr:to>
      <xdr:col>8</xdr:col>
      <xdr:colOff>0</xdr:colOff>
      <xdr:row>5</xdr:row>
      <xdr:rowOff>107950</xdr:rowOff>
    </xdr:to>
    <xdr:cxnSp macro="">
      <xdr:nvCxnSpPr>
        <xdr:cNvPr id="32" name="line0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V="1">
          <a:off x="5276850" y="501650"/>
          <a:ext cx="0" cy="2921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166143</xdr:colOff>
      <xdr:row>3</xdr:row>
      <xdr:rowOff>158750</xdr:rowOff>
    </xdr:from>
    <xdr:to>
      <xdr:col>8</xdr:col>
      <xdr:colOff>166143</xdr:colOff>
      <xdr:row>5</xdr:row>
      <xdr:rowOff>107950</xdr:rowOff>
    </xdr:to>
    <xdr:cxnSp macro="">
      <xdr:nvCxnSpPr>
        <xdr:cNvPr id="33" name="line0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V="1">
          <a:off x="5442993" y="501650"/>
          <a:ext cx="0" cy="2921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320040</xdr:colOff>
      <xdr:row>6</xdr:row>
      <xdr:rowOff>0</xdr:rowOff>
    </xdr:from>
    <xdr:to>
      <xdr:col>7</xdr:col>
      <xdr:colOff>320040</xdr:colOff>
      <xdr:row>15</xdr:row>
      <xdr:rowOff>0</xdr:rowOff>
    </xdr:to>
    <xdr:cxnSp macro="">
      <xdr:nvCxnSpPr>
        <xdr:cNvPr id="34" name="line0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>
          <a:off x="4895850" y="857250"/>
          <a:ext cx="0" cy="155067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95250</xdr:colOff>
      <xdr:row>9</xdr:row>
      <xdr:rowOff>76835</xdr:rowOff>
    </xdr:from>
    <xdr:to>
      <xdr:col>7</xdr:col>
      <xdr:colOff>285750</xdr:colOff>
      <xdr:row>12</xdr:row>
      <xdr:rowOff>70485</xdr:rowOff>
    </xdr:to>
    <xdr:sp macro="" textlink="">
      <xdr:nvSpPr>
        <xdr:cNvPr id="35" name="textbox02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 rot="16200000">
          <a:off x="4512310" y="1607185"/>
          <a:ext cx="508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2800</a:t>
          </a:r>
          <a:endParaRPr kumimoji="1" lang="ja-JP" altLang="en-US" sz="1100"/>
        </a:p>
      </xdr:txBody>
    </xdr:sp>
    <xdr:clientData/>
  </xdr:twoCellAnchor>
  <xdr:twoCellAnchor>
    <xdr:from>
      <xdr:col>7</xdr:col>
      <xdr:colOff>294640</xdr:colOff>
      <xdr:row>6</xdr:row>
      <xdr:rowOff>0</xdr:rowOff>
    </xdr:from>
    <xdr:to>
      <xdr:col>7</xdr:col>
      <xdr:colOff>675640</xdr:colOff>
      <xdr:row>6</xdr:row>
      <xdr:rowOff>0</xdr:rowOff>
    </xdr:to>
    <xdr:cxnSp macro="">
      <xdr:nvCxnSpPr>
        <xdr:cNvPr id="36" name="line0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>
          <a:off x="4870450" y="857250"/>
          <a:ext cx="381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294640</xdr:colOff>
      <xdr:row>15</xdr:row>
      <xdr:rowOff>0</xdr:rowOff>
    </xdr:from>
    <xdr:to>
      <xdr:col>7</xdr:col>
      <xdr:colOff>675640</xdr:colOff>
      <xdr:row>15</xdr:row>
      <xdr:rowOff>0</xdr:rowOff>
    </xdr:to>
    <xdr:cxnSp macro="">
      <xdr:nvCxnSpPr>
        <xdr:cNvPr id="37" name="line0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>
          <a:off x="4870450" y="2407920"/>
          <a:ext cx="381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66"/>
  <sheetViews>
    <sheetView tabSelected="1" topLeftCell="A28" workbookViewId="0">
      <selection activeCell="E37" sqref="E37"/>
    </sheetView>
  </sheetViews>
  <sheetFormatPr defaultRowHeight="13.5" x14ac:dyDescent="0.85"/>
  <cols>
    <col min="1" max="1" width="4.6171875" style="5" customWidth="1"/>
    <col min="2" max="2" width="8.76171875" style="5"/>
    <col min="3" max="3" width="8.76171875" style="6"/>
    <col min="4" max="16384" width="8.76171875" style="5"/>
  </cols>
  <sheetData>
    <row r="2" spans="2:6" x14ac:dyDescent="0.85">
      <c r="B2" s="5" t="s">
        <v>35</v>
      </c>
      <c r="D2" s="5" t="s">
        <v>52</v>
      </c>
    </row>
    <row r="3" spans="2:6" x14ac:dyDescent="0.85">
      <c r="C3" s="5"/>
    </row>
    <row r="4" spans="2:6" x14ac:dyDescent="0.85">
      <c r="B4" s="5" t="s">
        <v>36</v>
      </c>
    </row>
    <row r="5" spans="2:6" x14ac:dyDescent="0.85">
      <c r="C5" s="7" t="s">
        <v>4</v>
      </c>
      <c r="D5" s="9">
        <v>21</v>
      </c>
    </row>
    <row r="6" spans="2:6" x14ac:dyDescent="0.85">
      <c r="C6" s="8" t="s">
        <v>5</v>
      </c>
      <c r="D6" s="9">
        <v>345</v>
      </c>
      <c r="E6" s="5" t="s">
        <v>6</v>
      </c>
      <c r="F6" s="5" t="s">
        <v>38</v>
      </c>
    </row>
    <row r="7" spans="2:6" x14ac:dyDescent="0.85">
      <c r="C7" s="8" t="s">
        <v>5</v>
      </c>
      <c r="D7" s="9">
        <v>295</v>
      </c>
      <c r="E7" s="5" t="s">
        <v>7</v>
      </c>
      <c r="F7" s="5" t="s">
        <v>9</v>
      </c>
    </row>
    <row r="8" spans="2:6" x14ac:dyDescent="0.85">
      <c r="C8" s="5"/>
    </row>
    <row r="9" spans="2:6" x14ac:dyDescent="0.5">
      <c r="C9" s="2" t="s">
        <v>0</v>
      </c>
      <c r="D9" s="4">
        <v>300</v>
      </c>
      <c r="E9" s="3" t="s">
        <v>1</v>
      </c>
    </row>
    <row r="10" spans="2:6" x14ac:dyDescent="0.5">
      <c r="C10" s="2" t="s">
        <v>2</v>
      </c>
      <c r="D10" s="4">
        <v>2800</v>
      </c>
      <c r="E10" s="3" t="s">
        <v>1</v>
      </c>
    </row>
    <row r="11" spans="2:6" x14ac:dyDescent="0.5">
      <c r="C11" s="2" t="s">
        <v>8</v>
      </c>
      <c r="D11" s="4">
        <v>60</v>
      </c>
      <c r="E11" s="3" t="s">
        <v>18</v>
      </c>
    </row>
    <row r="12" spans="2:6" x14ac:dyDescent="0.5">
      <c r="C12" s="7" t="s">
        <v>3</v>
      </c>
      <c r="D12" s="10" t="s">
        <v>9</v>
      </c>
      <c r="E12" s="3"/>
    </row>
    <row r="13" spans="2:6" x14ac:dyDescent="0.5">
      <c r="C13" s="7" t="s">
        <v>10</v>
      </c>
      <c r="D13" s="10">
        <f>barX(D12,"A")</f>
        <v>71</v>
      </c>
      <c r="E13" s="3" t="s">
        <v>1</v>
      </c>
    </row>
    <row r="14" spans="2:6" x14ac:dyDescent="0.5">
      <c r="C14" s="7" t="s">
        <v>11</v>
      </c>
      <c r="D14" s="10">
        <f>barX(D12,"mxD")</f>
        <v>11</v>
      </c>
      <c r="E14" s="3" t="s">
        <v>1</v>
      </c>
    </row>
    <row r="15" spans="2:6" ht="14.1" x14ac:dyDescent="0.5">
      <c r="C15" s="1" t="s">
        <v>12</v>
      </c>
      <c r="D15" s="10">
        <f>D9-D11*2-D14*2</f>
        <v>158</v>
      </c>
      <c r="E15" s="3" t="s">
        <v>1</v>
      </c>
    </row>
    <row r="16" spans="2:6" ht="14.1" x14ac:dyDescent="0.5">
      <c r="C16" s="1" t="s">
        <v>13</v>
      </c>
      <c r="D16" s="10">
        <f>D10-2*D11-D14*2</f>
        <v>2658</v>
      </c>
      <c r="E16" s="3" t="s">
        <v>1</v>
      </c>
    </row>
    <row r="17" spans="2:8" ht="14.1" x14ac:dyDescent="0.5">
      <c r="C17" s="1" t="s">
        <v>14</v>
      </c>
      <c r="D17" s="11">
        <f>D15*D16/1000/1000</f>
        <v>0.419964</v>
      </c>
      <c r="E17" s="5" t="s">
        <v>15</v>
      </c>
    </row>
    <row r="18" spans="2:8" ht="14.1" x14ac:dyDescent="0.5">
      <c r="C18" s="1" t="s">
        <v>16</v>
      </c>
      <c r="D18" s="10">
        <f>(D15+D16)*2</f>
        <v>5632</v>
      </c>
      <c r="E18" s="5" t="s">
        <v>17</v>
      </c>
    </row>
    <row r="20" spans="2:8" x14ac:dyDescent="0.85">
      <c r="C20" s="14"/>
      <c r="D20" s="15" t="s">
        <v>29</v>
      </c>
      <c r="E20" s="15" t="s">
        <v>30</v>
      </c>
      <c r="F20" s="15" t="s">
        <v>31</v>
      </c>
      <c r="G20" s="16"/>
      <c r="H20" s="22"/>
    </row>
    <row r="21" spans="2:8" x14ac:dyDescent="0.85">
      <c r="C21" s="17" t="s">
        <v>27</v>
      </c>
      <c r="D21" s="13">
        <v>211</v>
      </c>
      <c r="E21" s="13">
        <v>111</v>
      </c>
      <c r="F21" s="13">
        <v>163</v>
      </c>
      <c r="G21" s="18"/>
      <c r="H21" s="23"/>
    </row>
    <row r="22" spans="2:8" x14ac:dyDescent="0.85">
      <c r="C22" s="17" t="s">
        <v>32</v>
      </c>
      <c r="D22" s="13">
        <v>1</v>
      </c>
      <c r="E22" s="13">
        <v>0</v>
      </c>
      <c r="F22" s="13">
        <v>1</v>
      </c>
      <c r="G22" s="18"/>
      <c r="H22" s="23"/>
    </row>
    <row r="23" spans="2:8" x14ac:dyDescent="0.85">
      <c r="C23" s="19" t="s">
        <v>33</v>
      </c>
      <c r="D23" s="20">
        <f>D21+D22</f>
        <v>212</v>
      </c>
      <c r="E23" s="20">
        <f>E21+E22</f>
        <v>111</v>
      </c>
      <c r="F23" s="20">
        <f>F21+F22*2</f>
        <v>165</v>
      </c>
      <c r="G23" s="21" t="s">
        <v>34</v>
      </c>
      <c r="H23" s="24"/>
    </row>
    <row r="25" spans="2:8" x14ac:dyDescent="0.85">
      <c r="B25" s="5" t="s">
        <v>37</v>
      </c>
    </row>
    <row r="26" spans="2:8" x14ac:dyDescent="0.85">
      <c r="C26" s="7"/>
      <c r="D26" s="10"/>
    </row>
    <row r="27" spans="2:8" x14ac:dyDescent="0.85">
      <c r="C27" s="7" t="s">
        <v>19</v>
      </c>
      <c r="D27" s="10">
        <v>15.4</v>
      </c>
      <c r="E27" s="5" t="s">
        <v>51</v>
      </c>
    </row>
    <row r="29" spans="2:8" x14ac:dyDescent="0.85">
      <c r="B29" s="5" t="s">
        <v>39</v>
      </c>
    </row>
    <row r="30" spans="2:8" x14ac:dyDescent="0.85">
      <c r="B30" s="5" t="s">
        <v>40</v>
      </c>
    </row>
    <row r="31" spans="2:8" x14ac:dyDescent="0.85">
      <c r="C31" s="7" t="s">
        <v>20</v>
      </c>
      <c r="D31" s="10">
        <f>MIN(D9,D10)</f>
        <v>300</v>
      </c>
      <c r="E31" s="7" t="s">
        <v>21</v>
      </c>
      <c r="F31" s="10">
        <f>MAX(D9,D10)</f>
        <v>2800</v>
      </c>
    </row>
    <row r="32" spans="2:8" x14ac:dyDescent="0.85">
      <c r="C32" s="5"/>
      <c r="E32" s="7" t="s">
        <v>24</v>
      </c>
      <c r="F32" s="10">
        <f>D10-D11-D14</f>
        <v>2729</v>
      </c>
    </row>
    <row r="33" spans="2:7" x14ac:dyDescent="0.85">
      <c r="C33" s="7" t="s">
        <v>22</v>
      </c>
      <c r="D33" s="10">
        <f>RC_shear(D5)</f>
        <v>0.7</v>
      </c>
      <c r="E33" s="7" t="s">
        <v>25</v>
      </c>
      <c r="F33" s="12">
        <f>F32*7/8</f>
        <v>2387.875</v>
      </c>
    </row>
    <row r="34" spans="2:7" x14ac:dyDescent="0.85">
      <c r="B34" s="36"/>
      <c r="C34" s="37"/>
      <c r="D34" s="25"/>
      <c r="E34" s="26" t="s">
        <v>27</v>
      </c>
      <c r="F34" s="34" t="s">
        <v>28</v>
      </c>
    </row>
    <row r="35" spans="2:7" x14ac:dyDescent="0.85">
      <c r="B35" s="27"/>
      <c r="C35" s="28"/>
      <c r="D35" s="29" t="s">
        <v>23</v>
      </c>
      <c r="E35" s="30">
        <f>ROUND(D31^2*F31*1.15*D33/3/1000/1000,1)</f>
        <v>67.599999999999994</v>
      </c>
      <c r="F35" s="31">
        <f>E35*1.5</f>
        <v>101.39999999999999</v>
      </c>
    </row>
    <row r="36" spans="2:7" x14ac:dyDescent="0.85">
      <c r="B36" s="38"/>
      <c r="C36" s="39"/>
      <c r="D36" s="40" t="s">
        <v>26</v>
      </c>
      <c r="E36" s="32">
        <f>ROUND(D31*F33*D33*1/1000,0)</f>
        <v>501</v>
      </c>
      <c r="F36" s="33">
        <f>ROUND(E36*1.5,0)</f>
        <v>752</v>
      </c>
    </row>
    <row r="38" spans="2:7" x14ac:dyDescent="0.85">
      <c r="B38" s="5" t="s">
        <v>41</v>
      </c>
      <c r="E38" s="8" t="str">
        <f>_xlfn.TEXTJOIN(,,"(",D27,"/",E35,")^2+(",F21,"/",E36,")^2=")</f>
        <v>(15.4/67.6)^2+(163/501)^2=</v>
      </c>
      <c r="F38" s="35">
        <f>answer1(E38)</f>
        <v>0.15774986057746981</v>
      </c>
      <c r="G38" s="5" t="str">
        <f>IF(F38&lt;1,"OK（補強不要）","････補強が必要")</f>
        <v>OK（補強不要）</v>
      </c>
    </row>
    <row r="39" spans="2:7" x14ac:dyDescent="0.85">
      <c r="B39" s="5" t="s">
        <v>42</v>
      </c>
      <c r="E39" s="8" t="str">
        <f>_xlfn.TEXTJOIN(,,"(",D27,"/",F35,")^2+(",F23,"/",F36,")^2=")</f>
        <v>(15.4/101.4)^2+(165/752)^2=</v>
      </c>
      <c r="F39" s="35">
        <f>answer1(E39)</f>
        <v>7.1208536722222132E-2</v>
      </c>
      <c r="G39" s="5" t="str">
        <f>IF(F39&lt;1,"OK（補強不要）","････補強が必要")</f>
        <v>OK（補強不要）</v>
      </c>
    </row>
    <row r="40" spans="2:7" x14ac:dyDescent="0.85">
      <c r="E40" s="8"/>
      <c r="F40" s="35"/>
    </row>
    <row r="41" spans="2:7" x14ac:dyDescent="0.85">
      <c r="E41" s="8"/>
      <c r="F41" s="35"/>
    </row>
    <row r="42" spans="2:7" x14ac:dyDescent="0.85">
      <c r="E42" s="8"/>
      <c r="F42" s="35"/>
    </row>
    <row r="43" spans="2:7" x14ac:dyDescent="0.85">
      <c r="E43" s="8"/>
      <c r="F43" s="35"/>
    </row>
    <row r="44" spans="2:7" x14ac:dyDescent="0.85">
      <c r="E44" s="8"/>
      <c r="F44" s="35"/>
    </row>
    <row r="45" spans="2:7" x14ac:dyDescent="0.85">
      <c r="E45" s="8"/>
      <c r="F45" s="35"/>
    </row>
    <row r="46" spans="2:7" x14ac:dyDescent="0.85">
      <c r="E46" s="8"/>
      <c r="F46" s="35"/>
    </row>
    <row r="47" spans="2:7" x14ac:dyDescent="0.85">
      <c r="E47" s="8"/>
      <c r="F47" s="35"/>
    </row>
    <row r="48" spans="2:7" x14ac:dyDescent="0.85">
      <c r="E48" s="8"/>
      <c r="F48" s="35"/>
    </row>
    <row r="49" spans="2:9" x14ac:dyDescent="0.85">
      <c r="E49" s="8"/>
      <c r="F49" s="35"/>
    </row>
    <row r="50" spans="2:9" x14ac:dyDescent="0.85">
      <c r="E50" s="8"/>
      <c r="F50" s="35"/>
    </row>
    <row r="51" spans="2:9" x14ac:dyDescent="0.85">
      <c r="E51" s="8"/>
      <c r="F51" s="35"/>
    </row>
    <row r="52" spans="2:9" x14ac:dyDescent="0.85">
      <c r="E52" s="8"/>
      <c r="F52" s="35"/>
    </row>
    <row r="53" spans="2:9" x14ac:dyDescent="0.85">
      <c r="E53" s="8"/>
      <c r="F53" s="35"/>
    </row>
    <row r="54" spans="2:9" x14ac:dyDescent="0.85">
      <c r="B54" s="5" t="s">
        <v>48</v>
      </c>
    </row>
    <row r="55" spans="2:9" x14ac:dyDescent="0.85">
      <c r="C55" s="5"/>
      <c r="D55" s="6" t="s">
        <v>43</v>
      </c>
    </row>
    <row r="56" spans="2:9" x14ac:dyDescent="0.85">
      <c r="C56" s="8" t="s">
        <v>44</v>
      </c>
      <c r="D56" s="6" t="s">
        <v>45</v>
      </c>
    </row>
    <row r="57" spans="2:9" x14ac:dyDescent="0.85">
      <c r="C57" s="8" t="s">
        <v>46</v>
      </c>
      <c r="D57" s="6" t="str">
        <f>_xlfn.TEXTJOIN(,,D27*1000*1000,"/(",D7,"*",D17*1000*1000,"*",D9,")=")</f>
        <v>15400000/(295*419964*300)=</v>
      </c>
      <c r="G57" s="5">
        <f>answer1(D57)</f>
        <v>4.1434813325672736E-4</v>
      </c>
      <c r="I57" s="6">
        <f>D27*1000*1000/(D7*D17*1000*1000*D9)</f>
        <v>4.1434813325672736E-4</v>
      </c>
    </row>
    <row r="58" spans="2:9" x14ac:dyDescent="0.85">
      <c r="C58" s="8" t="s">
        <v>47</v>
      </c>
      <c r="D58" s="6" t="str">
        <f>_xlfn.TEXTJOIN(,,D27*1000*1000,"/(",195,"*",D17*1000*1000,"*",D9,")=")</f>
        <v>15400000/(195*419964*300)=</v>
      </c>
      <c r="G58" s="5">
        <f>answer1(D58)</f>
        <v>6.2683435543966451E-4</v>
      </c>
    </row>
    <row r="60" spans="2:9" x14ac:dyDescent="0.85">
      <c r="C60" s="7" t="s">
        <v>50</v>
      </c>
      <c r="D60" s="8" t="s">
        <v>49</v>
      </c>
      <c r="E60" s="5">
        <f>Rc_pw(C60,D9)</f>
        <v>2.3666666666666667E-3</v>
      </c>
      <c r="F60" s="10" t="str">
        <f>IF(E60&gt;G60,"&gt;","NG")</f>
        <v>&gt;</v>
      </c>
      <c r="G60" s="5">
        <f>MAX(G57:G58)</f>
        <v>6.2683435543966451E-4</v>
      </c>
      <c r="H60" s="5" t="str">
        <f>IF(E60&gt;G60,"OK","NG")</f>
        <v>OK</v>
      </c>
    </row>
    <row r="62" spans="2:9" x14ac:dyDescent="0.5">
      <c r="B62" s="41" t="s">
        <v>53</v>
      </c>
      <c r="C62" s="41"/>
      <c r="D62" s="41"/>
      <c r="G62" s="41"/>
    </row>
    <row r="64" spans="2:9" x14ac:dyDescent="0.5">
      <c r="B64" s="2" t="s">
        <v>54</v>
      </c>
      <c r="C64" s="41" t="s">
        <v>57</v>
      </c>
      <c r="D64" s="41"/>
      <c r="E64" s="41"/>
      <c r="F64" s="41"/>
      <c r="G64" s="41"/>
    </row>
    <row r="65" spans="2:9" x14ac:dyDescent="0.5">
      <c r="B65" s="2" t="s">
        <v>54</v>
      </c>
      <c r="C65" s="41" t="str">
        <f>CONCATENATE(ROUND(D27,1),"*10^6*",D18,"/(2*",I65,"*",D17*1000*1000,")")</f>
        <v>15.4*10^6*5632/(2*195*419964)</v>
      </c>
      <c r="D65" s="41"/>
      <c r="E65" s="41"/>
      <c r="F65" s="41"/>
      <c r="G65" s="41"/>
      <c r="H65" s="2" t="s">
        <v>58</v>
      </c>
      <c r="I65" s="3">
        <v>195</v>
      </c>
    </row>
    <row r="66" spans="2:9" x14ac:dyDescent="0.5">
      <c r="B66" s="2" t="s">
        <v>54</v>
      </c>
      <c r="C66" s="42">
        <f>answer1(C65)</f>
        <v>529.54966347542859</v>
      </c>
      <c r="D66" s="43" t="s">
        <v>55</v>
      </c>
      <c r="E66" s="2" t="s">
        <v>56</v>
      </c>
      <c r="F66" s="43">
        <f>barX(I66,1)</f>
        <v>1270</v>
      </c>
      <c r="G66" s="44" t="str">
        <f>IF(C66&lt;F66,"･･･O.K.","･･･NG")</f>
        <v>･･･O.K.</v>
      </c>
      <c r="H66" s="8" t="s">
        <v>59</v>
      </c>
      <c r="I66" s="5" t="s">
        <v>60</v>
      </c>
    </row>
  </sheetData>
  <phoneticPr fontId="2"/>
  <pageMargins left="0.62992125984251968" right="0.23622047244094491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8" r:id="rId4" name="Button 124">
              <controlPr defaultSize="0" print="0" autoFill="0" autoPict="0" macro="[0]!DRAW_SEC">
                <anchor moveWithCells="1" sizeWithCells="1">
                  <from>
                    <xdr:col>6</xdr:col>
                    <xdr:colOff>461010</xdr:colOff>
                    <xdr:row>1</xdr:row>
                    <xdr:rowOff>57150</xdr:rowOff>
                  </from>
                  <to>
                    <xdr:col>7</xdr:col>
                    <xdr:colOff>419100</xdr:colOff>
                    <xdr:row>2</xdr:row>
                    <xdr:rowOff>80010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2023-03-28T04:18:20Z</cp:lastPrinted>
  <dcterms:created xsi:type="dcterms:W3CDTF">2023-02-03T05:40:55Z</dcterms:created>
  <dcterms:modified xsi:type="dcterms:W3CDTF">2023-03-28T08:42:02Z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b313929-e9c4-48cb-bec8-1c8404fadbed_Enabled">
    <vt:lpwstr>true</vt:lpwstr>
  </property>
  <property fmtid="{D5CDD505-2E9C-101B-9397-08002B2CF9AE}" pid="3" name="MSIP_Label_bb313929-e9c4-48cb-bec8-1c8404fadbed_SetDate">
    <vt:lpwstr>2023-03-27T23:58:26Z</vt:lpwstr>
  </property>
  <property fmtid="{D5CDD505-2E9C-101B-9397-08002B2CF9AE}" pid="4" name="MSIP_Label_bb313929-e9c4-48cb-bec8-1c8404fadbed_Method">
    <vt:lpwstr>Privileged</vt:lpwstr>
  </property>
  <property fmtid="{D5CDD505-2E9C-101B-9397-08002B2CF9AE}" pid="5" name="MSIP_Label_bb313929-e9c4-48cb-bec8-1c8404fadbed_Name">
    <vt:lpwstr>一般公開</vt:lpwstr>
  </property>
  <property fmtid="{D5CDD505-2E9C-101B-9397-08002B2CF9AE}" pid="6" name="MSIP_Label_bb313929-e9c4-48cb-bec8-1c8404fadbed_SiteId">
    <vt:lpwstr>e7b9c1d5-0d8a-4ce9-84f5-a3b79615e52e</vt:lpwstr>
  </property>
  <property fmtid="{D5CDD505-2E9C-101B-9397-08002B2CF9AE}" pid="7" name="MSIP_Label_bb313929-e9c4-48cb-bec8-1c8404fadbed_ActionId">
    <vt:lpwstr>ef1c466d-6a29-43b5-9ac5-83396a5a8086</vt:lpwstr>
  </property>
  <property fmtid="{D5CDD505-2E9C-101B-9397-08002B2CF9AE}" pid="8" name="MSIP_Label_bb313929-e9c4-48cb-bec8-1c8404fadbed_ContentBits">
    <vt:lpwstr>0</vt:lpwstr>
  </property>
</Properties>
</file>