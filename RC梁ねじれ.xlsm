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8_{BAE64274-C15B-410A-B79D-E2A9ACD94FF6}" xr6:coauthVersionLast="36" xr6:coauthVersionMax="36" xr10:uidLastSave="{00000000-0000-0000-0000-000000000000}"/>
  <bookViews>
    <workbookView xWindow="32766" yWindow="32766" windowWidth="23040" windowHeight="10686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2" i="1" l="1"/>
  <c r="E22" i="1"/>
  <c r="D22" i="1"/>
  <c r="D30" i="1"/>
  <c r="F30" i="1"/>
  <c r="D12" i="1"/>
  <c r="D13" i="1"/>
  <c r="E45" i="1"/>
  <c r="D32" i="1"/>
  <c r="E34" i="1" l="1"/>
  <c r="D15" i="1"/>
  <c r="F31" i="1"/>
  <c r="F32" i="1" s="1"/>
  <c r="E35" i="1" s="1"/>
  <c r="F35" i="1" s="1"/>
  <c r="D14" i="1"/>
  <c r="D17" i="1" l="1"/>
  <c r="D16" i="1"/>
  <c r="F34" i="1"/>
  <c r="E38" i="1" s="1"/>
  <c r="E37" i="1"/>
  <c r="F38" i="1"/>
  <c r="F37" i="1"/>
  <c r="G37" i="1" l="1"/>
  <c r="G38" i="1"/>
  <c r="D42" i="1"/>
  <c r="I42" i="1"/>
  <c r="D43" i="1"/>
  <c r="G42" i="1"/>
  <c r="G43" i="1"/>
  <c r="G45" i="1" l="1"/>
  <c r="F45" i="1" l="1"/>
  <c r="H45" i="1"/>
</calcChain>
</file>

<file path=xl/sharedStrings.xml><?xml version="1.0" encoding="utf-8"?>
<sst xmlns="http://schemas.openxmlformats.org/spreadsheetml/2006/main" count="60" uniqueCount="52">
  <si>
    <t>B=</t>
    <phoneticPr fontId="3"/>
  </si>
  <si>
    <t>mm</t>
    <phoneticPr fontId="3"/>
  </si>
  <si>
    <t>D=</t>
    <phoneticPr fontId="3"/>
  </si>
  <si>
    <t>あばら筋：</t>
    <rPh sb="3" eb="4">
      <t>キン</t>
    </rPh>
    <phoneticPr fontId="2"/>
  </si>
  <si>
    <t>Fc</t>
    <phoneticPr fontId="2"/>
  </si>
  <si>
    <t>SD</t>
    <phoneticPr fontId="2"/>
  </si>
  <si>
    <t>主筋</t>
    <rPh sb="0" eb="2">
      <t>シュキン</t>
    </rPh>
    <phoneticPr fontId="2"/>
  </si>
  <si>
    <t>あばら筋</t>
    <rPh sb="3" eb="4">
      <t>キン</t>
    </rPh>
    <phoneticPr fontId="2"/>
  </si>
  <si>
    <t>k=</t>
    <phoneticPr fontId="3"/>
  </si>
  <si>
    <t>D10</t>
    <phoneticPr fontId="2"/>
  </si>
  <si>
    <t>ats=</t>
    <phoneticPr fontId="2"/>
  </si>
  <si>
    <t>dmax=</t>
    <phoneticPr fontId="2"/>
  </si>
  <si>
    <t>b1=B-2*k-dmax=</t>
    <phoneticPr fontId="3"/>
  </si>
  <si>
    <t>d1=D-2*k-dmax=</t>
    <phoneticPr fontId="3"/>
  </si>
  <si>
    <t>A0=b1*d1=</t>
    <phoneticPr fontId="2"/>
  </si>
  <si>
    <t>m2</t>
    <phoneticPr fontId="2"/>
  </si>
  <si>
    <t>φ0=(b1+d1)*2=</t>
    <phoneticPr fontId="2"/>
  </si>
  <si>
    <t>mm</t>
    <phoneticPr fontId="2"/>
  </si>
  <si>
    <t>mm(かぶり)</t>
    <phoneticPr fontId="3"/>
  </si>
  <si>
    <t>Mp=</t>
    <phoneticPr fontId="2"/>
  </si>
  <si>
    <t>T=</t>
    <phoneticPr fontId="2"/>
  </si>
  <si>
    <t>bt=</t>
    <phoneticPr fontId="2"/>
  </si>
  <si>
    <t>Dt=</t>
    <phoneticPr fontId="2"/>
  </si>
  <si>
    <t>fs=</t>
    <phoneticPr fontId="2"/>
  </si>
  <si>
    <t>T0=bt^2*Dt*1.15*fs/3=</t>
    <phoneticPr fontId="2"/>
  </si>
  <si>
    <t>d=</t>
    <phoneticPr fontId="2"/>
  </si>
  <si>
    <t>j=</t>
    <phoneticPr fontId="2"/>
  </si>
  <si>
    <t>Q0=B*j*α*fs=</t>
    <phoneticPr fontId="2"/>
  </si>
  <si>
    <t>長期</t>
    <rPh sb="0" eb="2">
      <t>チョウキ</t>
    </rPh>
    <phoneticPr fontId="2"/>
  </si>
  <si>
    <t>　短期</t>
    <rPh sb="1" eb="3">
      <t>タンキ</t>
    </rPh>
    <phoneticPr fontId="2"/>
  </si>
  <si>
    <t>端部M</t>
    <rPh sb="0" eb="2">
      <t>タンブ</t>
    </rPh>
    <phoneticPr fontId="2"/>
  </si>
  <si>
    <t>中央M</t>
    <rPh sb="0" eb="2">
      <t>チュウオウ</t>
    </rPh>
    <phoneticPr fontId="2"/>
  </si>
  <si>
    <t>Q</t>
    <phoneticPr fontId="2"/>
  </si>
  <si>
    <t>水平荷重時</t>
    <rPh sb="0" eb="2">
      <t>スイヘイ</t>
    </rPh>
    <rPh sb="2" eb="4">
      <t>カジュウ</t>
    </rPh>
    <rPh sb="4" eb="5">
      <t>ジ</t>
    </rPh>
    <phoneticPr fontId="2"/>
  </si>
  <si>
    <t>短期</t>
    <rPh sb="0" eb="2">
      <t>タンキ</t>
    </rPh>
    <phoneticPr fontId="2"/>
  </si>
  <si>
    <t>Qs＝QL+2*Qe</t>
    <phoneticPr fontId="2"/>
  </si>
  <si>
    <t>ねじれに対する検討</t>
    <rPh sb="4" eb="5">
      <t>タイ</t>
    </rPh>
    <rPh sb="7" eb="9">
      <t>ケントウ</t>
    </rPh>
    <phoneticPr fontId="2"/>
  </si>
  <si>
    <t>１．一般事項</t>
    <rPh sb="2" eb="4">
      <t>イッパン</t>
    </rPh>
    <rPh sb="4" eb="6">
      <t>ジコウ</t>
    </rPh>
    <phoneticPr fontId="2"/>
  </si>
  <si>
    <t>2.ねじれモーメント算出</t>
    <phoneticPr fontId="2"/>
  </si>
  <si>
    <t>D22</t>
    <phoneticPr fontId="2"/>
  </si>
  <si>
    <t>3.断面算定</t>
    <rPh sb="2" eb="4">
      <t>ダンメン</t>
    </rPh>
    <rPh sb="4" eb="6">
      <t>サンテイ</t>
    </rPh>
    <phoneticPr fontId="2"/>
  </si>
  <si>
    <t>(1)許容ねじりモーメント，許容せん断力</t>
    <rPh sb="3" eb="5">
      <t>キョヨウ</t>
    </rPh>
    <rPh sb="14" eb="16">
      <t>キョヨウ</t>
    </rPh>
    <rPh sb="18" eb="19">
      <t>ダン</t>
    </rPh>
    <rPh sb="19" eb="20">
      <t>リョク</t>
    </rPh>
    <phoneticPr fontId="2"/>
  </si>
  <si>
    <t>(2)長期</t>
    <rPh sb="3" eb="5">
      <t>チョウキ</t>
    </rPh>
    <phoneticPr fontId="2"/>
  </si>
  <si>
    <t>(3)短期</t>
    <rPh sb="3" eb="5">
      <t>タンキ</t>
    </rPh>
    <phoneticPr fontId="2"/>
  </si>
  <si>
    <t>a1=T*x/(2*wft*A0)</t>
    <phoneticPr fontId="2"/>
  </si>
  <si>
    <t>pw=</t>
    <phoneticPr fontId="2"/>
  </si>
  <si>
    <t>2*a1/(b*x)=T/(wft*A0*b)</t>
    <phoneticPr fontId="2"/>
  </si>
  <si>
    <t>短期，pw=</t>
    <rPh sb="0" eb="2">
      <t>タンキ</t>
    </rPh>
    <phoneticPr fontId="2"/>
  </si>
  <si>
    <t>長期，pw=</t>
    <rPh sb="0" eb="2">
      <t>チョウキ</t>
    </rPh>
    <phoneticPr fontId="2"/>
  </si>
  <si>
    <t>ⅰ.あばら筋</t>
    <rPh sb="5" eb="6">
      <t>キン</t>
    </rPh>
    <phoneticPr fontId="2"/>
  </si>
  <si>
    <t>2-D10@100</t>
    <phoneticPr fontId="2"/>
  </si>
  <si>
    <t>use ,pw=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</si>
</sst>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8" formatCode="0.000"/>
    <numFmt numFmtId="179" formatCode="0.0"/>
  </numFmts>
  <fonts count="7" x14ac:knownFonts="1">
    <font>
      <sz val="11"/>
      <color theme="1"/>
      <name val="游ゴシック"/>
      <family val="3"/>
      <charset val="128"/>
      <scheme val="minor"/>
    </font>
    <font>
      <sz val="10.5"/>
      <name val="Meiryo UI"/>
      <family val="3"/>
      <charset val="128"/>
    </font>
    <font>
      <sz val="6"/>
      <name val="游ゴシック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0"/>
      <color indexed="12"/>
      <name val="Meiryo UI"/>
      <family val="3"/>
      <charset val="128"/>
    </font>
    <font>
      <sz val="10"/>
      <color theme="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1" xfId="0" applyFont="1" applyFill="1" applyBorder="1" applyAlignment="1">
      <alignment horizont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2" xfId="0" applyFont="1" applyFill="1" applyBorder="1">
      <alignment vertical="center"/>
    </xf>
    <xf numFmtId="0" fontId="6" fillId="0" borderId="3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5" xfId="0" applyFont="1" applyFill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Fill="1" applyBorder="1">
      <alignment vertical="center"/>
    </xf>
    <xf numFmtId="0" fontId="6" fillId="0" borderId="8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6" fillId="0" borderId="11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6" fillId="0" borderId="14" xfId="0" applyFont="1" applyFill="1" applyBorder="1">
      <alignment vertical="center"/>
    </xf>
    <xf numFmtId="0" fontId="6" fillId="0" borderId="14" xfId="0" applyFont="1" applyBorder="1">
      <alignment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>
      <alignment vertical="center"/>
    </xf>
    <xf numFmtId="0" fontId="6" fillId="0" borderId="16" xfId="0" applyFont="1" applyFill="1" applyBorder="1">
      <alignment vertical="center"/>
    </xf>
    <xf numFmtId="0" fontId="6" fillId="0" borderId="16" xfId="0" applyFont="1" applyFill="1" applyBorder="1" applyAlignment="1">
      <alignment horizontal="right" vertical="center"/>
    </xf>
    <xf numFmtId="179" fontId="6" fillId="0" borderId="16" xfId="0" applyNumberFormat="1" applyFont="1" applyBorder="1" applyAlignment="1">
      <alignment horizontal="center" vertical="center"/>
    </xf>
    <xf numFmtId="179" fontId="6" fillId="0" borderId="17" xfId="0" applyNumberFormat="1" applyFont="1" applyBorder="1" applyAlignment="1">
      <alignment horizontal="center" vertical="center"/>
    </xf>
    <xf numFmtId="0" fontId="6" fillId="0" borderId="18" xfId="0" applyFont="1" applyBorder="1">
      <alignment vertical="center"/>
    </xf>
    <xf numFmtId="0" fontId="6" fillId="0" borderId="19" xfId="0" applyFont="1" applyFill="1" applyBorder="1">
      <alignment vertical="center"/>
    </xf>
    <xf numFmtId="0" fontId="6" fillId="0" borderId="19" xfId="0" applyFont="1" applyBorder="1" applyAlignment="1">
      <alignment horizontal="right" vertical="center"/>
    </xf>
    <xf numFmtId="1" fontId="6" fillId="0" borderId="19" xfId="0" applyNumberFormat="1" applyFont="1" applyBorder="1" applyAlignment="1">
      <alignment horizontal="center" vertical="center"/>
    </xf>
    <xf numFmtId="1" fontId="6" fillId="0" borderId="20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461010</xdr:colOff>
          <xdr:row>0</xdr:row>
          <xdr:rowOff>57150</xdr:rowOff>
        </xdr:from>
        <xdr:to>
          <xdr:col>7</xdr:col>
          <xdr:colOff>419100</xdr:colOff>
          <xdr:row>1</xdr:row>
          <xdr:rowOff>80010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D5E0A1F4-1791-4FAB-8773-FCAAA80F0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5</xdr:row>
      <xdr:rowOff>0</xdr:rowOff>
    </xdr:from>
    <xdr:to>
      <xdr:col>9</xdr:col>
      <xdr:colOff>185057</xdr:colOff>
      <xdr:row>14</xdr:row>
      <xdr:rowOff>0</xdr:rowOff>
    </xdr:to>
    <xdr:sp macro="" textlink="">
      <xdr:nvSpPr>
        <xdr:cNvPr id="220" name="正方形/長方形 219">
          <a:extLst>
            <a:ext uri="{FF2B5EF4-FFF2-40B4-BE49-F238E27FC236}">
              <a16:creationId xmlns:a16="http://schemas.microsoft.com/office/drawing/2014/main" id="{56A2B497-21F0-4C1F-B70B-BFA3FADB1B4F}"/>
            </a:ext>
          </a:extLst>
        </xdr:cNvPr>
        <xdr:cNvSpPr/>
      </xdr:nvSpPr>
      <xdr:spPr>
        <a:xfrm>
          <a:off x="5276850" y="857250"/>
          <a:ext cx="886097" cy="1550670"/>
        </a:xfrm>
        <a:prstGeom prst="rect">
          <a:avLst/>
        </a:prstGeom>
        <a:noFill/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0</xdr:colOff>
      <xdr:row>3</xdr:row>
      <xdr:rowOff>25400</xdr:rowOff>
    </xdr:from>
    <xdr:to>
      <xdr:col>9</xdr:col>
      <xdr:colOff>185057</xdr:colOff>
      <xdr:row>3</xdr:row>
      <xdr:rowOff>25400</xdr:rowOff>
    </xdr:to>
    <xdr:cxnSp macro="">
      <xdr:nvCxnSpPr>
        <xdr:cNvPr id="221" name="line01">
          <a:extLst>
            <a:ext uri="{FF2B5EF4-FFF2-40B4-BE49-F238E27FC236}">
              <a16:creationId xmlns:a16="http://schemas.microsoft.com/office/drawing/2014/main" id="{6B50ADAE-5E7A-49AF-B4BD-5886F13C9898}"/>
            </a:ext>
          </a:extLst>
        </xdr:cNvPr>
        <xdr:cNvCxnSpPr/>
      </xdr:nvCxnSpPr>
      <xdr:spPr>
        <a:xfrm>
          <a:off x="5276850" y="539750"/>
          <a:ext cx="886097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254000</xdr:colOff>
      <xdr:row>1</xdr:row>
      <xdr:rowOff>152400</xdr:rowOff>
    </xdr:from>
    <xdr:to>
      <xdr:col>9</xdr:col>
      <xdr:colOff>60960</xdr:colOff>
      <xdr:row>3</xdr:row>
      <xdr:rowOff>0</xdr:rowOff>
    </xdr:to>
    <xdr:sp macro="" textlink="">
      <xdr:nvSpPr>
        <xdr:cNvPr id="222" name="textbox01">
          <a:extLst>
            <a:ext uri="{FF2B5EF4-FFF2-40B4-BE49-F238E27FC236}">
              <a16:creationId xmlns:a16="http://schemas.microsoft.com/office/drawing/2014/main" id="{F13EB755-8430-47A1-963A-07EABFD379CE}"/>
            </a:ext>
          </a:extLst>
        </xdr:cNvPr>
        <xdr:cNvSpPr txBox="1"/>
      </xdr:nvSpPr>
      <xdr:spPr>
        <a:xfrm>
          <a:off x="5530850" y="323850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400</a:t>
          </a:r>
          <a:endParaRPr kumimoji="1" lang="ja-JP" altLang="en-US" sz="1100"/>
        </a:p>
      </xdr:txBody>
    </xdr:sp>
    <xdr:clientData/>
  </xdr:twoCellAnchor>
  <xdr:twoCellAnchor>
    <xdr:from>
      <xdr:col>8</xdr:col>
      <xdr:colOff>0</xdr:colOff>
      <xdr:row>2</xdr:row>
      <xdr:rowOff>158750</xdr:rowOff>
    </xdr:from>
    <xdr:to>
      <xdr:col>8</xdr:col>
      <xdr:colOff>0</xdr:colOff>
      <xdr:row>4</xdr:row>
      <xdr:rowOff>107950</xdr:rowOff>
    </xdr:to>
    <xdr:cxnSp macro="">
      <xdr:nvCxnSpPr>
        <xdr:cNvPr id="223" name="line01">
          <a:extLst>
            <a:ext uri="{FF2B5EF4-FFF2-40B4-BE49-F238E27FC236}">
              <a16:creationId xmlns:a16="http://schemas.microsoft.com/office/drawing/2014/main" id="{560A9287-276C-4EC3-8D5C-7F233D10C20C}"/>
            </a:ext>
          </a:extLst>
        </xdr:cNvPr>
        <xdr:cNvCxnSpPr/>
      </xdr:nvCxnSpPr>
      <xdr:spPr>
        <a:xfrm flipV="1">
          <a:off x="5276850" y="501650"/>
          <a:ext cx="0" cy="2921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185057</xdr:colOff>
      <xdr:row>2</xdr:row>
      <xdr:rowOff>158750</xdr:rowOff>
    </xdr:from>
    <xdr:to>
      <xdr:col>9</xdr:col>
      <xdr:colOff>185057</xdr:colOff>
      <xdr:row>4</xdr:row>
      <xdr:rowOff>107950</xdr:rowOff>
    </xdr:to>
    <xdr:cxnSp macro="">
      <xdr:nvCxnSpPr>
        <xdr:cNvPr id="224" name="line01">
          <a:extLst>
            <a:ext uri="{FF2B5EF4-FFF2-40B4-BE49-F238E27FC236}">
              <a16:creationId xmlns:a16="http://schemas.microsoft.com/office/drawing/2014/main" id="{D4FD328E-60F9-4059-A7F1-4F52E58E6F72}"/>
            </a:ext>
          </a:extLst>
        </xdr:cNvPr>
        <xdr:cNvCxnSpPr/>
      </xdr:nvCxnSpPr>
      <xdr:spPr>
        <a:xfrm flipV="1">
          <a:off x="6162947" y="501650"/>
          <a:ext cx="0" cy="2921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320040</xdr:colOff>
      <xdr:row>5</xdr:row>
      <xdr:rowOff>0</xdr:rowOff>
    </xdr:from>
    <xdr:to>
      <xdr:col>7</xdr:col>
      <xdr:colOff>320040</xdr:colOff>
      <xdr:row>14</xdr:row>
      <xdr:rowOff>0</xdr:rowOff>
    </xdr:to>
    <xdr:cxnSp macro="">
      <xdr:nvCxnSpPr>
        <xdr:cNvPr id="225" name="line01">
          <a:extLst>
            <a:ext uri="{FF2B5EF4-FFF2-40B4-BE49-F238E27FC236}">
              <a16:creationId xmlns:a16="http://schemas.microsoft.com/office/drawing/2014/main" id="{7DADEF20-E718-417A-A405-37A6D3247F99}"/>
            </a:ext>
          </a:extLst>
        </xdr:cNvPr>
        <xdr:cNvCxnSpPr/>
      </xdr:nvCxnSpPr>
      <xdr:spPr>
        <a:xfrm>
          <a:off x="4895850" y="857250"/>
          <a:ext cx="0" cy="155067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</xdr:colOff>
      <xdr:row>8</xdr:row>
      <xdr:rowOff>76835</xdr:rowOff>
    </xdr:from>
    <xdr:to>
      <xdr:col>7</xdr:col>
      <xdr:colOff>285750</xdr:colOff>
      <xdr:row>11</xdr:row>
      <xdr:rowOff>70485</xdr:rowOff>
    </xdr:to>
    <xdr:sp macro="" textlink="">
      <xdr:nvSpPr>
        <xdr:cNvPr id="226" name="textbox02">
          <a:extLst>
            <a:ext uri="{FF2B5EF4-FFF2-40B4-BE49-F238E27FC236}">
              <a16:creationId xmlns:a16="http://schemas.microsoft.com/office/drawing/2014/main" id="{AEDE5272-C21C-43F3-B1C2-5336DCAA804E}"/>
            </a:ext>
          </a:extLst>
        </xdr:cNvPr>
        <xdr:cNvSpPr txBox="1"/>
      </xdr:nvSpPr>
      <xdr:spPr>
        <a:xfrm rot="16200000">
          <a:off x="4512310" y="1607185"/>
          <a:ext cx="50800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7</xdr:col>
      <xdr:colOff>294640</xdr:colOff>
      <xdr:row>5</xdr:row>
      <xdr:rowOff>0</xdr:rowOff>
    </xdr:from>
    <xdr:to>
      <xdr:col>7</xdr:col>
      <xdr:colOff>675640</xdr:colOff>
      <xdr:row>5</xdr:row>
      <xdr:rowOff>0</xdr:rowOff>
    </xdr:to>
    <xdr:cxnSp macro="">
      <xdr:nvCxnSpPr>
        <xdr:cNvPr id="227" name="line01">
          <a:extLst>
            <a:ext uri="{FF2B5EF4-FFF2-40B4-BE49-F238E27FC236}">
              <a16:creationId xmlns:a16="http://schemas.microsoft.com/office/drawing/2014/main" id="{F18AF5DB-E3C0-4812-91E7-B2DF5E6E28B9}"/>
            </a:ext>
          </a:extLst>
        </xdr:cNvPr>
        <xdr:cNvCxnSpPr/>
      </xdr:nvCxnSpPr>
      <xdr:spPr>
        <a:xfrm>
          <a:off x="4870450" y="857250"/>
          <a:ext cx="381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294640</xdr:colOff>
      <xdr:row>14</xdr:row>
      <xdr:rowOff>0</xdr:rowOff>
    </xdr:from>
    <xdr:to>
      <xdr:col>7</xdr:col>
      <xdr:colOff>675640</xdr:colOff>
      <xdr:row>14</xdr:row>
      <xdr:rowOff>0</xdr:rowOff>
    </xdr:to>
    <xdr:cxnSp macro="">
      <xdr:nvCxnSpPr>
        <xdr:cNvPr id="228" name="line01">
          <a:extLst>
            <a:ext uri="{FF2B5EF4-FFF2-40B4-BE49-F238E27FC236}">
              <a16:creationId xmlns:a16="http://schemas.microsoft.com/office/drawing/2014/main" id="{B44F7B86-82F2-4ED3-896A-35C59B1E8142}"/>
            </a:ext>
          </a:extLst>
        </xdr:cNvPr>
        <xdr:cNvCxnSpPr/>
      </xdr:nvCxnSpPr>
      <xdr:spPr>
        <a:xfrm>
          <a:off x="4870450" y="2407920"/>
          <a:ext cx="381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45"/>
  <sheetViews>
    <sheetView tabSelected="1" topLeftCell="A22" workbookViewId="0">
      <selection activeCell="I42" sqref="I42"/>
    </sheetView>
  </sheetViews>
  <sheetFormatPr defaultRowHeight="13.5" x14ac:dyDescent="0.85"/>
  <cols>
    <col min="1" max="1" width="4.6171875" style="5" customWidth="1"/>
    <col min="2" max="2" width="8.76171875" style="5"/>
    <col min="3" max="3" width="8.76171875" style="6"/>
    <col min="4" max="16384" width="8.76171875" style="5"/>
  </cols>
  <sheetData>
    <row r="2" spans="2:6" x14ac:dyDescent="0.85">
      <c r="B2" s="5" t="s">
        <v>36</v>
      </c>
    </row>
    <row r="3" spans="2:6" x14ac:dyDescent="0.85">
      <c r="B3" s="5" t="s">
        <v>37</v>
      </c>
    </row>
    <row r="4" spans="2:6" x14ac:dyDescent="0.85">
      <c r="C4" s="7" t="s">
        <v>4</v>
      </c>
      <c r="D4" s="9">
        <v>24</v>
      </c>
    </row>
    <row r="5" spans="2:6" x14ac:dyDescent="0.85">
      <c r="C5" s="8" t="s">
        <v>5</v>
      </c>
      <c r="D5" s="9">
        <v>345</v>
      </c>
      <c r="E5" s="5" t="s">
        <v>6</v>
      </c>
      <c r="F5" s="5" t="s">
        <v>39</v>
      </c>
    </row>
    <row r="6" spans="2:6" x14ac:dyDescent="0.85">
      <c r="C6" s="8" t="s">
        <v>5</v>
      </c>
      <c r="D6" s="9">
        <v>295</v>
      </c>
      <c r="E6" s="5" t="s">
        <v>7</v>
      </c>
      <c r="F6" s="5" t="s">
        <v>9</v>
      </c>
    </row>
    <row r="7" spans="2:6" x14ac:dyDescent="0.85">
      <c r="C7" s="5"/>
    </row>
    <row r="8" spans="2:6" x14ac:dyDescent="0.5">
      <c r="C8" s="2" t="s">
        <v>0</v>
      </c>
      <c r="D8" s="4">
        <v>400</v>
      </c>
      <c r="E8" s="3" t="s">
        <v>1</v>
      </c>
    </row>
    <row r="9" spans="2:6" x14ac:dyDescent="0.5">
      <c r="C9" s="2" t="s">
        <v>2</v>
      </c>
      <c r="D9" s="4">
        <v>700</v>
      </c>
      <c r="E9" s="3" t="s">
        <v>1</v>
      </c>
    </row>
    <row r="10" spans="2:6" x14ac:dyDescent="0.5">
      <c r="C10" s="2" t="s">
        <v>8</v>
      </c>
      <c r="D10" s="4">
        <v>45</v>
      </c>
      <c r="E10" s="3" t="s">
        <v>18</v>
      </c>
    </row>
    <row r="11" spans="2:6" x14ac:dyDescent="0.5">
      <c r="C11" s="7" t="s">
        <v>3</v>
      </c>
      <c r="D11" s="10" t="s">
        <v>9</v>
      </c>
      <c r="E11" s="3"/>
    </row>
    <row r="12" spans="2:6" x14ac:dyDescent="0.5">
      <c r="C12" s="7" t="s">
        <v>10</v>
      </c>
      <c r="D12" s="10">
        <f>barX(D11,"A")</f>
        <v>71</v>
      </c>
      <c r="E12" s="3" t="s">
        <v>1</v>
      </c>
    </row>
    <row r="13" spans="2:6" x14ac:dyDescent="0.5">
      <c r="C13" s="7" t="s">
        <v>11</v>
      </c>
      <c r="D13" s="10">
        <f>barX(D11,"mxD")-11</f>
        <v>0</v>
      </c>
      <c r="E13" s="3" t="s">
        <v>1</v>
      </c>
    </row>
    <row r="14" spans="2:6" ht="14.1" x14ac:dyDescent="0.5">
      <c r="C14" s="1" t="s">
        <v>12</v>
      </c>
      <c r="D14" s="10">
        <f>D8-D10*2-D13*2</f>
        <v>310</v>
      </c>
      <c r="E14" s="3" t="s">
        <v>1</v>
      </c>
    </row>
    <row r="15" spans="2:6" ht="14.1" x14ac:dyDescent="0.5">
      <c r="C15" s="1" t="s">
        <v>13</v>
      </c>
      <c r="D15" s="10">
        <f>D9-2*D10-D13*2</f>
        <v>610</v>
      </c>
      <c r="E15" s="3" t="s">
        <v>1</v>
      </c>
    </row>
    <row r="16" spans="2:6" ht="14.1" x14ac:dyDescent="0.5">
      <c r="C16" s="1" t="s">
        <v>14</v>
      </c>
      <c r="D16" s="11">
        <f>D14*D15/1000/1000</f>
        <v>0.18909999999999999</v>
      </c>
      <c r="E16" s="5" t="s">
        <v>15</v>
      </c>
    </row>
    <row r="17" spans="2:8" ht="14.1" x14ac:dyDescent="0.5">
      <c r="C17" s="1" t="s">
        <v>16</v>
      </c>
      <c r="D17" s="10">
        <f>(D14+D15)*2</f>
        <v>1840</v>
      </c>
      <c r="E17" s="5" t="s">
        <v>17</v>
      </c>
    </row>
    <row r="19" spans="2:8" x14ac:dyDescent="0.85">
      <c r="C19" s="14"/>
      <c r="D19" s="15" t="s">
        <v>30</v>
      </c>
      <c r="E19" s="15" t="s">
        <v>31</v>
      </c>
      <c r="F19" s="15" t="s">
        <v>32</v>
      </c>
      <c r="G19" s="16"/>
      <c r="H19" s="22"/>
    </row>
    <row r="20" spans="2:8" x14ac:dyDescent="0.85">
      <c r="C20" s="17" t="s">
        <v>28</v>
      </c>
      <c r="D20" s="13">
        <v>120</v>
      </c>
      <c r="E20" s="13">
        <v>85</v>
      </c>
      <c r="F20" s="13">
        <v>95</v>
      </c>
      <c r="G20" s="18"/>
      <c r="H20" s="23"/>
    </row>
    <row r="21" spans="2:8" x14ac:dyDescent="0.85">
      <c r="C21" s="17" t="s">
        <v>33</v>
      </c>
      <c r="D21" s="13">
        <v>210</v>
      </c>
      <c r="E21" s="13">
        <v>0</v>
      </c>
      <c r="F21" s="13">
        <v>70</v>
      </c>
      <c r="G21" s="18"/>
      <c r="H21" s="23"/>
    </row>
    <row r="22" spans="2:8" x14ac:dyDescent="0.85">
      <c r="C22" s="19" t="s">
        <v>34</v>
      </c>
      <c r="D22" s="20">
        <f>D20+D21</f>
        <v>330</v>
      </c>
      <c r="E22" s="20">
        <f>E20+E21</f>
        <v>85</v>
      </c>
      <c r="F22" s="20">
        <f>F20+F21*2</f>
        <v>235</v>
      </c>
      <c r="G22" s="21" t="s">
        <v>35</v>
      </c>
      <c r="H22" s="24"/>
    </row>
    <row r="24" spans="2:8" x14ac:dyDescent="0.85">
      <c r="B24" s="5" t="s">
        <v>38</v>
      </c>
    </row>
    <row r="25" spans="2:8" x14ac:dyDescent="0.85">
      <c r="C25" s="7" t="s">
        <v>19</v>
      </c>
      <c r="D25" s="10">
        <v>24</v>
      </c>
    </row>
    <row r="26" spans="2:8" x14ac:dyDescent="0.85">
      <c r="C26" s="7" t="s">
        <v>20</v>
      </c>
      <c r="D26" s="5">
        <v>42</v>
      </c>
    </row>
    <row r="28" spans="2:8" x14ac:dyDescent="0.85">
      <c r="B28" s="5" t="s">
        <v>40</v>
      </c>
    </row>
    <row r="29" spans="2:8" x14ac:dyDescent="0.85">
      <c r="B29" s="5" t="s">
        <v>41</v>
      </c>
    </row>
    <row r="30" spans="2:8" x14ac:dyDescent="0.85">
      <c r="C30" s="7" t="s">
        <v>21</v>
      </c>
      <c r="D30" s="10">
        <f>MIN(D8,D9)</f>
        <v>400</v>
      </c>
      <c r="E30" s="7" t="s">
        <v>22</v>
      </c>
      <c r="F30" s="10">
        <f>MAX(D8,D9)</f>
        <v>700</v>
      </c>
    </row>
    <row r="31" spans="2:8" x14ac:dyDescent="0.85">
      <c r="C31" s="5"/>
      <c r="E31" s="7" t="s">
        <v>25</v>
      </c>
      <c r="F31" s="10">
        <f>D9-D10-D13</f>
        <v>655</v>
      </c>
    </row>
    <row r="32" spans="2:8" x14ac:dyDescent="0.85">
      <c r="C32" s="7" t="s">
        <v>23</v>
      </c>
      <c r="D32" s="10">
        <f>RC_shear(D4)</f>
        <v>0.73</v>
      </c>
      <c r="E32" s="7" t="s">
        <v>26</v>
      </c>
      <c r="F32" s="12">
        <f>F31*7/8</f>
        <v>573.125</v>
      </c>
    </row>
    <row r="33" spans="2:9" x14ac:dyDescent="0.85">
      <c r="B33" s="25"/>
      <c r="C33" s="26"/>
      <c r="D33" s="27"/>
      <c r="E33" s="28" t="s">
        <v>28</v>
      </c>
      <c r="F33" s="39" t="s">
        <v>29</v>
      </c>
    </row>
    <row r="34" spans="2:9" x14ac:dyDescent="0.85">
      <c r="B34" s="29"/>
      <c r="C34" s="30"/>
      <c r="D34" s="31" t="s">
        <v>24</v>
      </c>
      <c r="E34" s="32">
        <f>ROUND(D30^2*F30*1.15*D32/3/1000/1000,1)</f>
        <v>31.3</v>
      </c>
      <c r="F34" s="33">
        <f>E34*1.5</f>
        <v>46.95</v>
      </c>
    </row>
    <row r="35" spans="2:9" x14ac:dyDescent="0.85">
      <c r="B35" s="34"/>
      <c r="C35" s="35"/>
      <c r="D35" s="36" t="s">
        <v>27</v>
      </c>
      <c r="E35" s="37">
        <f>ROUND(D30*F32*D32*1/1000,0)</f>
        <v>167</v>
      </c>
      <c r="F35" s="38">
        <f>ROUND(E35*1.5,0)</f>
        <v>251</v>
      </c>
    </row>
    <row r="37" spans="2:9" x14ac:dyDescent="0.85">
      <c r="B37" s="5" t="s">
        <v>42</v>
      </c>
      <c r="E37" s="8" t="str">
        <f>_xlfn.TEXTJOIN(,,"(",D26,"/",E34,")^2+(",F20,"/",E35,")^2=")</f>
        <v>(42/31.3)^2+(95/167)^2=</v>
      </c>
      <c r="F37" s="40">
        <f>answer1(E37)</f>
        <v>2.1241738563536772</v>
      </c>
      <c r="G37" s="5" t="str">
        <f>IF(F37&lt;1,"OK","････補強が必要")</f>
        <v>････補強が必要</v>
      </c>
    </row>
    <row r="38" spans="2:9" x14ac:dyDescent="0.85">
      <c r="B38" s="5" t="s">
        <v>43</v>
      </c>
      <c r="E38" s="8" t="str">
        <f>_xlfn.TEXTJOIN(,,"(",D26,"/",F34,")^2+(",F22,"/",F35,")^2=")</f>
        <v>(42/46.95)^2+(235/251)^2=</v>
      </c>
      <c r="F38" s="40">
        <f>answer1(E38)</f>
        <v>1.6768265290238031</v>
      </c>
      <c r="G38" s="5" t="str">
        <f>IF(F38&lt;1,"OK","････補強が必要")</f>
        <v>････補強が必要</v>
      </c>
    </row>
    <row r="39" spans="2:9" x14ac:dyDescent="0.85">
      <c r="B39" s="5" t="s">
        <v>49</v>
      </c>
    </row>
    <row r="40" spans="2:9" x14ac:dyDescent="0.85">
      <c r="C40" s="5"/>
      <c r="D40" s="6" t="s">
        <v>44</v>
      </c>
    </row>
    <row r="41" spans="2:9" x14ac:dyDescent="0.85">
      <c r="C41" s="8" t="s">
        <v>45</v>
      </c>
      <c r="D41" s="6" t="s">
        <v>46</v>
      </c>
    </row>
    <row r="42" spans="2:9" x14ac:dyDescent="0.85">
      <c r="C42" s="8" t="s">
        <v>47</v>
      </c>
      <c r="D42" s="6" t="str">
        <f>_xlfn.TEXTJOIN(,,D26*1000*1000,"/(",D6,"*",D16*1000*1000,"*",D8,")=")</f>
        <v>42000000/(295*189100*400)=</v>
      </c>
      <c r="G42" s="5">
        <f>answer1(D42)</f>
        <v>1.8822432754618218E-3</v>
      </c>
      <c r="I42" s="6">
        <f>D26*1000*1000/(D6*D16*1000*1000*D8)</f>
        <v>1.8822432754618222E-3</v>
      </c>
    </row>
    <row r="43" spans="2:9" x14ac:dyDescent="0.85">
      <c r="C43" s="8" t="s">
        <v>48</v>
      </c>
      <c r="D43" s="6" t="str">
        <f>_xlfn.TEXTJOIN(,,D26*1000*1000,"/(",195,"*",D16*1000*1000,"*",D8,")=")</f>
        <v>42000000/(195*189100*400)=</v>
      </c>
      <c r="G43" s="5">
        <f>answer1(D43)</f>
        <v>2.8474962372371151E-3</v>
      </c>
    </row>
    <row r="45" spans="2:9" x14ac:dyDescent="0.85">
      <c r="C45" s="7" t="s">
        <v>50</v>
      </c>
      <c r="D45" s="8" t="s">
        <v>51</v>
      </c>
      <c r="E45" s="5">
        <f>Rc_pw(C45,D8)</f>
        <v>3.5500000000000002E-3</v>
      </c>
      <c r="F45" s="10" t="str">
        <f>IF(E45&gt;G45,"&gt;","NG")</f>
        <v>&gt;</v>
      </c>
      <c r="G45" s="5">
        <f>MAX(G42:G43)</f>
        <v>2.8474962372371151E-3</v>
      </c>
      <c r="H45" s="5" t="str">
        <f>IF(E45&gt;G45,"OK","NG")</f>
        <v>OK</v>
      </c>
    </row>
  </sheetData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8" r:id="rId4" name="Button 124">
              <controlPr defaultSize="0" print="0" autoFill="0" autoPict="0" macro="[0]!DRAW_SEC">
                <anchor moveWithCells="1" sizeWithCells="1">
                  <from>
                    <xdr:col>6</xdr:col>
                    <xdr:colOff>461010</xdr:colOff>
                    <xdr:row>0</xdr:row>
                    <xdr:rowOff>57150</xdr:rowOff>
                  </from>
                  <to>
                    <xdr:col>7</xdr:col>
                    <xdr:colOff>419100</xdr:colOff>
                    <xdr:row>1</xdr:row>
                    <xdr:rowOff>80010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2023-02-03T06:17:56Z</cp:lastPrinted>
  <dcterms:created xsi:type="dcterms:W3CDTF">2023-02-03T05:40:55Z</dcterms:created>
  <dcterms:modified xsi:type="dcterms:W3CDTF">2023-02-07T04:59:21Z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2023-02-07T04:59:11Z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469a3b92-2721-42f3-b866-21587a4f1069</vt:lpwstr>
  </property>
  <property fmtid="{D5CDD505-2E9C-101B-9397-08002B2CF9AE}" pid="8" name="MSIP_Label_340bcb0f-5b51-4b6e-b1dd-058f2ad3bb86_ContentBits">
    <vt:lpwstr>2</vt:lpwstr>
  </property>
</Properties>
</file>