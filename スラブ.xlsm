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8_{AFC1A413-1FD6-4BA4-9708-9A82E19EB0AA}" xr6:coauthVersionLast="36" xr6:coauthVersionMax="36" xr10:uidLastSave="{00000000-0000-0000-0000-000000000000}"/>
  <bookViews>
    <workbookView xWindow="-120" yWindow="-120" windowWidth="20736" windowHeight="11160" firstSheet="1" activeTab="3" xr2:uid="{FA125A06-D17A-430F-BDD2-9CA5AE00D765}"/>
  </bookViews>
  <sheets>
    <sheet name="集中荷重（無）整備場一般" sheetId="7" r:id="rId1"/>
    <sheet name="集中荷重（無）納車庫" sheetId="6" r:id="rId2"/>
    <sheet name="集中荷重（無） (2)" sheetId="5" r:id="rId3"/>
    <sheet name="集中荷重（無）" sheetId="4" r:id="rId4"/>
    <sheet name="集中荷重（有）" sheetId="3" r:id="rId5"/>
    <sheet name="Sheet1 (2)" sheetId="2" r:id="rId6"/>
    <sheet name="Sheet1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5" l="1"/>
  <c r="D6" i="5"/>
  <c r="H7" i="5" s="1"/>
  <c r="E9" i="4" l="1"/>
  <c r="H19" i="4" s="1"/>
  <c r="I58" i="7"/>
  <c r="E58" i="7"/>
  <c r="G57" i="7"/>
  <c r="C57" i="7"/>
  <c r="H41" i="7"/>
  <c r="M12" i="7"/>
  <c r="E10" i="7"/>
  <c r="E11" i="7" s="1"/>
  <c r="E9" i="7"/>
  <c r="H19" i="7" s="1"/>
  <c r="I6" i="7"/>
  <c r="I9" i="7"/>
  <c r="M5" i="7"/>
  <c r="M6" i="7" s="1"/>
  <c r="M8" i="7" s="1"/>
  <c r="I58" i="6"/>
  <c r="E58" i="6"/>
  <c r="G57" i="6"/>
  <c r="C57" i="6"/>
  <c r="H41" i="6"/>
  <c r="H19" i="6"/>
  <c r="M12" i="6"/>
  <c r="E11" i="6"/>
  <c r="I9" i="6"/>
  <c r="I6" i="6"/>
  <c r="M5" i="6"/>
  <c r="M6" i="6" s="1"/>
  <c r="M8" i="6" s="1"/>
  <c r="I41" i="5"/>
  <c r="E41" i="5"/>
  <c r="G40" i="5"/>
  <c r="C40" i="5"/>
  <c r="H27" i="5"/>
  <c r="J9" i="5"/>
  <c r="H17" i="5"/>
  <c r="H6" i="5"/>
  <c r="D6" i="4"/>
  <c r="I9" i="4" s="1"/>
  <c r="I58" i="4"/>
  <c r="E58" i="4"/>
  <c r="G57" i="4"/>
  <c r="C57" i="4"/>
  <c r="H41" i="4"/>
  <c r="M12" i="4"/>
  <c r="I6" i="4"/>
  <c r="M5" i="4"/>
  <c r="M6" i="4" s="1"/>
  <c r="M8" i="4" s="1"/>
  <c r="G44" i="7"/>
  <c r="G45" i="6"/>
  <c r="G45" i="4"/>
  <c r="H49" i="6"/>
  <c r="G16" i="4"/>
  <c r="G16" i="7"/>
  <c r="H52" i="6"/>
  <c r="H53" i="4"/>
  <c r="I13" i="6"/>
  <c r="H53" i="6"/>
  <c r="G46" i="7"/>
  <c r="G16" i="6"/>
  <c r="G47" i="4"/>
  <c r="D16" i="4"/>
  <c r="G45" i="7"/>
  <c r="G47" i="6"/>
  <c r="D16" i="6"/>
  <c r="I13" i="7"/>
  <c r="M4" i="7"/>
  <c r="H53" i="7"/>
  <c r="M4" i="6"/>
  <c r="H49" i="4"/>
  <c r="G47" i="7"/>
  <c r="G44" i="4"/>
  <c r="G46" i="4" s="1"/>
  <c r="D16" i="7"/>
  <c r="H50" i="4"/>
  <c r="H52" i="4"/>
  <c r="M4" i="4"/>
  <c r="H49" i="7"/>
  <c r="H50" i="6"/>
  <c r="H50" i="7"/>
  <c r="G44" i="6"/>
  <c r="G46" i="6" s="1"/>
  <c r="H52" i="7"/>
  <c r="F15" i="5"/>
  <c r="H34" i="5"/>
  <c r="H35" i="5"/>
  <c r="C15" i="5"/>
  <c r="H33" i="5"/>
  <c r="G29" i="5"/>
  <c r="H36" i="5"/>
  <c r="G30" i="5"/>
  <c r="H13" i="5"/>
  <c r="I15" i="5" l="1"/>
  <c r="G19" i="5"/>
  <c r="H47" i="7"/>
  <c r="I47" i="7" s="1"/>
  <c r="H45" i="7"/>
  <c r="I45" i="7" s="1"/>
  <c r="H46" i="7"/>
  <c r="I46" i="7" s="1"/>
  <c r="E17" i="7"/>
  <c r="H44" i="7"/>
  <c r="I44" i="7" s="1"/>
  <c r="M9" i="7"/>
  <c r="F22" i="7"/>
  <c r="M14" i="7"/>
  <c r="H47" i="6"/>
  <c r="I47" i="6" s="1"/>
  <c r="H46" i="6"/>
  <c r="I46" i="6" s="1"/>
  <c r="E17" i="6"/>
  <c r="H45" i="6"/>
  <c r="I45" i="6" s="1"/>
  <c r="H44" i="6"/>
  <c r="I44" i="6" s="1"/>
  <c r="M9" i="6"/>
  <c r="M14" i="6" s="1"/>
  <c r="F22" i="6"/>
  <c r="H44" i="4"/>
  <c r="H30" i="5"/>
  <c r="I30" i="5" s="1"/>
  <c r="H29" i="5"/>
  <c r="I29" i="5" s="1"/>
  <c r="F22" i="4"/>
  <c r="E17" i="4"/>
  <c r="H47" i="4"/>
  <c r="I47" i="4" s="1"/>
  <c r="H46" i="4"/>
  <c r="I46" i="4" s="1"/>
  <c r="H45" i="4"/>
  <c r="I45" i="4" s="1"/>
  <c r="I44" i="4"/>
  <c r="M9" i="4"/>
  <c r="M14" i="4" s="1"/>
  <c r="E11" i="4"/>
  <c r="Q13" i="3"/>
  <c r="Q12" i="3"/>
  <c r="G32" i="7"/>
  <c r="G29" i="4"/>
  <c r="G35" i="7"/>
  <c r="G26" i="4"/>
  <c r="G29" i="7"/>
  <c r="G26" i="6"/>
  <c r="G23" i="7"/>
  <c r="G32" i="6"/>
  <c r="I13" i="4"/>
  <c r="G26" i="7"/>
  <c r="G35" i="4"/>
  <c r="I18" i="6"/>
  <c r="G29" i="6"/>
  <c r="G32" i="4"/>
  <c r="I18" i="4"/>
  <c r="G23" i="6"/>
  <c r="G35" i="6"/>
  <c r="G23" i="4"/>
  <c r="I18" i="7"/>
  <c r="G32" i="5"/>
  <c r="G31" i="5"/>
  <c r="H21" i="5"/>
  <c r="H22" i="5"/>
  <c r="H23" i="5"/>
  <c r="I16" i="5"/>
  <c r="H24" i="5"/>
  <c r="H20" i="5"/>
  <c r="H32" i="5" l="1"/>
  <c r="I32" i="5" s="1"/>
  <c r="H31" i="5"/>
  <c r="I31" i="5" s="1"/>
  <c r="E38" i="7"/>
  <c r="F49" i="7" s="1"/>
  <c r="J49" i="7" s="1"/>
  <c r="C56" i="7" s="1"/>
  <c r="E39" i="7"/>
  <c r="F50" i="7" s="1"/>
  <c r="J50" i="7" s="1"/>
  <c r="E56" i="7" s="1"/>
  <c r="H39" i="7"/>
  <c r="F53" i="7" s="1"/>
  <c r="J53" i="7" s="1"/>
  <c r="I56" i="7" s="1"/>
  <c r="H38" i="7"/>
  <c r="F52" i="7" s="1"/>
  <c r="J52" i="7" s="1"/>
  <c r="G56" i="7" s="1"/>
  <c r="F19" i="7"/>
  <c r="G19" i="7" s="1"/>
  <c r="E38" i="6"/>
  <c r="F49" i="6" s="1"/>
  <c r="J49" i="6" s="1"/>
  <c r="C56" i="6" s="1"/>
  <c r="H39" i="6"/>
  <c r="F53" i="6" s="1"/>
  <c r="J53" i="6" s="1"/>
  <c r="I56" i="6" s="1"/>
  <c r="H38" i="6"/>
  <c r="F52" i="6" s="1"/>
  <c r="J52" i="6" s="1"/>
  <c r="G56" i="6" s="1"/>
  <c r="E39" i="6"/>
  <c r="F50" i="6" s="1"/>
  <c r="J50" i="6" s="1"/>
  <c r="E56" i="6" s="1"/>
  <c r="F19" i="6"/>
  <c r="G19" i="6" s="1"/>
  <c r="H26" i="5"/>
  <c r="D26" i="5"/>
  <c r="F33" i="5" s="1"/>
  <c r="J33" i="5" s="1"/>
  <c r="C39" i="5" s="1"/>
  <c r="F26" i="5"/>
  <c r="F34" i="5" s="1"/>
  <c r="J34" i="5" s="1"/>
  <c r="E39" i="5" s="1"/>
  <c r="J26" i="5"/>
  <c r="F17" i="5"/>
  <c r="G17" i="5" s="1"/>
  <c r="F19" i="4"/>
  <c r="G19" i="4" s="1"/>
  <c r="H39" i="4"/>
  <c r="E38" i="4"/>
  <c r="F49" i="4" s="1"/>
  <c r="J49" i="4" s="1"/>
  <c r="C56" i="4" s="1"/>
  <c r="H38" i="4"/>
  <c r="E39" i="4"/>
  <c r="F50" i="4" s="1"/>
  <c r="J50" i="4" s="1"/>
  <c r="E56" i="4" s="1"/>
  <c r="G19" i="3"/>
  <c r="Q15" i="3"/>
  <c r="Q16" i="3" s="1"/>
  <c r="Q14" i="3"/>
  <c r="Q11" i="3"/>
  <c r="H66" i="3"/>
  <c r="F36" i="5" l="1"/>
  <c r="J36" i="5" s="1"/>
  <c r="I39" i="5" s="1"/>
  <c r="F35" i="5"/>
  <c r="J35" i="5" s="1"/>
  <c r="G39" i="5" s="1"/>
  <c r="F52" i="4"/>
  <c r="J52" i="4" s="1"/>
  <c r="G56" i="4" s="1"/>
  <c r="F53" i="4"/>
  <c r="J53" i="4" s="1"/>
  <c r="I56" i="4" s="1"/>
  <c r="M12" i="3"/>
  <c r="M5" i="3"/>
  <c r="M6" i="3" s="1"/>
  <c r="M8" i="3" s="1"/>
  <c r="M4" i="3"/>
  <c r="M9" i="3" l="1"/>
  <c r="M14" i="3" s="1"/>
  <c r="E9" i="2"/>
  <c r="E8" i="2"/>
  <c r="E10" i="3"/>
  <c r="E9" i="3"/>
  <c r="H21" i="3" s="1"/>
  <c r="I19" i="3" l="1"/>
  <c r="H58" i="3"/>
  <c r="I9" i="3"/>
  <c r="I75" i="3"/>
  <c r="E75" i="3"/>
  <c r="G74" i="3"/>
  <c r="C74" i="3"/>
  <c r="E11" i="3"/>
  <c r="I6" i="3"/>
  <c r="I52" i="2"/>
  <c r="E52" i="2"/>
  <c r="G51" i="2"/>
  <c r="C51" i="2"/>
  <c r="G18" i="2"/>
  <c r="E10" i="2"/>
  <c r="I8" i="2"/>
  <c r="I5" i="2"/>
  <c r="I46" i="1"/>
  <c r="G45" i="1"/>
  <c r="E46" i="1"/>
  <c r="C45" i="1"/>
  <c r="G22" i="2" a="1"/>
  <c r="H67" i="3"/>
  <c r="G21" i="2" a="1"/>
  <c r="I15" i="2"/>
  <c r="H23" i="2" a="1"/>
  <c r="H47" i="2"/>
  <c r="H28" i="3" a="1"/>
  <c r="G62" i="3"/>
  <c r="H27" i="3" a="1"/>
  <c r="H69" i="3"/>
  <c r="G39" i="2"/>
  <c r="E15" i="2"/>
  <c r="I12" i="2"/>
  <c r="H46" i="2"/>
  <c r="H29" i="3" a="1"/>
  <c r="I13" i="3"/>
  <c r="H44" i="2"/>
  <c r="H70" i="3"/>
  <c r="G61" i="3"/>
  <c r="G38" i="2"/>
  <c r="H43" i="2"/>
  <c r="G16" i="3"/>
  <c r="D16" i="3"/>
  <c r="F24" i="3" l="1"/>
  <c r="E17" i="3"/>
  <c r="H20" i="3"/>
  <c r="H29" i="3"/>
  <c r="H27" i="3"/>
  <c r="H28" i="3"/>
  <c r="H61" i="3"/>
  <c r="I61" i="3" s="1"/>
  <c r="H62" i="3"/>
  <c r="I62" i="3" s="1"/>
  <c r="H23" i="2"/>
  <c r="G22" i="2"/>
  <c r="G21" i="2"/>
  <c r="E16" i="2"/>
  <c r="H38" i="2"/>
  <c r="I38" i="2" s="1"/>
  <c r="H39" i="2"/>
  <c r="I39" i="2" s="1"/>
  <c r="G18" i="1"/>
  <c r="I8" i="1"/>
  <c r="E10" i="1"/>
  <c r="I5" i="1"/>
  <c r="H28" i="2" a="1"/>
  <c r="G41" i="2"/>
  <c r="H24" i="2" a="1"/>
  <c r="H27" i="2" a="1"/>
  <c r="I15" i="1"/>
  <c r="I18" i="3"/>
  <c r="I17" i="2"/>
  <c r="G33" i="1"/>
  <c r="G37" i="3" a="1"/>
  <c r="G32" i="1"/>
  <c r="H38" i="1"/>
  <c r="H40" i="1"/>
  <c r="H37" i="1"/>
  <c r="E15" i="1"/>
  <c r="G63" i="3"/>
  <c r="G64" i="3"/>
  <c r="G40" i="2"/>
  <c r="G47" i="3" a="1"/>
  <c r="H41" i="1"/>
  <c r="I12" i="1"/>
  <c r="G42" i="3" a="1"/>
  <c r="H25" i="2" a="1"/>
  <c r="G36" i="3"/>
  <c r="G32" i="3" a="1"/>
  <c r="H63" i="3" l="1"/>
  <c r="I63" i="3" s="1"/>
  <c r="H64" i="3"/>
  <c r="I64" i="3" s="1"/>
  <c r="H40" i="2"/>
  <c r="I40" i="2" s="1"/>
  <c r="H41" i="2"/>
  <c r="I41" i="2" s="1"/>
  <c r="F21" i="3"/>
  <c r="G21" i="3" s="1"/>
  <c r="G37" i="3"/>
  <c r="G38" i="3" s="1"/>
  <c r="G39" i="3" s="1"/>
  <c r="E55" i="3" s="1"/>
  <c r="F67" i="3" s="1"/>
  <c r="G32" i="3"/>
  <c r="G33" i="3" s="1"/>
  <c r="G47" i="3"/>
  <c r="G48" i="3" s="1"/>
  <c r="G42" i="3"/>
  <c r="G43" i="3" s="1"/>
  <c r="H27" i="2"/>
  <c r="H32" i="2" s="1"/>
  <c r="F46" i="2" s="1"/>
  <c r="H28" i="2"/>
  <c r="H33" i="2" s="1"/>
  <c r="F47" i="2" s="1"/>
  <c r="H25" i="2"/>
  <c r="H31" i="2" s="1"/>
  <c r="F44" i="2" s="1"/>
  <c r="H24" i="2"/>
  <c r="H30" i="2" s="1"/>
  <c r="F43" i="2" s="1"/>
  <c r="E18" i="2"/>
  <c r="F18" i="2" s="1"/>
  <c r="H32" i="1"/>
  <c r="I32" i="1" s="1"/>
  <c r="H33" i="1"/>
  <c r="I33" i="1" s="1"/>
  <c r="E16" i="1"/>
  <c r="G25" i="3"/>
  <c r="G35" i="1"/>
  <c r="G31" i="3"/>
  <c r="G46" i="3"/>
  <c r="G41" i="3"/>
  <c r="G34" i="1"/>
  <c r="I17" i="1"/>
  <c r="F20" i="1" l="1"/>
  <c r="G49" i="3"/>
  <c r="H55" i="3" s="1"/>
  <c r="F70" i="3" s="1"/>
  <c r="J70" i="3" s="1"/>
  <c r="G44" i="3"/>
  <c r="H54" i="3" s="1"/>
  <c r="F69" i="3" s="1"/>
  <c r="J69" i="3" s="1"/>
  <c r="G34" i="3"/>
  <c r="J67" i="3"/>
  <c r="J47" i="2"/>
  <c r="J44" i="2"/>
  <c r="J46" i="2"/>
  <c r="J43" i="2"/>
  <c r="H35" i="1"/>
  <c r="I35" i="1" s="1"/>
  <c r="H34" i="1"/>
  <c r="I34" i="1" s="1"/>
  <c r="E18" i="1"/>
  <c r="F18" i="1" s="1"/>
  <c r="G24" i="1"/>
  <c r="G26" i="1"/>
  <c r="G21" i="1"/>
  <c r="G23" i="1"/>
  <c r="G27" i="1"/>
  <c r="F37" i="1" l="1"/>
  <c r="J37" i="1" s="1"/>
  <c r="F38" i="1"/>
  <c r="J38" i="1" s="1"/>
  <c r="F41" i="1"/>
  <c r="J41" i="1" s="1"/>
  <c r="F40" i="1"/>
  <c r="J40" i="1" s="1"/>
  <c r="E54" i="3"/>
  <c r="F66" i="3" s="1"/>
  <c r="J66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<sst xmlns="http://schemas.openxmlformats.org/spreadsheetml/2006/main" count="955" uniqueCount="150">
  <si>
    <t>wx=Ly^4/(LX^4+Ly^4)*w=</t>
    <phoneticPr fontId="2"/>
  </si>
  <si>
    <t>Mx1=-1/12*wx*lx^2=</t>
    <phoneticPr fontId="2"/>
  </si>
  <si>
    <t>Mx2=1/18*wx*lx^2=</t>
    <phoneticPr fontId="2"/>
  </si>
  <si>
    <t>My1=-1/24*wx*lx^2=</t>
    <phoneticPr fontId="2"/>
  </si>
  <si>
    <t>My2=1/36*wx*lx^2=</t>
    <phoneticPr fontId="2"/>
  </si>
  <si>
    <t>ⅰ）設計条件</t>
    <rPh sb="2" eb="4">
      <t>セッケイ</t>
    </rPh>
    <rPh sb="4" eb="6">
      <t>ジョウケン</t>
    </rPh>
    <phoneticPr fontId="2"/>
  </si>
  <si>
    <t>N/mm2</t>
    <phoneticPr fontId="2"/>
  </si>
  <si>
    <t>SD295A</t>
    <phoneticPr fontId="2"/>
  </si>
  <si>
    <t>積載荷重：</t>
    <rPh sb="0" eb="2">
      <t>セキサイ</t>
    </rPh>
    <rPh sb="2" eb="4">
      <t>カジュウ</t>
    </rPh>
    <phoneticPr fontId="2"/>
  </si>
  <si>
    <t>コンクリート：</t>
    <phoneticPr fontId="2"/>
  </si>
  <si>
    <t>鉄筋：</t>
    <rPh sb="0" eb="2">
      <t>テッキン</t>
    </rPh>
    <phoneticPr fontId="2"/>
  </si>
  <si>
    <t>仕上げ荷重：</t>
    <rPh sb="0" eb="2">
      <t>シア</t>
    </rPh>
    <rPh sb="3" eb="5">
      <t>カジュウ</t>
    </rPh>
    <phoneticPr fontId="2"/>
  </si>
  <si>
    <t>スパン</t>
    <phoneticPr fontId="2"/>
  </si>
  <si>
    <t>Lx＝</t>
    <phoneticPr fontId="2"/>
  </si>
  <si>
    <t>Ly＝</t>
    <phoneticPr fontId="2"/>
  </si>
  <si>
    <t>ｍｍ</t>
    <phoneticPr fontId="2"/>
  </si>
  <si>
    <t>対角スパン</t>
    <rPh sb="0" eb="2">
      <t>タイカク</t>
    </rPh>
    <phoneticPr fontId="2"/>
  </si>
  <si>
    <t>L=</t>
    <phoneticPr fontId="2"/>
  </si>
  <si>
    <t>ⅱ）スラブの設計</t>
    <rPh sb="6" eb="8">
      <t>セッケイ</t>
    </rPh>
    <phoneticPr fontId="2"/>
  </si>
  <si>
    <t>内法スパン</t>
    <rPh sb="0" eb="1">
      <t>ウチ</t>
    </rPh>
    <rPh sb="1" eb="2">
      <t>ノリ</t>
    </rPh>
    <phoneticPr fontId="2"/>
  </si>
  <si>
    <t>符号：</t>
    <rPh sb="0" eb="2">
      <t>フゴウ</t>
    </rPh>
    <phoneticPr fontId="2"/>
  </si>
  <si>
    <t>lx=</t>
    <phoneticPr fontId="2"/>
  </si>
  <si>
    <t>ly=</t>
    <phoneticPr fontId="2"/>
  </si>
  <si>
    <t>mm</t>
    <phoneticPr fontId="2"/>
  </si>
  <si>
    <t>λ=ly/lx=</t>
    <phoneticPr fontId="2"/>
  </si>
  <si>
    <t>a)</t>
    <phoneticPr fontId="2"/>
  </si>
  <si>
    <t>スラブ厚さの検討</t>
    <rPh sb="3" eb="4">
      <t>アツ</t>
    </rPh>
    <rPh sb="6" eb="8">
      <t>ケントウ</t>
    </rPh>
    <phoneticPr fontId="2"/>
  </si>
  <si>
    <t>wp=</t>
    <phoneticPr fontId="2"/>
  </si>
  <si>
    <t>t≧0.02*(λ-0.7)/(λ-0.6)*(1+wp/10+lx/10,000)*lx=</t>
    <phoneticPr fontId="2"/>
  </si>
  <si>
    <t>b)</t>
    <phoneticPr fontId="2"/>
  </si>
  <si>
    <t>長期たわみに対する検討</t>
    <rPh sb="0" eb="2">
      <t>チョウキ</t>
    </rPh>
    <rPh sb="6" eb="7">
      <t>タイ</t>
    </rPh>
    <rPh sb="9" eb="11">
      <t>ケントウ</t>
    </rPh>
    <phoneticPr fontId="2"/>
  </si>
  <si>
    <t>E=</t>
    <phoneticPr fontId="2"/>
  </si>
  <si>
    <t>Fc30</t>
    <phoneticPr fontId="2"/>
  </si>
  <si>
    <t>t=</t>
    <phoneticPr fontId="2"/>
  </si>
  <si>
    <t>w=</t>
    <phoneticPr fontId="2"/>
  </si>
  <si>
    <t>γ1=</t>
    <phoneticPr fontId="2"/>
  </si>
  <si>
    <t>kN/m3</t>
    <phoneticPr fontId="2"/>
  </si>
  <si>
    <t>kN/m2</t>
    <phoneticPr fontId="2"/>
  </si>
  <si>
    <t>KN/m2</t>
    <phoneticPr fontId="2"/>
  </si>
  <si>
    <t>δe=1/32*λ^4/(1+λ^4)*(w*lx^4/(E*t^3))=</t>
    <phoneticPr fontId="2"/>
  </si>
  <si>
    <t>δL=16*δe=</t>
    <phoneticPr fontId="2"/>
  </si>
  <si>
    <t>=lx/250</t>
    <phoneticPr fontId="2"/>
  </si>
  <si>
    <t>c)</t>
    <phoneticPr fontId="2"/>
  </si>
  <si>
    <t>応力算定</t>
    <rPh sb="0" eb="2">
      <t>オウリョク</t>
    </rPh>
    <rPh sb="2" eb="4">
      <t>サンテイ</t>
    </rPh>
    <phoneticPr fontId="2"/>
  </si>
  <si>
    <t>・固定荷重</t>
    <rPh sb="1" eb="3">
      <t>コテイ</t>
    </rPh>
    <rPh sb="3" eb="5">
      <t>カジュウ</t>
    </rPh>
    <phoneticPr fontId="2"/>
  </si>
  <si>
    <t>kN/m2</t>
    <phoneticPr fontId="2"/>
  </si>
  <si>
    <t>・短辺方向</t>
    <rPh sb="1" eb="2">
      <t>タン</t>
    </rPh>
    <rPh sb="2" eb="3">
      <t>ヘン</t>
    </rPh>
    <rPh sb="3" eb="5">
      <t>ホウコウ</t>
    </rPh>
    <phoneticPr fontId="2"/>
  </si>
  <si>
    <t>・長辺方向</t>
    <rPh sb="1" eb="2">
      <t>ナガ</t>
    </rPh>
    <rPh sb="2" eb="3">
      <t>ヘン</t>
    </rPh>
    <rPh sb="3" eb="5">
      <t>ホウコウ</t>
    </rPh>
    <phoneticPr fontId="2"/>
  </si>
  <si>
    <t>両端</t>
    <rPh sb="0" eb="2">
      <t>リョウタン</t>
    </rPh>
    <phoneticPr fontId="2"/>
  </si>
  <si>
    <t>中央</t>
    <rPh sb="0" eb="2">
      <t>チュウオウ</t>
    </rPh>
    <phoneticPr fontId="2"/>
  </si>
  <si>
    <t>kNm/m</t>
    <phoneticPr fontId="2"/>
  </si>
  <si>
    <t>d)</t>
    <phoneticPr fontId="2"/>
  </si>
  <si>
    <t>断面算定</t>
    <rPh sb="0" eb="2">
      <t>ダンメン</t>
    </rPh>
    <rPh sb="2" eb="4">
      <t>サンテイ</t>
    </rPh>
    <phoneticPr fontId="2"/>
  </si>
  <si>
    <t>ft=</t>
    <phoneticPr fontId="2"/>
  </si>
  <si>
    <t>d=t-dt</t>
    <phoneticPr fontId="2"/>
  </si>
  <si>
    <t>上</t>
    <rPh sb="0" eb="1">
      <t>ウエ</t>
    </rPh>
    <phoneticPr fontId="2"/>
  </si>
  <si>
    <t>下</t>
    <rPh sb="0" eb="1">
      <t>シタ</t>
    </rPh>
    <phoneticPr fontId="2"/>
  </si>
  <si>
    <t>位置</t>
    <rPh sb="0" eb="2">
      <t>イチ</t>
    </rPh>
    <phoneticPr fontId="2"/>
  </si>
  <si>
    <t>use</t>
    <phoneticPr fontId="2"/>
  </si>
  <si>
    <t>j=d*7/8</t>
    <phoneticPr fontId="2"/>
  </si>
  <si>
    <t>dt</t>
    <phoneticPr fontId="2"/>
  </si>
  <si>
    <t>ｶﾌﾞﾘ</t>
    <phoneticPr fontId="2"/>
  </si>
  <si>
    <t>短辺</t>
    <rPh sb="0" eb="2">
      <t>タンペン</t>
    </rPh>
    <phoneticPr fontId="2"/>
  </si>
  <si>
    <t>方向</t>
    <rPh sb="0" eb="2">
      <t>ホウコウ</t>
    </rPh>
    <phoneticPr fontId="2"/>
  </si>
  <si>
    <t>長辺</t>
    <rPh sb="0" eb="2">
      <t>チョウヘン</t>
    </rPh>
    <phoneticPr fontId="2"/>
  </si>
  <si>
    <t>・準備</t>
    <rPh sb="1" eb="3">
      <t>ジュンビ</t>
    </rPh>
    <phoneticPr fontId="2"/>
  </si>
  <si>
    <t>スラブの検討</t>
    <rPh sb="4" eb="6">
      <t>ケントウ</t>
    </rPh>
    <phoneticPr fontId="2"/>
  </si>
  <si>
    <t>at_u1=</t>
    <phoneticPr fontId="2"/>
  </si>
  <si>
    <t>at_u2=</t>
  </si>
  <si>
    <t>at_u3=</t>
  </si>
  <si>
    <t>at_u4=</t>
  </si>
  <si>
    <t>at1=Mx1/(ft*j)=</t>
    <phoneticPr fontId="2"/>
  </si>
  <si>
    <t>at2=Mx2/(ft*j)=</t>
    <phoneticPr fontId="2"/>
  </si>
  <si>
    <t>at3=My1/(ft*j)=</t>
    <phoneticPr fontId="2"/>
  </si>
  <si>
    <t>at4=My2/(ft*j)=</t>
    <phoneticPr fontId="2"/>
  </si>
  <si>
    <t>@=</t>
    <phoneticPr fontId="2"/>
  </si>
  <si>
    <t>端部</t>
    <rPh sb="0" eb="2">
      <t>タンブ</t>
    </rPh>
    <phoneticPr fontId="2"/>
  </si>
  <si>
    <t>短辺</t>
    <rPh sb="0" eb="1">
      <t>タン</t>
    </rPh>
    <rPh sb="1" eb="2">
      <t>ヘン</t>
    </rPh>
    <phoneticPr fontId="2"/>
  </si>
  <si>
    <t>長辺</t>
    <rPh sb="0" eb="2">
      <t>チョウヘン</t>
    </rPh>
    <phoneticPr fontId="2"/>
  </si>
  <si>
    <t>D10</t>
    <phoneticPr fontId="2"/>
  </si>
  <si>
    <t>e）</t>
    <phoneticPr fontId="2"/>
  </si>
  <si>
    <t>配筋</t>
    <rPh sb="0" eb="2">
      <t>ハイキン</t>
    </rPh>
    <phoneticPr fontId="2"/>
  </si>
  <si>
    <t>vx=P/2*Ly^4/(LX^4+Ly^4)=</t>
    <phoneticPr fontId="2"/>
  </si>
  <si>
    <t>vy=P/2*Lx^4/(LX^4+Ly^4)=</t>
    <phoneticPr fontId="2"/>
  </si>
  <si>
    <t>mx1=-vx*lx/4=</t>
    <phoneticPr fontId="2"/>
  </si>
  <si>
    <t>mx2=μ*(vx+1/3*vy)*lx/4=</t>
    <phoneticPr fontId="2"/>
  </si>
  <si>
    <t>my1=-vy*ly/4=</t>
    <phoneticPr fontId="2"/>
  </si>
  <si>
    <t>my2=μ*(vy+1/3*lx/ly*vx)*lx/4=</t>
    <phoneticPr fontId="2"/>
  </si>
  <si>
    <t>mx1(max)=2*mx1/ly=</t>
    <phoneticPr fontId="2"/>
  </si>
  <si>
    <t>mx2(max)=2*mx2/ly=</t>
    <phoneticPr fontId="2"/>
  </si>
  <si>
    <t>my1(max)=2*mx1/lx=</t>
    <phoneticPr fontId="2"/>
  </si>
  <si>
    <t>my2(max)=2*mx2/lx=</t>
    <phoneticPr fontId="2"/>
  </si>
  <si>
    <t>P=</t>
    <phoneticPr fontId="2"/>
  </si>
  <si>
    <t>kN</t>
    <phoneticPr fontId="2"/>
  </si>
  <si>
    <t>B=</t>
    <phoneticPr fontId="2"/>
  </si>
  <si>
    <t>I=</t>
    <phoneticPr fontId="2"/>
  </si>
  <si>
    <t>仕上げ＋スラブ自重</t>
    <rPh sb="0" eb="1">
      <t>シア</t>
    </rPh>
    <rPh sb="6" eb="8">
      <t>ジジュウ</t>
    </rPh>
    <phoneticPr fontId="2"/>
  </si>
  <si>
    <t>・集中荷重</t>
    <rPh sb="1" eb="3">
      <t>シュウチュウ</t>
    </rPh>
    <rPh sb="3" eb="5">
      <t>カジュウ</t>
    </rPh>
    <phoneticPr fontId="2"/>
  </si>
  <si>
    <t>Mx1+mx1(max)=</t>
    <phoneticPr fontId="2"/>
  </si>
  <si>
    <t>・等分布荷重</t>
    <rPh sb="1" eb="4">
      <t>トウブンプ</t>
    </rPh>
    <rPh sb="4" eb="6">
      <t>カジュウ</t>
    </rPh>
    <phoneticPr fontId="2"/>
  </si>
  <si>
    <t>（等分布）</t>
    <rPh sb="1" eb="4">
      <t>トウブンプ</t>
    </rPh>
    <phoneticPr fontId="2"/>
  </si>
  <si>
    <t>（集中）</t>
    <rPh sb="1" eb="3">
      <t>シュウチュウ</t>
    </rPh>
    <phoneticPr fontId="2"/>
  </si>
  <si>
    <t>（等分布＋集中）</t>
    <rPh sb="1" eb="4">
      <t>トウブンプ</t>
    </rPh>
    <rPh sb="5" eb="7">
      <t>シュウチュウ</t>
    </rPh>
    <phoneticPr fontId="2"/>
  </si>
  <si>
    <t>μ=1-5/18*lx ^2*ly^2/(lx^4+ly^4)=</t>
    <phoneticPr fontId="2"/>
  </si>
  <si>
    <t>Mx2+mx2(max)=</t>
    <phoneticPr fontId="2"/>
  </si>
  <si>
    <t>my1(max)=2*my1/lx=</t>
    <phoneticPr fontId="2"/>
  </si>
  <si>
    <t>My1+my1(max)=</t>
    <phoneticPr fontId="2"/>
  </si>
  <si>
    <t>my2(max)=2*mｙ2/lx=</t>
    <phoneticPr fontId="2"/>
  </si>
  <si>
    <t>My2+my2(max)=</t>
    <phoneticPr fontId="2"/>
  </si>
  <si>
    <t>ⅳ)長辺方向両端</t>
    <rPh sb="2" eb="3">
      <t>チョウ</t>
    </rPh>
    <rPh sb="3" eb="4">
      <t>ヘン</t>
    </rPh>
    <rPh sb="4" eb="6">
      <t>ホウコウ</t>
    </rPh>
    <rPh sb="6" eb="8">
      <t>リョウハジ</t>
    </rPh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</si>
  <si>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</si>
  <si>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My2＝</t>
    <phoneticPr fontId="2"/>
  </si>
  <si>
    <t>My1=</t>
    <phoneticPr fontId="2"/>
  </si>
  <si>
    <t>Mx1=</t>
    <phoneticPr fontId="2"/>
  </si>
  <si>
    <t>Mx2=</t>
    <phoneticPr fontId="2"/>
  </si>
  <si>
    <t>1.設計条件</t>
    <rPh sb="2" eb="4">
      <t>セッケイ</t>
    </rPh>
    <rPh sb="4" eb="6">
      <t>ジョウケン</t>
    </rPh>
    <phoneticPr fontId="2"/>
  </si>
  <si>
    <t>2.スラブの設計</t>
    <rPh sb="6" eb="8">
      <t>セッケイ</t>
    </rPh>
    <phoneticPr fontId="2"/>
  </si>
  <si>
    <t>（３）</t>
    <phoneticPr fontId="2"/>
  </si>
  <si>
    <t>（１）</t>
    <phoneticPr fontId="2"/>
  </si>
  <si>
    <t>（２）</t>
    <phoneticPr fontId="2"/>
  </si>
  <si>
    <t>ⅱ)短辺方向両端</t>
    <rPh sb="2" eb="4">
      <t>タンペン</t>
    </rPh>
    <rPh sb="4" eb="6">
      <t>ホウコウ</t>
    </rPh>
    <rPh sb="6" eb="8">
      <t>リョウハジ</t>
    </rPh>
    <phoneticPr fontId="2"/>
  </si>
  <si>
    <t>ⅲ)短辺方向中央</t>
    <rPh sb="2" eb="3">
      <t>タン</t>
    </rPh>
    <rPh sb="3" eb="4">
      <t>ヘン</t>
    </rPh>
    <rPh sb="4" eb="6">
      <t>ホウコウ</t>
    </rPh>
    <rPh sb="6" eb="8">
      <t>チュウオウ</t>
    </rPh>
    <phoneticPr fontId="2"/>
  </si>
  <si>
    <t>（４）</t>
    <phoneticPr fontId="2"/>
  </si>
  <si>
    <t>δ1=P*Lx^3/(192*E*I)*1/｛(Lx/Ly)^4+1)｝=</t>
    <phoneticPr fontId="2"/>
  </si>
  <si>
    <t>fs=</t>
    <phoneticPr fontId="2"/>
  </si>
  <si>
    <r>
      <rPr>
        <sz val="10"/>
        <color theme="1"/>
        <rFont val="Yu Gothic"/>
        <family val="3"/>
        <charset val="128"/>
      </rPr>
      <t>ⅰ</t>
    </r>
    <r>
      <rPr>
        <sz val="10"/>
        <color theme="1"/>
        <rFont val="Meiryo UI"/>
        <family val="3"/>
        <charset val="128"/>
      </rPr>
      <t>)準備計算</t>
    </r>
    <rPh sb="2" eb="4">
      <t>ジュンビ</t>
    </rPh>
    <rPh sb="4" eb="6">
      <t>ケイサン</t>
    </rPh>
    <phoneticPr fontId="2"/>
  </si>
  <si>
    <t>Fc21</t>
    <phoneticPr fontId="2"/>
  </si>
  <si>
    <t>t=</t>
    <phoneticPr fontId="2"/>
  </si>
  <si>
    <t>d=</t>
    <phoneticPr fontId="2"/>
  </si>
  <si>
    <t>b=</t>
    <phoneticPr fontId="2"/>
  </si>
  <si>
    <t>a=b*d=</t>
    <phoneticPr fontId="2"/>
  </si>
  <si>
    <t>kN</t>
    <phoneticPr fontId="2"/>
  </si>
  <si>
    <t>mm2</t>
    <phoneticPr fontId="2"/>
  </si>
  <si>
    <t>P=</t>
    <phoneticPr fontId="2"/>
  </si>
  <si>
    <t>kg</t>
    <phoneticPr fontId="2"/>
  </si>
  <si>
    <t>Pg=</t>
    <phoneticPr fontId="2"/>
  </si>
  <si>
    <t>N/mm2</t>
    <phoneticPr fontId="2"/>
  </si>
  <si>
    <t>mm</t>
    <phoneticPr fontId="2"/>
  </si>
  <si>
    <t>(5)せん断の検討</t>
    <rPh sb="5" eb="6">
      <t>ダン</t>
    </rPh>
    <rPh sb="7" eb="9">
      <t>ケントウ</t>
    </rPh>
    <phoneticPr fontId="2"/>
  </si>
  <si>
    <t>Q=fs*a/1000=</t>
    <phoneticPr fontId="2"/>
  </si>
  <si>
    <t>Pg/Q=</t>
    <phoneticPr fontId="2"/>
  </si>
  <si>
    <t>&lt;1・・・OK</t>
    <phoneticPr fontId="2"/>
  </si>
  <si>
    <t>W</t>
    <phoneticPr fontId="2"/>
  </si>
  <si>
    <t>D13</t>
    <phoneticPr fontId="2"/>
  </si>
  <si>
    <t>D10D13</t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</si>
  <si>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</si>
  <si>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（４）断面算定</t>
    <rPh sb="3" eb="5">
      <t>ダンメン</t>
    </rPh>
    <rPh sb="5" eb="7">
      <t>サンテイ</t>
    </rPh>
    <phoneticPr fontId="2"/>
  </si>
  <si>
    <t>（３）応力算定</t>
    <rPh sb="3" eb="5">
      <t>オウリョク</t>
    </rPh>
    <rPh sb="5" eb="7">
      <t>サンテイ</t>
    </rPh>
    <phoneticPr fontId="2"/>
  </si>
  <si>
    <t>（２）長期たわみに対する検討</t>
    <rPh sb="3" eb="5">
      <t>チョウキ</t>
    </rPh>
    <rPh sb="9" eb="10">
      <t>タイ</t>
    </rPh>
    <rPh sb="12" eb="14">
      <t>ケントウ</t>
    </rPh>
    <phoneticPr fontId="2"/>
  </si>
  <si>
    <t>（１）スラブ厚さの検討</t>
    <rPh sb="6" eb="7">
      <t>アツ</t>
    </rPh>
    <rPh sb="9" eb="11">
      <t>ケントウ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</si>
</sst>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0_ "/>
    <numFmt numFmtId="178" formatCode="0.0_ "/>
    <numFmt numFmtId="179" formatCode="0.00_ "/>
    <numFmt numFmtId="180" formatCode="0.0"/>
    <numFmt numFmtId="181" formatCode="#,##0.00_ "/>
    <numFmt numFmtId="182" formatCode="#,##0.000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0070C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1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2" fontId="3" fillId="0" borderId="0" xfId="0" applyNumberFormat="1" applyFont="1" applyAlignment="1">
      <alignment horizontal="left" vertical="center"/>
    </xf>
    <xf numFmtId="179" fontId="3" fillId="0" borderId="0" xfId="0" applyNumberFormat="1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quotePrefix="1" applyFont="1">
      <alignment vertical="center"/>
    </xf>
    <xf numFmtId="178" fontId="3" fillId="0" borderId="0" xfId="0" applyNumberFormat="1" applyFont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0" borderId="3" xfId="0" applyFont="1" applyBorder="1" applyAlignment="1">
      <alignment horizontal="left" vertical="center"/>
    </xf>
    <xf numFmtId="0" fontId="5" fillId="0" borderId="2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2" xfId="0" quotePrefix="1" applyNumberFormat="1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181" fontId="3" fillId="0" borderId="0" xfId="1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82" fontId="3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right" vertical="center" shrinkToFit="1"/>
    </xf>
    <xf numFmtId="0" fontId="5" fillId="0" borderId="3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1" fontId="5" fillId="0" borderId="0" xfId="0" applyNumberFormat="1" applyFont="1">
      <alignment vertical="center"/>
    </xf>
    <xf numFmtId="0" fontId="6" fillId="0" borderId="0" xfId="0" applyFont="1">
      <alignment vertical="center"/>
    </xf>
    <xf numFmtId="2" fontId="5" fillId="0" borderId="0" xfId="0" applyNumberFormat="1" applyFont="1" applyAlignment="1">
      <alignment horizontal="left" vertical="center"/>
    </xf>
    <xf numFmtId="0" fontId="5" fillId="0" borderId="0" xfId="0" quotePrefix="1" applyFont="1" applyAlignment="1">
      <alignment horizontal="right" vertical="center"/>
    </xf>
    <xf numFmtId="179" fontId="5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" fontId="5" fillId="0" borderId="0" xfId="0" quotePrefix="1" applyNumberFormat="1" applyFont="1">
      <alignment vertical="center"/>
    </xf>
    <xf numFmtId="0" fontId="5" fillId="0" borderId="0" xfId="0" quotePrefix="1" applyFont="1">
      <alignment vertical="center"/>
    </xf>
    <xf numFmtId="178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7" fontId="5" fillId="0" borderId="0" xfId="0" applyNumberFormat="1" applyFont="1">
      <alignment vertical="center"/>
    </xf>
    <xf numFmtId="4" fontId="5" fillId="0" borderId="0" xfId="1" applyNumberFormat="1" applyFont="1" applyAlignment="1">
      <alignment horizontal="center" vertical="center"/>
    </xf>
    <xf numFmtId="4" fontId="5" fillId="0" borderId="0" xfId="1" applyNumberFormat="1" applyFont="1" applyAlignment="1">
      <alignment horizontal="right" vertical="center"/>
    </xf>
    <xf numFmtId="181" fontId="5" fillId="0" borderId="0" xfId="0" applyNumberFormat="1" applyFont="1" applyAlignment="1">
      <alignment horizontal="center" vertical="center"/>
    </xf>
    <xf numFmtId="181" fontId="5" fillId="0" borderId="0" xfId="1" applyNumberFormat="1" applyFont="1" applyAlignment="1">
      <alignment horizontal="center" vertical="center"/>
    </xf>
    <xf numFmtId="176" fontId="5" fillId="0" borderId="0" xfId="0" applyNumberFormat="1" applyFont="1">
      <alignment vertical="center"/>
    </xf>
    <xf numFmtId="181" fontId="5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3" fontId="5" fillId="0" borderId="0" xfId="0" applyNumberFormat="1" applyFont="1">
      <alignment vertical="center"/>
    </xf>
    <xf numFmtId="181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A68AF-7A14-4324-BDD9-3D4E9E48E3E9}">
  <sheetPr codeName="Sheet7"/>
  <dimension ref="B1:N70"/>
  <sheetViews>
    <sheetView topLeftCell="A13" workbookViewId="0">
      <selection activeCell="M32" sqref="M32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4000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8000</v>
      </c>
      <c r="J5" s="40" t="s">
        <v>15</v>
      </c>
      <c r="L5" s="23" t="s">
        <v>33</v>
      </c>
      <c r="M5" s="61">
        <f>D14</f>
        <v>150</v>
      </c>
      <c r="N5" s="40" t="s">
        <v>23</v>
      </c>
    </row>
    <row r="6" spans="2:14">
      <c r="C6" s="23" t="s">
        <v>11</v>
      </c>
      <c r="D6" s="41">
        <v>0.6</v>
      </c>
      <c r="E6" s="40" t="s">
        <v>38</v>
      </c>
      <c r="G6" s="23" t="s">
        <v>16</v>
      </c>
      <c r="H6" s="23" t="s">
        <v>17</v>
      </c>
      <c r="I6" s="43">
        <f>(I4^2+I5^2)^0.5</f>
        <v>8944.2719099991591</v>
      </c>
      <c r="L6" s="23" t="s">
        <v>128</v>
      </c>
      <c r="M6" s="61">
        <f>M5-30</f>
        <v>120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24000</v>
      </c>
      <c r="N8" s="40" t="s">
        <v>132</v>
      </c>
    </row>
    <row r="9" spans="2:14">
      <c r="C9" s="23" t="s">
        <v>19</v>
      </c>
      <c r="D9" s="23" t="s">
        <v>21</v>
      </c>
      <c r="E9" s="44">
        <f>I4</f>
        <v>4000</v>
      </c>
      <c r="F9" s="40" t="s">
        <v>23</v>
      </c>
      <c r="H9" s="23" t="s">
        <v>27</v>
      </c>
      <c r="I9" s="22">
        <f>D7+D6</f>
        <v>3.5</v>
      </c>
      <c r="J9" s="40" t="s">
        <v>38</v>
      </c>
      <c r="L9" s="23" t="s">
        <v>139</v>
      </c>
      <c r="M9" s="22">
        <f>M8*M4/1000</f>
        <v>16.8</v>
      </c>
      <c r="N9" s="40" t="s">
        <v>93</v>
      </c>
    </row>
    <row r="10" spans="2:14">
      <c r="D10" s="23" t="s">
        <v>22</v>
      </c>
      <c r="E10" s="44">
        <f>I5</f>
        <v>8000</v>
      </c>
      <c r="F10" s="40" t="s">
        <v>23</v>
      </c>
    </row>
    <row r="11" spans="2:14">
      <c r="D11" s="40" t="s">
        <v>24</v>
      </c>
      <c r="E11" s="45">
        <f>E10/E9</f>
        <v>2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130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140</v>
      </c>
      <c r="M14" s="49">
        <f>M12/M9</f>
        <v>1.0798989583333332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7.1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0.73054158529815783</v>
      </c>
      <c r="J18" s="40" t="s">
        <v>23</v>
      </c>
    </row>
    <row r="19" spans="2:10">
      <c r="E19" s="23" t="s">
        <v>40</v>
      </c>
      <c r="F19" s="49">
        <f>16*I18</f>
        <v>11.688665364770525</v>
      </c>
      <c r="G19" s="22" t="str">
        <f>IF(F19&lt;=H19,"&lt;=","NG")</f>
        <v>&lt;=</v>
      </c>
      <c r="H19" s="22">
        <f>E9/250</f>
        <v>16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7.1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6.6823529411764699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-8.909803921568626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5.939869281045751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-4.7333333333333325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3.155555555555555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-8.909803921568626</v>
      </c>
      <c r="G38" s="56" t="s">
        <v>112</v>
      </c>
      <c r="H38" s="60">
        <f>G32</f>
        <v>-4.7333333333333325</v>
      </c>
    </row>
    <row r="39" spans="2:9">
      <c r="C39" s="23"/>
      <c r="D39" s="23" t="s">
        <v>114</v>
      </c>
      <c r="E39" s="60">
        <f>G29</f>
        <v>5.939869281045751</v>
      </c>
      <c r="G39" s="23" t="s">
        <v>111</v>
      </c>
      <c r="H39" s="60">
        <f>G35</f>
        <v>3.155555555555555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150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143</v>
      </c>
      <c r="F44" s="42">
        <v>40</v>
      </c>
      <c r="G44" s="22">
        <f>slab_dt_out(E44,F44)</f>
        <v>47</v>
      </c>
      <c r="H44" s="61">
        <f>H41-G44</f>
        <v>103</v>
      </c>
      <c r="I44" s="62">
        <f>H44*7/8</f>
        <v>90.125</v>
      </c>
    </row>
    <row r="45" spans="2:9">
      <c r="B45" s="22"/>
      <c r="C45" s="22" t="s">
        <v>62</v>
      </c>
      <c r="D45" s="22" t="s">
        <v>56</v>
      </c>
      <c r="E45" s="22" t="s">
        <v>144</v>
      </c>
      <c r="F45" s="42">
        <v>50</v>
      </c>
      <c r="G45" s="22">
        <f t="shared" ref="G45" si="0">slab_dt_out(E45,F45)</f>
        <v>57</v>
      </c>
      <c r="H45" s="22">
        <f>H41-G45</f>
        <v>93</v>
      </c>
      <c r="I45" s="62">
        <f>H45*7/8</f>
        <v>81.375</v>
      </c>
    </row>
    <row r="46" spans="2:9">
      <c r="B46" s="22"/>
      <c r="C46" s="22" t="s">
        <v>64</v>
      </c>
      <c r="D46" s="22" t="s">
        <v>55</v>
      </c>
      <c r="E46" s="22" t="s">
        <v>79</v>
      </c>
      <c r="F46" s="42">
        <v>40</v>
      </c>
      <c r="G46" s="22">
        <f>slab_dt_in(E46,G44)</f>
        <v>58</v>
      </c>
      <c r="H46" s="22">
        <f>H41-G46</f>
        <v>92</v>
      </c>
      <c r="I46" s="62">
        <f>H46*7/8</f>
        <v>80.5</v>
      </c>
    </row>
    <row r="47" spans="2:9">
      <c r="B47" s="22"/>
      <c r="C47" s="22" t="s">
        <v>64</v>
      </c>
      <c r="D47" s="22" t="s">
        <v>56</v>
      </c>
      <c r="E47" s="22" t="s">
        <v>79</v>
      </c>
      <c r="F47" s="42">
        <v>50</v>
      </c>
      <c r="G47" s="22">
        <f>slab_dt_in(E47,G45)</f>
        <v>68</v>
      </c>
      <c r="H47" s="22">
        <f>H41-G47</f>
        <v>82</v>
      </c>
      <c r="I47" s="62">
        <f>H47*7/8</f>
        <v>71.75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506.97700040932472</v>
      </c>
      <c r="G49" s="23" t="s">
        <v>67</v>
      </c>
      <c r="H49" s="22">
        <f>Bar_1(E44,1)</f>
        <v>127</v>
      </c>
      <c r="I49" s="46" t="s">
        <v>75</v>
      </c>
      <c r="J49" s="64">
        <f>1000/(F49/H49)</f>
        <v>250.5044605523768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374.32710424487777</v>
      </c>
      <c r="G50" s="23" t="s">
        <v>68</v>
      </c>
      <c r="H50" s="22">
        <f>Bar_1(E45,1)</f>
        <v>99</v>
      </c>
      <c r="I50" s="46" t="s">
        <v>75</v>
      </c>
      <c r="J50" s="64">
        <f t="shared" ref="J50:J53" si="1">1000/(F50/H50)</f>
        <v>264.474570174956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301.53421457769275</v>
      </c>
      <c r="G52" s="23" t="s">
        <v>69</v>
      </c>
      <c r="H52" s="22">
        <f>Bar_1(E46,1)</f>
        <v>71</v>
      </c>
      <c r="I52" s="46" t="s">
        <v>75</v>
      </c>
      <c r="J52" s="64">
        <f t="shared" si="1"/>
        <v>235.46250000000006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225.53778651339624</v>
      </c>
      <c r="G53" s="23" t="s">
        <v>70</v>
      </c>
      <c r="H53" s="22">
        <f>Bar_1(E47,1)</f>
        <v>71</v>
      </c>
      <c r="I53" s="46" t="s">
        <v>75</v>
      </c>
      <c r="J53" s="64">
        <f t="shared" si="1"/>
        <v>314.80312500000002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69" t="s">
        <v>77</v>
      </c>
      <c r="D55" s="69"/>
      <c r="E55" s="69"/>
      <c r="F55" s="69"/>
      <c r="G55" s="69" t="s">
        <v>64</v>
      </c>
      <c r="H55" s="69"/>
      <c r="I55" s="69"/>
      <c r="J55" s="69"/>
    </row>
    <row r="56" spans="2:10" ht="18.75" customHeight="1">
      <c r="B56" s="22"/>
      <c r="C56" s="69" t="str">
        <f>IF(J49&gt;D57,"端部","NG")</f>
        <v>端部</v>
      </c>
      <c r="D56" s="69"/>
      <c r="E56" s="69" t="str">
        <f>IF(J50&gt;F58,"中央","NG")</f>
        <v>中央</v>
      </c>
      <c r="F56" s="69"/>
      <c r="G56" s="69" t="str">
        <f>IF(J52&gt;H57,"端部","NG")</f>
        <v>端部</v>
      </c>
      <c r="H56" s="69"/>
      <c r="I56" s="69" t="str">
        <f>IF(J53&gt;J58,"中央","NG")</f>
        <v>中央</v>
      </c>
      <c r="J56" s="69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D10@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D10D13@</v>
      </c>
      <c r="F58" s="28">
        <v>200</v>
      </c>
      <c r="G58" s="38"/>
      <c r="H58" s="24"/>
      <c r="I58" s="24" t="str">
        <f>_xlfn.TEXTJOIN(,,E47,"@")</f>
        <v>D10@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1EAC-A42A-41DD-B4B5-ABE35889AF23}">
  <sheetPr codeName="Sheet6"/>
  <dimension ref="B1:N70"/>
  <sheetViews>
    <sheetView topLeftCell="A7" workbookViewId="0">
      <selection activeCell="E11" sqref="E11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6000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6500</v>
      </c>
      <c r="J5" s="40" t="s">
        <v>15</v>
      </c>
      <c r="L5" s="23" t="s">
        <v>33</v>
      </c>
      <c r="M5" s="61">
        <f>D14</f>
        <v>150</v>
      </c>
      <c r="N5" s="40" t="s">
        <v>23</v>
      </c>
    </row>
    <row r="6" spans="2:14">
      <c r="C6" s="23" t="s">
        <v>11</v>
      </c>
      <c r="D6" s="41">
        <v>0.6</v>
      </c>
      <c r="E6" s="40" t="s">
        <v>38</v>
      </c>
      <c r="G6" s="23" t="s">
        <v>16</v>
      </c>
      <c r="H6" s="23" t="s">
        <v>17</v>
      </c>
      <c r="I6" s="43">
        <f>(I4^2+I5^2)^0.5</f>
        <v>8845.9030064770668</v>
      </c>
      <c r="L6" s="23" t="s">
        <v>128</v>
      </c>
      <c r="M6" s="61">
        <f>M5-30</f>
        <v>120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24000</v>
      </c>
      <c r="N8" s="40" t="s">
        <v>132</v>
      </c>
    </row>
    <row r="9" spans="2:14">
      <c r="C9" s="23" t="s">
        <v>19</v>
      </c>
      <c r="D9" s="23" t="s">
        <v>21</v>
      </c>
      <c r="E9" s="44">
        <v>5600</v>
      </c>
      <c r="F9" s="40" t="s">
        <v>23</v>
      </c>
      <c r="H9" s="23" t="s">
        <v>27</v>
      </c>
      <c r="I9" s="22">
        <f>D7+D6</f>
        <v>3.5</v>
      </c>
      <c r="J9" s="40" t="s">
        <v>38</v>
      </c>
      <c r="L9" s="23" t="s">
        <v>139</v>
      </c>
      <c r="M9" s="22">
        <f>M8*M4/1000</f>
        <v>16.8</v>
      </c>
      <c r="N9" s="40" t="s">
        <v>93</v>
      </c>
    </row>
    <row r="10" spans="2:14">
      <c r="D10" s="23" t="s">
        <v>22</v>
      </c>
      <c r="E10" s="44">
        <v>6100</v>
      </c>
      <c r="F10" s="40" t="s">
        <v>23</v>
      </c>
    </row>
    <row r="11" spans="2:14">
      <c r="D11" s="40" t="s">
        <v>24</v>
      </c>
      <c r="E11" s="45">
        <f>E10/E9</f>
        <v>1.0892857142857142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170.19912719726563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140</v>
      </c>
      <c r="M14" s="49">
        <f>M12/M9</f>
        <v>1.0798989583333332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7.1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1.743482070499955</v>
      </c>
      <c r="J18" s="40" t="s">
        <v>23</v>
      </c>
    </row>
    <row r="19" spans="2:10">
      <c r="E19" s="23" t="s">
        <v>40</v>
      </c>
      <c r="F19" s="49">
        <f>16*I18</f>
        <v>27.895713127999279</v>
      </c>
      <c r="G19" s="22" t="str">
        <f>IF(F19&lt;=H19,"&lt;=","NG")</f>
        <v>NG</v>
      </c>
      <c r="H19" s="22">
        <f>E9/250</f>
        <v>22.4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7.1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4.1513543958432688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-10.848872821137075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7.2325818807580493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-9.2773333333333312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6.1848888888888869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-10.848872821137075</v>
      </c>
      <c r="G38" s="56" t="s">
        <v>112</v>
      </c>
      <c r="H38" s="60">
        <f>G32</f>
        <v>-9.2773333333333312</v>
      </c>
    </row>
    <row r="39" spans="2:9">
      <c r="C39" s="23"/>
      <c r="D39" s="23" t="s">
        <v>114</v>
      </c>
      <c r="E39" s="60">
        <f>G29</f>
        <v>7.2325818807580493</v>
      </c>
      <c r="G39" s="23" t="s">
        <v>111</v>
      </c>
      <c r="H39" s="60">
        <f>G35</f>
        <v>6.1848888888888869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150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143</v>
      </c>
      <c r="F44" s="42">
        <v>40</v>
      </c>
      <c r="G44" s="22">
        <f>slab_dt_out(E44,F44)</f>
        <v>47</v>
      </c>
      <c r="H44" s="61">
        <f>H41-G44</f>
        <v>103</v>
      </c>
      <c r="I44" s="62">
        <f>H44*7/8</f>
        <v>90.125</v>
      </c>
    </row>
    <row r="45" spans="2:9">
      <c r="B45" s="22"/>
      <c r="C45" s="22" t="s">
        <v>62</v>
      </c>
      <c r="D45" s="22" t="s">
        <v>56</v>
      </c>
      <c r="E45" s="22" t="s">
        <v>143</v>
      </c>
      <c r="F45" s="42">
        <v>50</v>
      </c>
      <c r="G45" s="22">
        <f t="shared" ref="G45" si="0">slab_dt_out(E45,F45)</f>
        <v>57</v>
      </c>
      <c r="H45" s="22">
        <f>H41-G45</f>
        <v>93</v>
      </c>
      <c r="I45" s="62">
        <f>H45*7/8</f>
        <v>81.375</v>
      </c>
    </row>
    <row r="46" spans="2:9">
      <c r="B46" s="22"/>
      <c r="C46" s="22" t="s">
        <v>64</v>
      </c>
      <c r="D46" s="22" t="s">
        <v>55</v>
      </c>
      <c r="E46" s="22" t="s">
        <v>143</v>
      </c>
      <c r="F46" s="42">
        <v>40</v>
      </c>
      <c r="G46" s="22">
        <f>slab_dt_in(E46,G44)</f>
        <v>61</v>
      </c>
      <c r="H46" s="22">
        <f>H41-G46</f>
        <v>89</v>
      </c>
      <c r="I46" s="62">
        <f>H46*7/8</f>
        <v>77.875</v>
      </c>
    </row>
    <row r="47" spans="2:9">
      <c r="B47" s="22"/>
      <c r="C47" s="22" t="s">
        <v>64</v>
      </c>
      <c r="D47" s="22" t="s">
        <v>56</v>
      </c>
      <c r="E47" s="22" t="s">
        <v>143</v>
      </c>
      <c r="F47" s="42">
        <v>50</v>
      </c>
      <c r="G47" s="22">
        <f>slab_dt_in(E47,G45)</f>
        <v>71</v>
      </c>
      <c r="H47" s="22">
        <f>H41-G47</f>
        <v>79</v>
      </c>
      <c r="I47" s="62">
        <f>H47*7/8</f>
        <v>69.125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617.31201372094733</v>
      </c>
      <c r="G49" s="23" t="s">
        <v>67</v>
      </c>
      <c r="H49" s="22">
        <f>Bar_1(E44,1)</f>
        <v>127</v>
      </c>
      <c r="I49" s="46" t="s">
        <v>75</v>
      </c>
      <c r="J49" s="64">
        <f>1000/(F49/H49)</f>
        <v>205.73064702643171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455.79309973661344</v>
      </c>
      <c r="G50" s="23" t="s">
        <v>68</v>
      </c>
      <c r="H50" s="22">
        <f>Bar_1(E45,1)</f>
        <v>127</v>
      </c>
      <c r="I50" s="46" t="s">
        <v>75</v>
      </c>
      <c r="J50" s="64">
        <f t="shared" ref="J50:J53" si="1">1000/(F50/H50)</f>
        <v>278.63519670084685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610.92864688370298</v>
      </c>
      <c r="G52" s="23" t="s">
        <v>69</v>
      </c>
      <c r="H52" s="22">
        <f>Bar_1(E46,1)</f>
        <v>127</v>
      </c>
      <c r="I52" s="46" t="s">
        <v>75</v>
      </c>
      <c r="J52" s="64">
        <f t="shared" si="1"/>
        <v>207.8802502515091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458.84092466370936</v>
      </c>
      <c r="G53" s="23" t="s">
        <v>70</v>
      </c>
      <c r="H53" s="22">
        <f>Bar_1(E47,1)</f>
        <v>127</v>
      </c>
      <c r="I53" s="46" t="s">
        <v>75</v>
      </c>
      <c r="J53" s="64">
        <f t="shared" si="1"/>
        <v>276.78437814386325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69" t="s">
        <v>77</v>
      </c>
      <c r="D55" s="69"/>
      <c r="E55" s="69"/>
      <c r="F55" s="69"/>
      <c r="G55" s="69" t="s">
        <v>64</v>
      </c>
      <c r="H55" s="69"/>
      <c r="I55" s="69"/>
      <c r="J55" s="69"/>
    </row>
    <row r="56" spans="2:10" ht="18.75" customHeight="1">
      <c r="B56" s="22"/>
      <c r="C56" s="69" t="str">
        <f>IF(J49&gt;D57,"端部","NG")</f>
        <v>端部</v>
      </c>
      <c r="D56" s="69"/>
      <c r="E56" s="69" t="str">
        <f>IF(J50&gt;F58,"中央","NG")</f>
        <v>中央</v>
      </c>
      <c r="F56" s="69"/>
      <c r="G56" s="69" t="str">
        <f>IF(J52&gt;H57,"端部","NG")</f>
        <v>端部</v>
      </c>
      <c r="H56" s="69"/>
      <c r="I56" s="69" t="str">
        <f>IF(J53&gt;J58,"中央","NG")</f>
        <v>中央</v>
      </c>
      <c r="J56" s="69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D13@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D13@</v>
      </c>
      <c r="F58" s="28">
        <v>200</v>
      </c>
      <c r="G58" s="38"/>
      <c r="H58" s="24"/>
      <c r="I58" s="24" t="str">
        <f>_xlfn.TEXTJOIN(,,E47,"@")</f>
        <v>D13@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107A-F145-498F-B9FE-858E6F04E92E}">
  <sheetPr codeName="Sheet5"/>
  <dimension ref="B1:M53"/>
  <sheetViews>
    <sheetView workbookViewId="0">
      <selection activeCell="N13" sqref="N13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3">
      <c r="B1" s="40" t="s">
        <v>66</v>
      </c>
      <c r="D1" s="23" t="s">
        <v>20</v>
      </c>
    </row>
    <row r="2" spans="2:13">
      <c r="D2" s="23"/>
    </row>
    <row r="3" spans="2:13">
      <c r="B3" s="40" t="s">
        <v>115</v>
      </c>
    </row>
    <row r="4" spans="2:13">
      <c r="C4" s="23" t="s">
        <v>9</v>
      </c>
      <c r="D4" s="41" t="s">
        <v>126</v>
      </c>
      <c r="E4" s="40" t="s">
        <v>6</v>
      </c>
      <c r="F4" s="40" t="s">
        <v>12</v>
      </c>
      <c r="G4" s="23" t="s">
        <v>13</v>
      </c>
      <c r="H4" s="42">
        <v>5000</v>
      </c>
      <c r="I4" s="40" t="s">
        <v>15</v>
      </c>
      <c r="L4" s="23"/>
    </row>
    <row r="5" spans="2:13">
      <c r="C5" s="23" t="s">
        <v>10</v>
      </c>
      <c r="D5" s="41" t="s">
        <v>7</v>
      </c>
      <c r="G5" s="23" t="s">
        <v>14</v>
      </c>
      <c r="H5" s="42">
        <v>5000</v>
      </c>
      <c r="I5" s="40" t="s">
        <v>15</v>
      </c>
      <c r="L5" s="23"/>
      <c r="M5" s="61"/>
    </row>
    <row r="6" spans="2:13">
      <c r="C6" s="23" t="s">
        <v>11</v>
      </c>
      <c r="D6" s="41">
        <f>0.05*24</f>
        <v>1.2000000000000002</v>
      </c>
      <c r="E6" s="40" t="s">
        <v>38</v>
      </c>
      <c r="F6" s="23" t="s">
        <v>16</v>
      </c>
      <c r="G6" s="23" t="s">
        <v>17</v>
      </c>
      <c r="H6" s="63">
        <f>(H4^2+H5^2)^0.5</f>
        <v>7071.0678118654751</v>
      </c>
      <c r="L6" s="23"/>
      <c r="M6" s="61"/>
    </row>
    <row r="7" spans="2:13">
      <c r="C7" s="23" t="s">
        <v>8</v>
      </c>
      <c r="D7" s="44">
        <v>3.9</v>
      </c>
      <c r="E7" s="40" t="s">
        <v>38</v>
      </c>
      <c r="G7" s="23" t="s">
        <v>27</v>
      </c>
      <c r="H7" s="22">
        <f>D7+D6</f>
        <v>5.0999999999999996</v>
      </c>
      <c r="I7" s="40" t="s">
        <v>38</v>
      </c>
      <c r="L7" s="23"/>
    </row>
    <row r="8" spans="2:13">
      <c r="B8" s="40" t="s">
        <v>116</v>
      </c>
      <c r="L8" s="23"/>
    </row>
    <row r="9" spans="2:13">
      <c r="B9" s="23" t="s">
        <v>19</v>
      </c>
      <c r="C9" s="23" t="s">
        <v>21</v>
      </c>
      <c r="D9" s="42">
        <v>4800</v>
      </c>
      <c r="E9" s="40" t="s">
        <v>23</v>
      </c>
      <c r="F9" s="23" t="s">
        <v>22</v>
      </c>
      <c r="G9" s="42">
        <v>4900</v>
      </c>
      <c r="H9" s="40" t="s">
        <v>23</v>
      </c>
      <c r="I9" s="23" t="s">
        <v>24</v>
      </c>
      <c r="J9" s="45">
        <f>G9/D9</f>
        <v>1.0208333333333333</v>
      </c>
      <c r="L9" s="23"/>
    </row>
    <row r="11" spans="2:13">
      <c r="B11" s="40" t="s">
        <v>149</v>
      </c>
    </row>
    <row r="12" spans="2:13">
      <c r="C12" s="23" t="s">
        <v>33</v>
      </c>
      <c r="D12" s="48">
        <v>150</v>
      </c>
      <c r="E12" s="40" t="s">
        <v>23</v>
      </c>
      <c r="L12" s="23"/>
    </row>
    <row r="13" spans="2:13">
      <c r="B13" s="23"/>
      <c r="G13" s="23" t="s">
        <v>28</v>
      </c>
      <c r="H13" s="47">
        <f>slab_T(J9,H7,D9)</f>
        <v>145.64436340332031</v>
      </c>
      <c r="I13" s="68" t="str">
        <f>IF(H13&lt;=D12,_xlfn.TEXTJOIN(,,"&lt;=",D12,"・・・・OK"),"NG")</f>
        <v>&lt;=150・・・・OK</v>
      </c>
      <c r="L13" s="23"/>
    </row>
    <row r="14" spans="2:13">
      <c r="B14" s="40" t="s">
        <v>148</v>
      </c>
    </row>
    <row r="15" spans="2:13">
      <c r="B15" s="23" t="s">
        <v>31</v>
      </c>
      <c r="C15" s="40">
        <f>RC_Young_mod(D4,1)</f>
        <v>21682.066750049999</v>
      </c>
      <c r="D15" s="40" t="s">
        <v>6</v>
      </c>
      <c r="E15" s="23" t="s">
        <v>35</v>
      </c>
      <c r="F15" s="22">
        <f>RC_Young_mod(D4,2)</f>
        <v>24</v>
      </c>
      <c r="G15" s="40" t="s">
        <v>36</v>
      </c>
      <c r="H15" s="23" t="s">
        <v>34</v>
      </c>
      <c r="I15" s="22">
        <f>D12/1000*F15+H7</f>
        <v>8.6999999999999993</v>
      </c>
      <c r="J15" s="40" t="s">
        <v>37</v>
      </c>
      <c r="L15" s="23"/>
      <c r="M15" s="49"/>
    </row>
    <row r="16" spans="2:13">
      <c r="B16" s="23"/>
      <c r="H16" s="23" t="s">
        <v>39</v>
      </c>
      <c r="I16" s="49">
        <f>slab_twami(J9,I15,D9,C15,D12)</f>
        <v>1.0267631622449795</v>
      </c>
      <c r="J16" s="40" t="s">
        <v>23</v>
      </c>
    </row>
    <row r="17" spans="2:10">
      <c r="E17" s="23" t="s">
        <v>40</v>
      </c>
      <c r="F17" s="49">
        <f>16*I16</f>
        <v>16.428210595919673</v>
      </c>
      <c r="G17" s="22" t="str">
        <f>IF(F17&lt;=H17,"&lt;=","NG")</f>
        <v>&lt;=</v>
      </c>
      <c r="H17" s="22">
        <f>D9/250</f>
        <v>19.2</v>
      </c>
      <c r="I17" s="51" t="s">
        <v>41</v>
      </c>
    </row>
    <row r="18" spans="2:10">
      <c r="B18" s="40" t="s">
        <v>147</v>
      </c>
      <c r="D18" s="23"/>
      <c r="F18" s="22"/>
      <c r="G18" s="22"/>
      <c r="H18" s="51"/>
    </row>
    <row r="19" spans="2:10" ht="16.2">
      <c r="C19" s="40" t="s">
        <v>125</v>
      </c>
      <c r="E19" s="23" t="s">
        <v>99</v>
      </c>
      <c r="F19" s="67" t="s">
        <v>34</v>
      </c>
      <c r="G19" s="22">
        <f>H7+F15*D12/1000</f>
        <v>8.6999999999999993</v>
      </c>
      <c r="H19" s="40" t="s">
        <v>37</v>
      </c>
      <c r="I19" s="51" t="s">
        <v>96</v>
      </c>
    </row>
    <row r="20" spans="2:10">
      <c r="G20" s="23" t="s">
        <v>0</v>
      </c>
      <c r="H20" s="52">
        <f>slab_wx(D9,G9,G19)</f>
        <v>4.5292861776302225</v>
      </c>
      <c r="I20" s="40" t="s">
        <v>37</v>
      </c>
    </row>
    <row r="21" spans="2:10">
      <c r="C21" s="40" t="s">
        <v>120</v>
      </c>
      <c r="D21" s="23"/>
      <c r="F21" s="54"/>
      <c r="G21" s="23" t="s">
        <v>1</v>
      </c>
      <c r="H21" s="55">
        <f>slab_m4(D9,G9,G19,1)</f>
        <v>-8.6962294610500255</v>
      </c>
      <c r="I21" s="40" t="s">
        <v>50</v>
      </c>
    </row>
    <row r="22" spans="2:10">
      <c r="C22" s="40" t="s">
        <v>121</v>
      </c>
      <c r="D22" s="23"/>
      <c r="G22" s="23" t="s">
        <v>2</v>
      </c>
      <c r="H22" s="55">
        <f>slab_m4(D9,G9,G19,2)</f>
        <v>5.7974863073666842</v>
      </c>
      <c r="I22" s="40" t="s">
        <v>50</v>
      </c>
    </row>
    <row r="23" spans="2:10">
      <c r="C23" s="40" t="s">
        <v>109</v>
      </c>
      <c r="G23" s="23" t="s">
        <v>3</v>
      </c>
      <c r="H23" s="55">
        <f>slab_m4(D9,G9,G19,3)</f>
        <v>-8.3519999999999985</v>
      </c>
      <c r="I23" s="40" t="s">
        <v>50</v>
      </c>
    </row>
    <row r="24" spans="2:10">
      <c r="C24" s="40" t="s">
        <v>145</v>
      </c>
      <c r="G24" s="23" t="s">
        <v>4</v>
      </c>
      <c r="H24" s="55">
        <f>slab_m4(D9,G9,G19,4)</f>
        <v>5.5679999999999996</v>
      </c>
      <c r="I24" s="40" t="s">
        <v>50</v>
      </c>
    </row>
    <row r="25" spans="2:10">
      <c r="B25" s="40" t="s">
        <v>146</v>
      </c>
      <c r="F25" s="23"/>
      <c r="G25" s="55"/>
      <c r="I25" s="59"/>
    </row>
    <row r="26" spans="2:10">
      <c r="C26" s="23" t="s">
        <v>113</v>
      </c>
      <c r="D26" s="66">
        <f>H21</f>
        <v>-8.6962294610500255</v>
      </c>
      <c r="E26" s="23" t="s">
        <v>114</v>
      </c>
      <c r="F26" s="66">
        <f>H22</f>
        <v>5.7974863073666842</v>
      </c>
      <c r="G26" s="56" t="s">
        <v>112</v>
      </c>
      <c r="H26" s="66">
        <f>H23</f>
        <v>-8.3519999999999985</v>
      </c>
      <c r="I26" s="23" t="s">
        <v>111</v>
      </c>
      <c r="J26" s="66">
        <f>H24</f>
        <v>5.5679999999999996</v>
      </c>
    </row>
    <row r="27" spans="2:10">
      <c r="B27" s="23"/>
      <c r="C27" s="23" t="s">
        <v>53</v>
      </c>
      <c r="D27" s="42">
        <v>195</v>
      </c>
      <c r="E27" s="40" t="s">
        <v>6</v>
      </c>
      <c r="G27" s="23" t="s">
        <v>33</v>
      </c>
      <c r="H27" s="61">
        <f>D12</f>
        <v>150</v>
      </c>
      <c r="I27" s="40" t="s">
        <v>15</v>
      </c>
    </row>
    <row r="28" spans="2:10">
      <c r="B28" s="23" t="s">
        <v>65</v>
      </c>
      <c r="C28" s="22" t="s">
        <v>63</v>
      </c>
      <c r="D28" s="22" t="s">
        <v>57</v>
      </c>
      <c r="E28" s="22" t="s">
        <v>58</v>
      </c>
      <c r="F28" s="22" t="s">
        <v>61</v>
      </c>
      <c r="G28" s="22" t="s">
        <v>60</v>
      </c>
      <c r="H28" s="22" t="s">
        <v>54</v>
      </c>
      <c r="I28" s="22" t="s">
        <v>59</v>
      </c>
    </row>
    <row r="29" spans="2:10">
      <c r="B29" s="23"/>
      <c r="C29" s="22" t="s">
        <v>62</v>
      </c>
      <c r="D29" s="22" t="s">
        <v>55</v>
      </c>
      <c r="E29" s="22" t="s">
        <v>143</v>
      </c>
      <c r="F29" s="42">
        <v>40</v>
      </c>
      <c r="G29" s="22">
        <f>slab_dt_out(E29,F29)</f>
        <v>47</v>
      </c>
      <c r="H29" s="61">
        <f>H27-G29</f>
        <v>103</v>
      </c>
      <c r="I29" s="62">
        <f>H29*7/8</f>
        <v>90.125</v>
      </c>
    </row>
    <row r="30" spans="2:10">
      <c r="B30" s="23"/>
      <c r="C30" s="22" t="s">
        <v>62</v>
      </c>
      <c r="D30" s="22" t="s">
        <v>56</v>
      </c>
      <c r="E30" s="22" t="s">
        <v>143</v>
      </c>
      <c r="F30" s="42">
        <v>50</v>
      </c>
      <c r="G30" s="22">
        <f t="shared" ref="G30" si="0">slab_dt_out(E30,F30)</f>
        <v>57</v>
      </c>
      <c r="H30" s="22">
        <f>H27-G30</f>
        <v>93</v>
      </c>
      <c r="I30" s="62">
        <f>H30*7/8</f>
        <v>81.375</v>
      </c>
    </row>
    <row r="31" spans="2:10">
      <c r="B31" s="23"/>
      <c r="C31" s="22" t="s">
        <v>64</v>
      </c>
      <c r="D31" s="22" t="s">
        <v>55</v>
      </c>
      <c r="E31" s="22" t="s">
        <v>143</v>
      </c>
      <c r="F31" s="42">
        <v>40</v>
      </c>
      <c r="G31" s="22">
        <f>slab_dt_in(E31,G29)</f>
        <v>61</v>
      </c>
      <c r="H31" s="22">
        <f>H27-G31</f>
        <v>89</v>
      </c>
      <c r="I31" s="62">
        <f>H31*7/8</f>
        <v>77.875</v>
      </c>
    </row>
    <row r="32" spans="2:10">
      <c r="B32" s="23"/>
      <c r="C32" s="22" t="s">
        <v>64</v>
      </c>
      <c r="D32" s="22" t="s">
        <v>56</v>
      </c>
      <c r="E32" s="22" t="s">
        <v>143</v>
      </c>
      <c r="F32" s="42">
        <v>50</v>
      </c>
      <c r="G32" s="22">
        <f>slab_dt_in(E32,G30)</f>
        <v>71</v>
      </c>
      <c r="H32" s="22">
        <f>H27-G32</f>
        <v>79</v>
      </c>
      <c r="I32" s="62">
        <f>H32*7/8</f>
        <v>69.125</v>
      </c>
    </row>
    <row r="33" spans="2:10">
      <c r="B33" s="23" t="s">
        <v>46</v>
      </c>
      <c r="C33" s="23" t="s">
        <v>48</v>
      </c>
      <c r="E33" s="23" t="s">
        <v>71</v>
      </c>
      <c r="F33" s="63">
        <f>ABS(D26)*1000*1000/(D27*I29)</f>
        <v>494.82439409936478</v>
      </c>
      <c r="G33" s="23" t="s">
        <v>67</v>
      </c>
      <c r="H33" s="22">
        <f>Bar_1(E29,1)</f>
        <v>127</v>
      </c>
      <c r="I33" s="46" t="s">
        <v>75</v>
      </c>
      <c r="J33" s="64">
        <f>1000/(F33/H33)</f>
        <v>256.65670794414666</v>
      </c>
    </row>
    <row r="34" spans="2:10">
      <c r="B34" s="23"/>
      <c r="C34" s="23" t="s">
        <v>49</v>
      </c>
      <c r="E34" s="23" t="s">
        <v>72</v>
      </c>
      <c r="F34" s="63">
        <f>ABS(F26)*1000*1000/(D27*I30)</f>
        <v>365.35421213071385</v>
      </c>
      <c r="G34" s="23" t="s">
        <v>68</v>
      </c>
      <c r="H34" s="22">
        <f>Bar_1(E30,1)</f>
        <v>127</v>
      </c>
      <c r="I34" s="46" t="s">
        <v>75</v>
      </c>
      <c r="J34" s="64">
        <f t="shared" ref="J34:J36" si="1">1000/(F34/H34)</f>
        <v>347.60787143891707</v>
      </c>
    </row>
    <row r="35" spans="2:10">
      <c r="B35" s="23" t="s">
        <v>47</v>
      </c>
      <c r="C35" s="23" t="s">
        <v>48</v>
      </c>
      <c r="E35" s="23" t="s">
        <v>73</v>
      </c>
      <c r="F35" s="63">
        <f>ABS(H26)*1000*1000/(D27*I31)</f>
        <v>549.99382639832061</v>
      </c>
      <c r="G35" s="23" t="s">
        <v>69</v>
      </c>
      <c r="H35" s="22">
        <f>Bar_1(E31,1)</f>
        <v>127</v>
      </c>
      <c r="I35" s="46" t="s">
        <v>75</v>
      </c>
      <c r="J35" s="64">
        <f t="shared" si="1"/>
        <v>230.91168283045982</v>
      </c>
    </row>
    <row r="36" spans="2:10">
      <c r="B36" s="22"/>
      <c r="C36" s="23" t="s">
        <v>49</v>
      </c>
      <c r="E36" s="23" t="s">
        <v>74</v>
      </c>
      <c r="F36" s="63">
        <f>ABS(J26)*1000*1000/(D27*I32)</f>
        <v>413.07553206287383</v>
      </c>
      <c r="G36" s="23" t="s">
        <v>70</v>
      </c>
      <c r="H36" s="22">
        <f>Bar_1(E32,1)</f>
        <v>127</v>
      </c>
      <c r="I36" s="46" t="s">
        <v>75</v>
      </c>
      <c r="J36" s="64">
        <f t="shared" si="1"/>
        <v>307.44982489224139</v>
      </c>
    </row>
    <row r="37" spans="2:10">
      <c r="B37" s="23"/>
      <c r="C37" s="40" t="s">
        <v>81</v>
      </c>
    </row>
    <row r="38" spans="2:10" ht="14.4" customHeight="1">
      <c r="B38" s="22"/>
      <c r="C38" s="69" t="s">
        <v>77</v>
      </c>
      <c r="D38" s="69"/>
      <c r="E38" s="69"/>
      <c r="F38" s="69"/>
      <c r="G38" s="69" t="s">
        <v>64</v>
      </c>
      <c r="H38" s="69"/>
      <c r="I38" s="69"/>
      <c r="J38" s="69"/>
    </row>
    <row r="39" spans="2:10" ht="14.4" customHeight="1">
      <c r="B39" s="22"/>
      <c r="C39" s="69" t="str">
        <f>IF(J33&gt;D40,"端部","NG")</f>
        <v>端部</v>
      </c>
      <c r="D39" s="69"/>
      <c r="E39" s="69" t="str">
        <f>IF(J34&gt;F41,"中央","NG")</f>
        <v>中央</v>
      </c>
      <c r="F39" s="69"/>
      <c r="G39" s="69" t="str">
        <f>IF(J35&gt;H40,"端部","NG")</f>
        <v>端部</v>
      </c>
      <c r="H39" s="69"/>
      <c r="I39" s="69" t="str">
        <f>IF(J36&gt;J41,"中央","NG")</f>
        <v>中央</v>
      </c>
      <c r="J39" s="69"/>
    </row>
    <row r="40" spans="2:10" ht="14.4" customHeight="1">
      <c r="B40" s="23" t="s">
        <v>55</v>
      </c>
      <c r="C40" s="36" t="str">
        <f>_xlfn.TEXTJOIN(,,E29,"@")</f>
        <v>D13@</v>
      </c>
      <c r="D40" s="28">
        <v>200</v>
      </c>
      <c r="E40" s="31"/>
      <c r="F40" s="37"/>
      <c r="G40" s="24" t="str">
        <f>_xlfn.TEXTJOIN(,,E31,"@")</f>
        <v>D13@</v>
      </c>
      <c r="H40" s="25">
        <v>200</v>
      </c>
      <c r="I40" s="38"/>
      <c r="J40" s="38"/>
    </row>
    <row r="41" spans="2:10" ht="14.4" customHeight="1">
      <c r="B41" s="23" t="s">
        <v>56</v>
      </c>
      <c r="C41" s="39"/>
      <c r="D41" s="30"/>
      <c r="E41" s="27" t="str">
        <f>_xlfn.TEXTJOIN(,,E30,"@")</f>
        <v>D13@</v>
      </c>
      <c r="F41" s="28">
        <v>200</v>
      </c>
      <c r="G41" s="38"/>
      <c r="H41" s="24"/>
      <c r="I41" s="24" t="str">
        <f>_xlfn.TEXTJOIN(,,E32,"@")</f>
        <v>D13@</v>
      </c>
      <c r="J41" s="25">
        <v>200</v>
      </c>
    </row>
    <row r="42" spans="2:10">
      <c r="B42" s="22"/>
      <c r="F42" s="22"/>
      <c r="H42" s="23"/>
    </row>
    <row r="43" spans="2:10">
      <c r="B43" s="22"/>
    </row>
    <row r="44" spans="2:10">
      <c r="B44" s="22"/>
    </row>
    <row r="45" spans="2:10">
      <c r="B45" s="22"/>
      <c r="H45" s="43"/>
    </row>
    <row r="46" spans="2:10">
      <c r="F46" s="22"/>
      <c r="H46" s="43"/>
    </row>
    <row r="50" spans="3:6">
      <c r="C50" s="65"/>
    </row>
    <row r="51" spans="3:6">
      <c r="C51" s="65"/>
    </row>
    <row r="53" spans="3:6">
      <c r="F53" s="23"/>
    </row>
  </sheetData>
  <mergeCells count="6">
    <mergeCell ref="C38:F38"/>
    <mergeCell ref="G38:J38"/>
    <mergeCell ref="C39:D39"/>
    <mergeCell ref="E39:F39"/>
    <mergeCell ref="G39:H39"/>
    <mergeCell ref="I39:J39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E79-E607-4CEC-981D-1F28C0E4CB97}">
  <sheetPr codeName="Sheet4"/>
  <dimension ref="B1:N70"/>
  <sheetViews>
    <sheetView tabSelected="1" workbookViewId="0">
      <selection activeCell="D58" sqref="D58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4000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5800</v>
      </c>
      <c r="J5" s="40" t="s">
        <v>15</v>
      </c>
      <c r="L5" s="23" t="s">
        <v>33</v>
      </c>
      <c r="M5" s="61">
        <f>D14</f>
        <v>200</v>
      </c>
      <c r="N5" s="40" t="s">
        <v>23</v>
      </c>
    </row>
    <row r="6" spans="2:14">
      <c r="C6" s="23" t="s">
        <v>11</v>
      </c>
      <c r="D6" s="41">
        <f>0.3*24</f>
        <v>7.1999999999999993</v>
      </c>
      <c r="E6" s="40" t="s">
        <v>38</v>
      </c>
      <c r="G6" s="23" t="s">
        <v>16</v>
      </c>
      <c r="H6" s="23" t="s">
        <v>17</v>
      </c>
      <c r="I6" s="43">
        <f>(I4^2+I5^2)^0.5</f>
        <v>7045.5659815234148</v>
      </c>
      <c r="L6" s="23" t="s">
        <v>128</v>
      </c>
      <c r="M6" s="61">
        <f>M5-30</f>
        <v>170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34000</v>
      </c>
      <c r="N8" s="40" t="s">
        <v>132</v>
      </c>
    </row>
    <row r="9" spans="2:14">
      <c r="C9" s="23" t="s">
        <v>19</v>
      </c>
      <c r="D9" s="23" t="s">
        <v>21</v>
      </c>
      <c r="E9" s="44">
        <f>I4</f>
        <v>4000</v>
      </c>
      <c r="F9" s="40" t="s">
        <v>23</v>
      </c>
      <c r="H9" s="23" t="s">
        <v>27</v>
      </c>
      <c r="I9" s="22">
        <f>D7+D6</f>
        <v>10.1</v>
      </c>
      <c r="J9" s="40" t="s">
        <v>38</v>
      </c>
      <c r="L9" s="23" t="s">
        <v>139</v>
      </c>
      <c r="M9" s="22">
        <f>M8*M4/1000</f>
        <v>23.8</v>
      </c>
      <c r="N9" s="40" t="s">
        <v>93</v>
      </c>
    </row>
    <row r="10" spans="2:14">
      <c r="D10" s="23" t="s">
        <v>22</v>
      </c>
      <c r="E10" s="44">
        <v>5600</v>
      </c>
      <c r="F10" s="40" t="s">
        <v>23</v>
      </c>
    </row>
    <row r="11" spans="2:14">
      <c r="D11" s="40" t="s">
        <v>24</v>
      </c>
      <c r="E11" s="45">
        <f>E10/E9</f>
        <v>1.4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168.70001220703125</v>
      </c>
    </row>
    <row r="14" spans="2:14">
      <c r="B14" s="23"/>
      <c r="C14" s="23" t="s">
        <v>33</v>
      </c>
      <c r="D14" s="48">
        <v>200</v>
      </c>
      <c r="E14" s="40" t="s">
        <v>23</v>
      </c>
      <c r="L14" s="23" t="s">
        <v>140</v>
      </c>
      <c r="M14" s="49">
        <f>M12/M9</f>
        <v>0.76228161764705882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14.9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0.54526651418097538</v>
      </c>
      <c r="J18" s="40" t="s">
        <v>23</v>
      </c>
    </row>
    <row r="19" spans="2:10">
      <c r="E19" s="23" t="s">
        <v>40</v>
      </c>
      <c r="F19" s="49">
        <f>16*I18</f>
        <v>8.7242642268956061</v>
      </c>
      <c r="G19" s="22" t="str">
        <f>IF(F19&lt;=H19,"&lt;=","NG")</f>
        <v>&lt;=</v>
      </c>
      <c r="H19" s="22">
        <f>E9/250</f>
        <v>16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14.899999999999999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11.822504957038994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-15.763339942718659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10.508893295145771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-9.9333333333333318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6.6222222222222209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-15.763339942718659</v>
      </c>
      <c r="G38" s="56" t="s">
        <v>112</v>
      </c>
      <c r="H38" s="60">
        <f>G32</f>
        <v>-9.9333333333333318</v>
      </c>
    </row>
    <row r="39" spans="2:9">
      <c r="C39" s="23"/>
      <c r="D39" s="23" t="s">
        <v>114</v>
      </c>
      <c r="E39" s="60">
        <f>G29</f>
        <v>10.508893295145771</v>
      </c>
      <c r="G39" s="23" t="s">
        <v>111</v>
      </c>
      <c r="H39" s="60">
        <f>G35</f>
        <v>6.6222222222222209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200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143</v>
      </c>
      <c r="F44" s="42">
        <v>40</v>
      </c>
      <c r="G44" s="22">
        <f>slab_dt_out(E44,F44)</f>
        <v>47</v>
      </c>
      <c r="H44" s="61">
        <f>H41-G44</f>
        <v>153</v>
      </c>
      <c r="I44" s="62">
        <f>H44*7/8</f>
        <v>133.875</v>
      </c>
    </row>
    <row r="45" spans="2:9">
      <c r="B45" s="22"/>
      <c r="C45" s="22" t="s">
        <v>62</v>
      </c>
      <c r="D45" s="22" t="s">
        <v>56</v>
      </c>
      <c r="E45" s="22" t="s">
        <v>143</v>
      </c>
      <c r="F45" s="42">
        <v>50</v>
      </c>
      <c r="G45" s="22">
        <f t="shared" ref="G45" si="0">slab_dt_out(E45,F45)</f>
        <v>57</v>
      </c>
      <c r="H45" s="22">
        <f>H41-G45</f>
        <v>143</v>
      </c>
      <c r="I45" s="62">
        <f>H45*7/8</f>
        <v>125.125</v>
      </c>
    </row>
    <row r="46" spans="2:9">
      <c r="B46" s="22"/>
      <c r="C46" s="22" t="s">
        <v>64</v>
      </c>
      <c r="D46" s="22" t="s">
        <v>55</v>
      </c>
      <c r="E46" s="22" t="s">
        <v>143</v>
      </c>
      <c r="F46" s="42">
        <v>40</v>
      </c>
      <c r="G46" s="22">
        <f>slab_dt_in(E46,G44)</f>
        <v>61</v>
      </c>
      <c r="H46" s="22">
        <f>H41-G46</f>
        <v>139</v>
      </c>
      <c r="I46" s="62">
        <f>H46*7/8</f>
        <v>121.625</v>
      </c>
    </row>
    <row r="47" spans="2:9">
      <c r="B47" s="22"/>
      <c r="C47" s="22" t="s">
        <v>64</v>
      </c>
      <c r="D47" s="22" t="s">
        <v>56</v>
      </c>
      <c r="E47" s="22" t="s">
        <v>79</v>
      </c>
      <c r="F47" s="42">
        <v>50</v>
      </c>
      <c r="G47" s="22">
        <f>slab_dt_in(E47,G45)</f>
        <v>68</v>
      </c>
      <c r="H47" s="22">
        <f>H41-G47</f>
        <v>132</v>
      </c>
      <c r="I47" s="62">
        <f>H47*7/8</f>
        <v>115.5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603.8292491644487</v>
      </c>
      <c r="G49" s="23" t="s">
        <v>67</v>
      </c>
      <c r="H49" s="22">
        <f>Bar_1(E44,1)</f>
        <v>127</v>
      </c>
      <c r="I49" s="46" t="s">
        <v>75</v>
      </c>
      <c r="J49" s="64">
        <f>1000/(F49/H49)</f>
        <v>210.32435937102551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430.70338052289338</v>
      </c>
      <c r="G50" s="23" t="s">
        <v>68</v>
      </c>
      <c r="H50" s="22">
        <f>Bar_1(E45,1)</f>
        <v>127</v>
      </c>
      <c r="I50" s="46" t="s">
        <v>75</v>
      </c>
      <c r="J50" s="64">
        <f t="shared" ref="J50:J53" si="1">1000/(F50/H50)</f>
        <v>294.86650382408482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418.82977134775689</v>
      </c>
      <c r="G52" s="23" t="s">
        <v>69</v>
      </c>
      <c r="H52" s="22">
        <f>Bar_1(E46,1)</f>
        <v>127</v>
      </c>
      <c r="I52" s="46" t="s">
        <v>75</v>
      </c>
      <c r="J52" s="64">
        <f t="shared" si="1"/>
        <v>303.22581795302017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294.0269606936273</v>
      </c>
      <c r="G53" s="23" t="s">
        <v>70</v>
      </c>
      <c r="H53" s="22">
        <f>Bar_1(E47,1)</f>
        <v>71</v>
      </c>
      <c r="I53" s="46" t="s">
        <v>75</v>
      </c>
      <c r="J53" s="64">
        <f t="shared" si="1"/>
        <v>241.47445469798663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69" t="s">
        <v>77</v>
      </c>
      <c r="D55" s="69"/>
      <c r="E55" s="69"/>
      <c r="F55" s="69"/>
      <c r="G55" s="69" t="s">
        <v>64</v>
      </c>
      <c r="H55" s="69"/>
      <c r="I55" s="69"/>
      <c r="J55" s="69"/>
    </row>
    <row r="56" spans="2:10" ht="18.75" customHeight="1">
      <c r="B56" s="22"/>
      <c r="C56" s="69" t="str">
        <f>IF(J49&gt;D57,"端部","NG")</f>
        <v>端部</v>
      </c>
      <c r="D56" s="69"/>
      <c r="E56" s="69" t="str">
        <f>IF(J50&gt;F58,"中央","NG")</f>
        <v>中央</v>
      </c>
      <c r="F56" s="69"/>
      <c r="G56" s="69" t="str">
        <f>IF(J52&gt;H57,"端部","NG")</f>
        <v>端部</v>
      </c>
      <c r="H56" s="69"/>
      <c r="I56" s="69" t="str">
        <f>IF(J53&gt;J58,"中央","NG")</f>
        <v>中央</v>
      </c>
      <c r="J56" s="69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D13@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D13@</v>
      </c>
      <c r="F58" s="28">
        <v>200</v>
      </c>
      <c r="G58" s="38"/>
      <c r="H58" s="24"/>
      <c r="I58" s="24" t="str">
        <f>_xlfn.TEXTJOIN(,,E47,"@")</f>
        <v>D10@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CDA4-F3DC-45F2-A1DD-6C9BCBDE16D2}">
  <sheetPr codeName="Sheet3"/>
  <dimension ref="B1:S87"/>
  <sheetViews>
    <sheetView topLeftCell="A13" workbookViewId="0">
      <selection activeCell="Q14" sqref="Q14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9">
      <c r="B1" s="40" t="s">
        <v>66</v>
      </c>
      <c r="D1" s="23" t="s">
        <v>20</v>
      </c>
    </row>
    <row r="2" spans="2:19">
      <c r="D2" s="23"/>
    </row>
    <row r="3" spans="2:19">
      <c r="B3" s="40" t="s">
        <v>115</v>
      </c>
      <c r="L3" s="40" t="s">
        <v>138</v>
      </c>
    </row>
    <row r="4" spans="2:19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3333</v>
      </c>
      <c r="J4" s="40" t="s">
        <v>15</v>
      </c>
      <c r="L4" s="23" t="s">
        <v>124</v>
      </c>
      <c r="M4" s="22">
        <f>RC_fs_L(D4,1)</f>
        <v>0.7</v>
      </c>
      <c r="N4" s="40" t="s">
        <v>136</v>
      </c>
    </row>
    <row r="5" spans="2:19">
      <c r="C5" s="23" t="s">
        <v>10</v>
      </c>
      <c r="D5" s="41" t="s">
        <v>7</v>
      </c>
      <c r="H5" s="23" t="s">
        <v>14</v>
      </c>
      <c r="I5" s="42">
        <v>5500</v>
      </c>
      <c r="J5" s="40" t="s">
        <v>15</v>
      </c>
      <c r="L5" s="23" t="s">
        <v>127</v>
      </c>
      <c r="M5" s="61">
        <f>D14</f>
        <v>200</v>
      </c>
      <c r="N5" s="40" t="s">
        <v>137</v>
      </c>
    </row>
    <row r="6" spans="2:19">
      <c r="C6" s="23" t="s">
        <v>11</v>
      </c>
      <c r="D6" s="41">
        <v>4.5</v>
      </c>
      <c r="E6" s="40" t="s">
        <v>38</v>
      </c>
      <c r="G6" s="23" t="s">
        <v>16</v>
      </c>
      <c r="H6" s="23" t="s">
        <v>17</v>
      </c>
      <c r="I6" s="43">
        <f>(I4^2+I5^2)^0.5</f>
        <v>6431.0876996041661</v>
      </c>
      <c r="L6" s="23" t="s">
        <v>128</v>
      </c>
      <c r="M6" s="61">
        <f>M5-30</f>
        <v>170</v>
      </c>
      <c r="N6" s="40" t="s">
        <v>137</v>
      </c>
    </row>
    <row r="7" spans="2:19">
      <c r="C7" s="23" t="s">
        <v>8</v>
      </c>
      <c r="D7" s="44">
        <v>15</v>
      </c>
      <c r="E7" s="40" t="s">
        <v>38</v>
      </c>
      <c r="L7" s="23" t="s">
        <v>129</v>
      </c>
      <c r="M7" s="22">
        <v>200</v>
      </c>
      <c r="N7" s="40" t="s">
        <v>137</v>
      </c>
    </row>
    <row r="8" spans="2:19">
      <c r="B8" s="40" t="s">
        <v>116</v>
      </c>
      <c r="L8" s="23" t="s">
        <v>130</v>
      </c>
      <c r="M8" s="22">
        <f>M6*M7</f>
        <v>34000</v>
      </c>
      <c r="N8" s="40" t="s">
        <v>132</v>
      </c>
    </row>
    <row r="9" spans="2:19">
      <c r="C9" s="23" t="s">
        <v>19</v>
      </c>
      <c r="D9" s="23" t="s">
        <v>21</v>
      </c>
      <c r="E9" s="44">
        <f>I4</f>
        <v>3333</v>
      </c>
      <c r="F9" s="40" t="s">
        <v>23</v>
      </c>
      <c r="H9" s="23" t="s">
        <v>27</v>
      </c>
      <c r="I9" s="22">
        <f>D7+D6</f>
        <v>19.5</v>
      </c>
      <c r="J9" s="40" t="s">
        <v>38</v>
      </c>
      <c r="L9" s="23" t="s">
        <v>139</v>
      </c>
      <c r="M9" s="22">
        <f>M8*M4/1000</f>
        <v>23.8</v>
      </c>
      <c r="N9" s="40" t="s">
        <v>131</v>
      </c>
      <c r="Q9" s="40">
        <v>1.5</v>
      </c>
      <c r="S9" s="40">
        <v>0.88</v>
      </c>
    </row>
    <row r="10" spans="2:19">
      <c r="D10" s="23" t="s">
        <v>22</v>
      </c>
      <c r="E10" s="44">
        <f>I5</f>
        <v>5500</v>
      </c>
      <c r="F10" s="40" t="s">
        <v>23</v>
      </c>
      <c r="Q10" s="40">
        <v>2.78</v>
      </c>
      <c r="S10" s="40">
        <v>0.85</v>
      </c>
    </row>
    <row r="11" spans="2:19">
      <c r="D11" s="40" t="s">
        <v>24</v>
      </c>
      <c r="E11" s="45">
        <f>E10/E9</f>
        <v>1.6501650165016502</v>
      </c>
      <c r="L11" s="23" t="s">
        <v>133</v>
      </c>
      <c r="M11" s="22">
        <v>1850</v>
      </c>
      <c r="N11" s="40" t="s">
        <v>134</v>
      </c>
      <c r="P11" s="40" t="s">
        <v>142</v>
      </c>
      <c r="Q11" s="40">
        <f>SUM(Q9:Q10)</f>
        <v>4.2799999999999994</v>
      </c>
    </row>
    <row r="12" spans="2:19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131</v>
      </c>
      <c r="P12" s="40">
        <v>0.88</v>
      </c>
      <c r="Q12" s="40">
        <f>P12*Q11</f>
        <v>3.7663999999999995</v>
      </c>
    </row>
    <row r="13" spans="2:19">
      <c r="H13" s="23" t="s">
        <v>28</v>
      </c>
      <c r="I13" s="47">
        <f>slab_T(E11,I9,E9)</f>
        <v>198.02378845214844</v>
      </c>
      <c r="P13" s="40">
        <v>0.5</v>
      </c>
      <c r="Q13" s="40">
        <f>P13*Q12</f>
        <v>1.8831999999999998</v>
      </c>
    </row>
    <row r="14" spans="2:19">
      <c r="B14" s="23"/>
      <c r="C14" s="23" t="s">
        <v>33</v>
      </c>
      <c r="D14" s="48">
        <v>200</v>
      </c>
      <c r="E14" s="40" t="s">
        <v>23</v>
      </c>
      <c r="L14" s="23" t="s">
        <v>140</v>
      </c>
      <c r="M14" s="49">
        <f>M12/M9</f>
        <v>0.76228161764705882</v>
      </c>
      <c r="N14" s="40" t="s">
        <v>141</v>
      </c>
      <c r="Q14" s="40">
        <f>Q11*9.80665</f>
        <v>41.972461999999993</v>
      </c>
    </row>
    <row r="15" spans="2:19">
      <c r="B15" s="46" t="s">
        <v>119</v>
      </c>
      <c r="C15" s="40" t="s">
        <v>30</v>
      </c>
      <c r="Q15" s="40">
        <f>Q14*P12</f>
        <v>36.935766559999998</v>
      </c>
    </row>
    <row r="16" spans="2:19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  <c r="Q16" s="40">
        <f>Q15*P13</f>
        <v>18.467883279999999</v>
      </c>
    </row>
    <row r="17" spans="2:10">
      <c r="B17" s="23"/>
      <c r="D17" s="23" t="s">
        <v>34</v>
      </c>
      <c r="E17" s="22">
        <f>D14/1000*G16+I9</f>
        <v>24.3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0.47606222773756879</v>
      </c>
      <c r="J18" s="40" t="s">
        <v>23</v>
      </c>
    </row>
    <row r="19" spans="2:10">
      <c r="C19" s="23" t="s">
        <v>92</v>
      </c>
      <c r="D19" s="49">
        <v>18.5</v>
      </c>
      <c r="E19" s="22" t="s">
        <v>93</v>
      </c>
      <c r="F19" s="23" t="s">
        <v>94</v>
      </c>
      <c r="G19" s="50">
        <f>E9/3*2</f>
        <v>2222</v>
      </c>
      <c r="H19" s="23" t="s">
        <v>95</v>
      </c>
      <c r="I19" s="40">
        <f>G19*D14^3/12</f>
        <v>1481333333.3333333</v>
      </c>
    </row>
    <row r="20" spans="2:10">
      <c r="D20" s="23"/>
      <c r="E20" s="49"/>
      <c r="F20" s="22"/>
      <c r="G20" s="23" t="s">
        <v>123</v>
      </c>
      <c r="H20" s="22">
        <f>D19*1000*E9^3/(192*D16*I19)*(1/((E9/E10)^4+1))</f>
        <v>9.7876810084860238E-2</v>
      </c>
    </row>
    <row r="21" spans="2:10">
      <c r="E21" s="23" t="s">
        <v>40</v>
      </c>
      <c r="F21" s="49">
        <f>16*(I18+H20)</f>
        <v>9.1830246051588649</v>
      </c>
      <c r="G21" s="22" t="str">
        <f>IF(F21&lt;=H21,"&lt;=","NG")</f>
        <v>&lt;=</v>
      </c>
      <c r="H21" s="22">
        <f>E9/250</f>
        <v>13.332000000000001</v>
      </c>
      <c r="I21" s="51" t="s">
        <v>41</v>
      </c>
    </row>
    <row r="22" spans="2:10">
      <c r="B22" s="46" t="s">
        <v>117</v>
      </c>
      <c r="C22" s="40" t="s">
        <v>43</v>
      </c>
      <c r="D22" s="23"/>
      <c r="F22" s="22"/>
      <c r="G22" s="22"/>
      <c r="H22" s="51"/>
    </row>
    <row r="23" spans="2:10" ht="16.2">
      <c r="B23" s="23"/>
      <c r="C23" s="40" t="s">
        <v>125</v>
      </c>
      <c r="D23" s="23"/>
      <c r="F23" s="22"/>
      <c r="G23" s="22"/>
      <c r="H23" s="51"/>
    </row>
    <row r="24" spans="2:10">
      <c r="D24" s="23" t="s">
        <v>99</v>
      </c>
      <c r="E24" s="49" t="s">
        <v>34</v>
      </c>
      <c r="F24" s="22">
        <f>D6+G16*D14/1000</f>
        <v>9.3000000000000007</v>
      </c>
      <c r="G24" s="40" t="s">
        <v>37</v>
      </c>
      <c r="H24" s="51" t="s">
        <v>96</v>
      </c>
    </row>
    <row r="25" spans="2:10">
      <c r="F25" s="23" t="s">
        <v>0</v>
      </c>
      <c r="G25" s="52">
        <f>slab_wx(E9,E10,F24)</f>
        <v>8.19482695511849</v>
      </c>
      <c r="H25" s="40" t="s">
        <v>37</v>
      </c>
    </row>
    <row r="26" spans="2:10">
      <c r="D26" s="23" t="s">
        <v>97</v>
      </c>
      <c r="E26" s="49" t="s">
        <v>92</v>
      </c>
      <c r="F26" s="22">
        <v>4</v>
      </c>
      <c r="G26" s="40" t="s">
        <v>37</v>
      </c>
      <c r="H26" s="51"/>
    </row>
    <row r="27" spans="2:10">
      <c r="G27" s="23" t="s">
        <v>82</v>
      </c>
      <c r="H27" s="53" cm="1">
        <f t="array" ref="H27">slab_v_p(E9,E10,F26,1)</f>
        <v>1.7623283774448366</v>
      </c>
      <c r="I27" s="40" t="s">
        <v>37</v>
      </c>
    </row>
    <row r="28" spans="2:10">
      <c r="G28" s="23" t="s">
        <v>83</v>
      </c>
      <c r="H28" s="53" cm="1">
        <f t="array" ref="H28">slab_v_p(E9,E10,F26,2)</f>
        <v>0.23767162255516341</v>
      </c>
    </row>
    <row r="29" spans="2:10">
      <c r="G29" s="23" t="s">
        <v>103</v>
      </c>
      <c r="H29" s="53" cm="1">
        <f t="array" ref="H29">slab_p_M(E9,E10,H27,H28,5)</f>
        <v>0.91011244110842615</v>
      </c>
    </row>
    <row r="30" spans="2:10">
      <c r="C30" s="40" t="s">
        <v>120</v>
      </c>
      <c r="D30" s="23"/>
      <c r="E30" s="49"/>
      <c r="F30" s="22"/>
      <c r="H30" s="51"/>
    </row>
    <row r="31" spans="2:10">
      <c r="C31" s="23"/>
      <c r="E31" s="54"/>
      <c r="F31" s="23" t="s">
        <v>1</v>
      </c>
      <c r="G31" s="55">
        <f>slab_m4(E9,E10,F24,1)</f>
        <v>-7.5862852515516082</v>
      </c>
      <c r="H31" s="40" t="s">
        <v>50</v>
      </c>
      <c r="I31" s="40" t="s">
        <v>100</v>
      </c>
    </row>
    <row r="32" spans="2:10">
      <c r="F32" s="23" t="s">
        <v>84</v>
      </c>
      <c r="G32" s="55" cm="1">
        <f t="array" ref="G32">slab_p_M(E9/1000,E10/1000,H27,,1)</f>
        <v>-1.4684601205059102</v>
      </c>
      <c r="H32" s="40" t="s">
        <v>50</v>
      </c>
    </row>
    <row r="33" spans="3:9">
      <c r="F33" s="23" t="s">
        <v>88</v>
      </c>
      <c r="G33" s="55">
        <f>2*G32/(E10/1000)</f>
        <v>-0.53398549836578557</v>
      </c>
      <c r="I33" s="40" t="s">
        <v>101</v>
      </c>
    </row>
    <row r="34" spans="3:9">
      <c r="F34" s="56" t="s">
        <v>98</v>
      </c>
      <c r="G34" s="57">
        <f>G31+G33</f>
        <v>-8.1202707499173936</v>
      </c>
      <c r="I34" s="40" t="s">
        <v>102</v>
      </c>
    </row>
    <row r="35" spans="3:9">
      <c r="C35" s="40" t="s">
        <v>121</v>
      </c>
      <c r="F35" s="23"/>
      <c r="G35" s="55"/>
    </row>
    <row r="36" spans="3:9">
      <c r="C36" s="23"/>
      <c r="F36" s="23" t="s">
        <v>2</v>
      </c>
      <c r="G36" s="55">
        <f>slab_m4(E9,E10,F24,2)</f>
        <v>5.0575235010344057</v>
      </c>
      <c r="H36" s="40" t="s">
        <v>50</v>
      </c>
      <c r="I36" s="40" t="s">
        <v>100</v>
      </c>
    </row>
    <row r="37" spans="3:9">
      <c r="F37" s="23" t="s">
        <v>85</v>
      </c>
      <c r="G37" s="55" cm="1">
        <f t="array" ref="G37">slab_p_M(D16/1000,E17/1000,H28,H29,2)</f>
        <v>2.9327285311412181</v>
      </c>
      <c r="H37" s="40" t="s">
        <v>50</v>
      </c>
    </row>
    <row r="38" spans="3:9">
      <c r="F38" s="23" t="s">
        <v>89</v>
      </c>
      <c r="G38" s="55">
        <f>2*G37/(E10/1000)</f>
        <v>1.0664467385968066</v>
      </c>
      <c r="I38" s="40" t="s">
        <v>101</v>
      </c>
    </row>
    <row r="39" spans="3:9">
      <c r="F39" s="56" t="s">
        <v>104</v>
      </c>
      <c r="G39" s="57">
        <f>G36+G38</f>
        <v>6.1239702396312126</v>
      </c>
      <c r="I39" s="40" t="s">
        <v>102</v>
      </c>
    </row>
    <row r="40" spans="3:9">
      <c r="C40" s="40" t="s">
        <v>109</v>
      </c>
      <c r="F40" s="23"/>
      <c r="G40" s="55"/>
    </row>
    <row r="41" spans="3:9">
      <c r="F41" s="23" t="s">
        <v>3</v>
      </c>
      <c r="G41" s="55">
        <f>slab_m4(E9,E10,F24,3)</f>
        <v>-4.3046944875000008</v>
      </c>
      <c r="H41" s="40" t="s">
        <v>50</v>
      </c>
    </row>
    <row r="42" spans="3:9">
      <c r="F42" s="23" t="s">
        <v>86</v>
      </c>
      <c r="G42" s="58" cm="1">
        <f t="array" ref="G42">slab_p_M(E9/1000,E10/1000,H27,H28,3)</f>
        <v>-0.32679848101334968</v>
      </c>
      <c r="H42" s="40" t="s">
        <v>50</v>
      </c>
    </row>
    <row r="43" spans="3:9">
      <c r="F43" s="23" t="s">
        <v>105</v>
      </c>
      <c r="G43" s="55">
        <f>2*G42/(E9/1000)</f>
        <v>-0.19609869847785757</v>
      </c>
    </row>
    <row r="44" spans="3:9">
      <c r="C44" s="23"/>
      <c r="F44" s="56" t="s">
        <v>106</v>
      </c>
      <c r="G44" s="57">
        <f>G41+G43</f>
        <v>-4.5007931859778587</v>
      </c>
      <c r="I44" s="59"/>
    </row>
    <row r="45" spans="3:9">
      <c r="C45" s="40" t="s">
        <v>110</v>
      </c>
      <c r="I45" s="59"/>
    </row>
    <row r="46" spans="3:9">
      <c r="F46" s="23" t="s">
        <v>4</v>
      </c>
      <c r="G46" s="55">
        <f>slab_m4(E9,E10,F24,4)</f>
        <v>2.8697963250000007</v>
      </c>
      <c r="H46" s="40" t="s">
        <v>50</v>
      </c>
      <c r="I46" s="59"/>
    </row>
    <row r="47" spans="3:9">
      <c r="C47" s="23"/>
      <c r="F47" s="23" t="s">
        <v>87</v>
      </c>
      <c r="G47" s="55" cm="1">
        <f t="array" ref="G47">slab_p_M(E9/1000,E10/1000,H27,H28,4)</f>
        <v>0.7429113049535877</v>
      </c>
      <c r="H47" s="40" t="s">
        <v>50</v>
      </c>
      <c r="I47" s="59"/>
    </row>
    <row r="48" spans="3:9">
      <c r="C48" s="23"/>
      <c r="F48" s="23" t="s">
        <v>107</v>
      </c>
      <c r="G48" s="55">
        <f>2*G47/(E9/1000)</f>
        <v>0.44579136210836345</v>
      </c>
      <c r="I48" s="59"/>
    </row>
    <row r="49" spans="2:9">
      <c r="C49" s="23"/>
      <c r="F49" s="56" t="s">
        <v>108</v>
      </c>
      <c r="G49" s="57">
        <f>G46+G48</f>
        <v>3.3155876871083643</v>
      </c>
      <c r="I49" s="59"/>
    </row>
    <row r="50" spans="2:9">
      <c r="C50" s="23"/>
      <c r="F50" s="23"/>
      <c r="G50" s="55"/>
      <c r="I50" s="59"/>
    </row>
    <row r="51" spans="2:9">
      <c r="C51" s="23"/>
      <c r="F51" s="23"/>
      <c r="G51" s="55"/>
      <c r="I51" s="59"/>
    </row>
    <row r="52" spans="2:9">
      <c r="C52" s="23"/>
      <c r="F52" s="23"/>
      <c r="G52" s="55"/>
      <c r="I52" s="59"/>
    </row>
    <row r="53" spans="2:9">
      <c r="B53" s="46" t="s">
        <v>122</v>
      </c>
      <c r="C53" s="40" t="s">
        <v>52</v>
      </c>
      <c r="F53" s="23"/>
      <c r="G53" s="55"/>
      <c r="I53" s="59"/>
    </row>
    <row r="54" spans="2:9">
      <c r="D54" s="23" t="s">
        <v>113</v>
      </c>
      <c r="E54" s="60">
        <f>G34</f>
        <v>-8.1202707499173936</v>
      </c>
      <c r="G54" s="56" t="s">
        <v>112</v>
      </c>
      <c r="H54" s="60">
        <f>G44</f>
        <v>-4.5007931859778587</v>
      </c>
    </row>
    <row r="55" spans="2:9">
      <c r="C55" s="23"/>
      <c r="D55" s="23" t="s">
        <v>114</v>
      </c>
      <c r="E55" s="60">
        <f>G39</f>
        <v>6.1239702396312126</v>
      </c>
      <c r="G55" s="23" t="s">
        <v>111</v>
      </c>
      <c r="H55" s="60">
        <f>G49</f>
        <v>3.3155876871083643</v>
      </c>
      <c r="I55" s="59"/>
    </row>
    <row r="56" spans="2:9">
      <c r="C56" s="23"/>
      <c r="I56" s="59"/>
    </row>
    <row r="58" spans="2:9">
      <c r="B58" s="23"/>
      <c r="C58" s="23" t="s">
        <v>53</v>
      </c>
      <c r="D58" s="42">
        <v>195</v>
      </c>
      <c r="E58" s="40" t="s">
        <v>6</v>
      </c>
      <c r="G58" s="23" t="s">
        <v>33</v>
      </c>
      <c r="H58" s="61">
        <f>D14</f>
        <v>200</v>
      </c>
      <c r="I58" s="40" t="s">
        <v>15</v>
      </c>
    </row>
    <row r="59" spans="2:9">
      <c r="B59" s="22"/>
      <c r="C59" s="40" t="s">
        <v>65</v>
      </c>
    </row>
    <row r="60" spans="2:9">
      <c r="B60" s="22"/>
      <c r="C60" s="22" t="s">
        <v>63</v>
      </c>
      <c r="D60" s="22" t="s">
        <v>57</v>
      </c>
      <c r="E60" s="22" t="s">
        <v>58</v>
      </c>
      <c r="F60" s="22" t="s">
        <v>61</v>
      </c>
      <c r="G60" s="22" t="s">
        <v>60</v>
      </c>
      <c r="H60" s="22" t="s">
        <v>54</v>
      </c>
      <c r="I60" s="22" t="s">
        <v>59</v>
      </c>
    </row>
    <row r="61" spans="2:9">
      <c r="B61" s="22"/>
      <c r="C61" s="22" t="s">
        <v>62</v>
      </c>
      <c r="D61" s="22" t="s">
        <v>55</v>
      </c>
      <c r="E61" s="22" t="s">
        <v>143</v>
      </c>
      <c r="F61" s="42">
        <v>30</v>
      </c>
      <c r="G61" s="22">
        <f>slab_dt_out(E61,F61)</f>
        <v>37</v>
      </c>
      <c r="H61" s="22">
        <f>H58-G61</f>
        <v>163</v>
      </c>
      <c r="I61" s="62">
        <f>H61*7/8</f>
        <v>142.625</v>
      </c>
    </row>
    <row r="62" spans="2:9">
      <c r="B62" s="22"/>
      <c r="C62" s="22" t="s">
        <v>62</v>
      </c>
      <c r="D62" s="22" t="s">
        <v>56</v>
      </c>
      <c r="E62" s="22" t="s">
        <v>143</v>
      </c>
      <c r="F62" s="42">
        <v>30</v>
      </c>
      <c r="G62" s="22">
        <f t="shared" ref="G62" si="0">slab_dt_out(E62,F62)</f>
        <v>37</v>
      </c>
      <c r="H62" s="22">
        <f>H58-G62</f>
        <v>163</v>
      </c>
      <c r="I62" s="62">
        <f>H62*7/8</f>
        <v>142.625</v>
      </c>
    </row>
    <row r="63" spans="2:9">
      <c r="B63" s="22"/>
      <c r="C63" s="22" t="s">
        <v>64</v>
      </c>
      <c r="D63" s="22" t="s">
        <v>55</v>
      </c>
      <c r="E63" s="22" t="s">
        <v>143</v>
      </c>
      <c r="F63" s="42">
        <v>30</v>
      </c>
      <c r="G63" s="22">
        <f>slab_dt_in(E63,G61)</f>
        <v>51</v>
      </c>
      <c r="H63" s="22">
        <f>H58-G63</f>
        <v>149</v>
      </c>
      <c r="I63" s="62">
        <f>H63*7/8</f>
        <v>130.375</v>
      </c>
    </row>
    <row r="64" spans="2:9">
      <c r="B64" s="22"/>
      <c r="C64" s="22" t="s">
        <v>64</v>
      </c>
      <c r="D64" s="22" t="s">
        <v>56</v>
      </c>
      <c r="E64" s="22" t="s">
        <v>143</v>
      </c>
      <c r="F64" s="42">
        <v>30</v>
      </c>
      <c r="G64" s="22">
        <f>slab_dt_in(E64,G62)</f>
        <v>51</v>
      </c>
      <c r="H64" s="22">
        <f>H58-G64</f>
        <v>149</v>
      </c>
      <c r="I64" s="62">
        <f>H64*7/8</f>
        <v>130.375</v>
      </c>
    </row>
    <row r="65" spans="2:10">
      <c r="B65" s="22"/>
      <c r="C65" s="40" t="s">
        <v>46</v>
      </c>
    </row>
    <row r="66" spans="2:10">
      <c r="B66" s="22"/>
      <c r="C66" s="23" t="s">
        <v>48</v>
      </c>
      <c r="E66" s="23" t="s">
        <v>71</v>
      </c>
      <c r="F66" s="63">
        <f>ABS(E54)*1000*1000/(D58*I61)</f>
        <v>291.971352162247</v>
      </c>
      <c r="G66" s="23" t="s">
        <v>67</v>
      </c>
      <c r="H66" s="22">
        <f>Bar_1(E61,1)</f>
        <v>127</v>
      </c>
      <c r="I66" s="46" t="s">
        <v>75</v>
      </c>
      <c r="J66" s="64">
        <f>1000/(F66/H66)</f>
        <v>434.97418174584038</v>
      </c>
    </row>
    <row r="67" spans="2:10">
      <c r="B67" s="22"/>
      <c r="C67" s="23" t="s">
        <v>49</v>
      </c>
      <c r="E67" s="23" t="s">
        <v>72</v>
      </c>
      <c r="F67" s="63">
        <f>ABS(E55)*1000*1000/(D58*I62)</f>
        <v>220.19264215847411</v>
      </c>
      <c r="G67" s="23" t="s">
        <v>68</v>
      </c>
      <c r="H67" s="22">
        <f>Bar_1(E62,1)</f>
        <v>127</v>
      </c>
      <c r="I67" s="46" t="s">
        <v>75</v>
      </c>
      <c r="J67" s="64">
        <f t="shared" ref="J67:J70" si="1">1000/(F67/H67)</f>
        <v>576.76768285743742</v>
      </c>
    </row>
    <row r="68" spans="2:10">
      <c r="B68" s="22"/>
      <c r="C68" s="40" t="s">
        <v>47</v>
      </c>
      <c r="E68" s="23"/>
      <c r="F68" s="63"/>
      <c r="H68" s="22"/>
      <c r="I68" s="46"/>
      <c r="J68" s="64"/>
    </row>
    <row r="69" spans="2:10">
      <c r="B69" s="22"/>
      <c r="C69" s="23" t="s">
        <v>48</v>
      </c>
      <c r="E69" s="23" t="s">
        <v>73</v>
      </c>
      <c r="F69" s="63">
        <f>ABS(H54)*1000*1000/(D58*I63)</f>
        <v>177.03540323928939</v>
      </c>
      <c r="G69" s="23" t="s">
        <v>69</v>
      </c>
      <c r="H69" s="22">
        <f t="shared" ref="H69" si="2">Bar_1(E64,1)</f>
        <v>127</v>
      </c>
      <c r="I69" s="46" t="s">
        <v>75</v>
      </c>
      <c r="J69" s="64">
        <f t="shared" si="1"/>
        <v>717.37063703772753</v>
      </c>
    </row>
    <row r="70" spans="2:10">
      <c r="B70" s="22"/>
      <c r="C70" s="23" t="s">
        <v>49</v>
      </c>
      <c r="E70" s="23" t="s">
        <v>74</v>
      </c>
      <c r="F70" s="63">
        <f>ABS(H55)*1000*1000/(D58*I64)</f>
        <v>130.4162130779896</v>
      </c>
      <c r="G70" s="23" t="s">
        <v>70</v>
      </c>
      <c r="H70" s="22">
        <f>Bar_1(E64,1)</f>
        <v>127</v>
      </c>
      <c r="I70" s="46" t="s">
        <v>75</v>
      </c>
      <c r="J70" s="64">
        <f t="shared" si="1"/>
        <v>973.80530382409825</v>
      </c>
    </row>
    <row r="71" spans="2:10">
      <c r="B71" s="23" t="s">
        <v>80</v>
      </c>
      <c r="C71" s="40" t="s">
        <v>81</v>
      </c>
    </row>
    <row r="72" spans="2:10" ht="18.75" customHeight="1">
      <c r="B72" s="22"/>
      <c r="C72" s="69" t="s">
        <v>77</v>
      </c>
      <c r="D72" s="69"/>
      <c r="E72" s="69"/>
      <c r="F72" s="69"/>
      <c r="G72" s="69" t="s">
        <v>78</v>
      </c>
      <c r="H72" s="69"/>
      <c r="I72" s="69"/>
      <c r="J72" s="69"/>
    </row>
    <row r="73" spans="2:10" ht="18.75" customHeight="1">
      <c r="B73" s="22"/>
      <c r="C73" s="69" t="s">
        <v>76</v>
      </c>
      <c r="D73" s="69"/>
      <c r="E73" s="69" t="s">
        <v>49</v>
      </c>
      <c r="F73" s="69"/>
      <c r="G73" s="69" t="s">
        <v>76</v>
      </c>
      <c r="H73" s="69"/>
      <c r="I73" s="69" t="s">
        <v>49</v>
      </c>
      <c r="J73" s="69"/>
    </row>
    <row r="74" spans="2:10">
      <c r="B74" s="23" t="s">
        <v>55</v>
      </c>
      <c r="C74" s="36" t="str">
        <f>_xlfn.TEXTJOIN(,,E61,"@")</f>
        <v>D13@</v>
      </c>
      <c r="D74" s="28">
        <v>200</v>
      </c>
      <c r="E74" s="31"/>
      <c r="F74" s="37"/>
      <c r="G74" s="24" t="str">
        <f>_xlfn.TEXTJOIN(,,E63,"@")</f>
        <v>D13@</v>
      </c>
      <c r="H74" s="25">
        <v>200</v>
      </c>
      <c r="I74" s="38"/>
      <c r="J74" s="38"/>
    </row>
    <row r="75" spans="2:10">
      <c r="B75" s="23" t="s">
        <v>56</v>
      </c>
      <c r="C75" s="39"/>
      <c r="D75" s="30"/>
      <c r="E75" s="27" t="str">
        <f>_xlfn.TEXTJOIN(,,E62,"@")</f>
        <v>D13@</v>
      </c>
      <c r="F75" s="28">
        <v>200</v>
      </c>
      <c r="G75" s="38"/>
      <c r="H75" s="24"/>
      <c r="I75" s="24" t="str">
        <f>_xlfn.TEXTJOIN(,,E64,"@")</f>
        <v>D13@</v>
      </c>
      <c r="J75" s="25">
        <v>200</v>
      </c>
    </row>
    <row r="76" spans="2:10">
      <c r="B76" s="22"/>
      <c r="F76" s="22"/>
      <c r="H76" s="23"/>
    </row>
    <row r="77" spans="2:10">
      <c r="B77" s="22"/>
    </row>
    <row r="78" spans="2:10">
      <c r="B78" s="22"/>
    </row>
    <row r="79" spans="2:10">
      <c r="B79" s="22"/>
      <c r="H79" s="43"/>
    </row>
    <row r="80" spans="2:10">
      <c r="F80" s="22"/>
      <c r="H80" s="43"/>
    </row>
    <row r="84" spans="3:6">
      <c r="C84" s="65"/>
    </row>
    <row r="85" spans="3:6">
      <c r="C85" s="65"/>
    </row>
    <row r="87" spans="3:6">
      <c r="F87" s="23"/>
    </row>
  </sheetData>
  <mergeCells count="6">
    <mergeCell ref="C72:F72"/>
    <mergeCell ref="G72:J72"/>
    <mergeCell ref="C73:D73"/>
    <mergeCell ref="E73:F73"/>
    <mergeCell ref="G73:H73"/>
    <mergeCell ref="I73:J73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200C-32E4-418E-9EB9-64A9CB30F3BF}">
  <sheetPr codeName="Sheet2"/>
  <dimension ref="B1:J64"/>
  <sheetViews>
    <sheetView workbookViewId="0">
      <selection activeCell="I56" sqref="I56"/>
    </sheetView>
  </sheetViews>
  <sheetFormatPr defaultColWidth="9" defaultRowHeight="15"/>
  <cols>
    <col min="1" max="1" width="4.3984375" style="2" customWidth="1"/>
    <col min="2" max="11" width="8.5976562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f>I3</f>
        <v>5000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f>I4</f>
        <v>6500</v>
      </c>
      <c r="F9" s="2" t="s">
        <v>23</v>
      </c>
    </row>
    <row r="10" spans="2:10">
      <c r="D10" s="2" t="s">
        <v>24</v>
      </c>
      <c r="E10" s="8">
        <f>E9/E8</f>
        <v>1.3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152.57144165039063</v>
      </c>
    </row>
    <row r="13" spans="2:10">
      <c r="B13" s="1"/>
      <c r="C13" s="1" t="s">
        <v>33</v>
      </c>
      <c r="D13" s="12">
        <v>150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6.3999999999999995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1.1233800147825854</v>
      </c>
      <c r="J17" s="2" t="s">
        <v>23</v>
      </c>
    </row>
    <row r="18" spans="2:10">
      <c r="D18" s="1" t="s">
        <v>40</v>
      </c>
      <c r="E18" s="14">
        <f>16*I17</f>
        <v>17.974080236521367</v>
      </c>
      <c r="F18" s="3" t="str">
        <f>IF(E18&lt;=G18,"&lt;=","NG")</f>
        <v>&lt;=</v>
      </c>
      <c r="G18" s="3">
        <f>E8/250</f>
        <v>20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92</v>
      </c>
      <c r="F20" s="3">
        <v>50</v>
      </c>
      <c r="G20" s="2" t="s">
        <v>37</v>
      </c>
      <c r="H20" s="15"/>
    </row>
    <row r="21" spans="2:10">
      <c r="F21" s="1" t="s">
        <v>82</v>
      </c>
      <c r="G21" s="34" cm="1">
        <f t="array" ref="G21">slab_v_p(E8,E9,F20,1)</f>
        <v>18.516765644044501</v>
      </c>
      <c r="H21" s="2" t="s">
        <v>37</v>
      </c>
      <c r="I21" s="5"/>
    </row>
    <row r="22" spans="2:10">
      <c r="F22" s="1" t="s">
        <v>83</v>
      </c>
      <c r="G22" s="34" cm="1">
        <f t="array" ref="G22">slab_v_p(E8,E9,F20,2)</f>
        <v>6.4832343559554984</v>
      </c>
      <c r="I22" s="5"/>
    </row>
    <row r="23" spans="2:10">
      <c r="C23" s="2" t="s">
        <v>46</v>
      </c>
      <c r="H23" s="17" cm="1">
        <f t="array" ref="H23">slab_p_M(E8/1000,E9/1000,G21,G22,5)</f>
        <v>0.87825926598261339</v>
      </c>
    </row>
    <row r="24" spans="2:10">
      <c r="C24" s="1" t="s">
        <v>48</v>
      </c>
      <c r="F24" s="6"/>
      <c r="G24" s="1" t="s">
        <v>84</v>
      </c>
      <c r="H24" s="35" cm="1">
        <f t="array" ref="H24">slab_p_M(E8/1000,E9/1000,G21,G22,1)</f>
        <v>-23.145957055055625</v>
      </c>
      <c r="I24" s="2" t="s">
        <v>50</v>
      </c>
    </row>
    <row r="25" spans="2:10">
      <c r="C25" s="1" t="s">
        <v>49</v>
      </c>
      <c r="G25" s="1" t="s">
        <v>85</v>
      </c>
      <c r="H25" s="35" cm="1">
        <f t="array" ref="H25">slab_p_M(E8/1000,E9/1000,G21,G22,2)</f>
        <v>22.700634856411057</v>
      </c>
      <c r="I25" s="2" t="s">
        <v>50</v>
      </c>
    </row>
    <row r="26" spans="2:10">
      <c r="C26" s="2" t="s">
        <v>47</v>
      </c>
      <c r="G26" s="17"/>
    </row>
    <row r="27" spans="2:10">
      <c r="C27" s="1" t="s">
        <v>48</v>
      </c>
      <c r="G27" s="1" t="s">
        <v>86</v>
      </c>
      <c r="H27" s="33" cm="1">
        <f t="array" ref="H27">slab_p_M(E8/1000,E9/1000,G21,G22,3)</f>
        <v>-10.535255828427685</v>
      </c>
      <c r="I27" s="2" t="s">
        <v>50</v>
      </c>
    </row>
    <row r="28" spans="2:10">
      <c r="C28" s="1" t="s">
        <v>49</v>
      </c>
      <c r="G28" s="1" t="s">
        <v>87</v>
      </c>
      <c r="H28" s="17" cm="1">
        <f t="array" ref="H28">slab_p_M(E8/1000,E9/1000,G21,G22,4)</f>
        <v>16.028736468693364</v>
      </c>
      <c r="I28" s="2" t="s">
        <v>50</v>
      </c>
    </row>
    <row r="29" spans="2:10">
      <c r="C29" s="1"/>
      <c r="G29" s="1"/>
      <c r="H29" s="17"/>
    </row>
    <row r="30" spans="2:10">
      <c r="C30" s="1"/>
      <c r="G30" s="1" t="s">
        <v>88</v>
      </c>
      <c r="H30" s="17">
        <f>2*H24/(E9/1000)</f>
        <v>-7.1218329400171152</v>
      </c>
    </row>
    <row r="31" spans="2:10">
      <c r="C31" s="1"/>
      <c r="G31" s="1" t="s">
        <v>89</v>
      </c>
      <c r="H31" s="17">
        <f>2*H25/(E9/1000)</f>
        <v>6.9848107250495559</v>
      </c>
    </row>
    <row r="32" spans="2:10">
      <c r="C32" s="1"/>
      <c r="G32" s="1" t="s">
        <v>90</v>
      </c>
      <c r="H32" s="17">
        <f>2*H27/(E8/1000)</f>
        <v>-4.2141023313710742</v>
      </c>
    </row>
    <row r="33" spans="2:10">
      <c r="C33" s="1"/>
      <c r="G33" s="1" t="s">
        <v>91</v>
      </c>
      <c r="H33" s="17">
        <f>2*H28/(E8/1000)</f>
        <v>6.4114945874773452</v>
      </c>
    </row>
    <row r="34" spans="2:10">
      <c r="B34" s="1" t="s">
        <v>51</v>
      </c>
      <c r="C34" s="2" t="s">
        <v>52</v>
      </c>
    </row>
    <row r="35" spans="2:10">
      <c r="B35" s="1"/>
      <c r="C35" s="1" t="s">
        <v>53</v>
      </c>
      <c r="D35" s="13">
        <v>195</v>
      </c>
      <c r="E35" s="2" t="s">
        <v>6</v>
      </c>
      <c r="G35" s="1" t="s">
        <v>33</v>
      </c>
      <c r="H35" s="3">
        <v>200</v>
      </c>
      <c r="I35" s="2" t="s">
        <v>15</v>
      </c>
    </row>
    <row r="36" spans="2:10">
      <c r="B36" s="3"/>
      <c r="C36" s="2" t="s">
        <v>65</v>
      </c>
    </row>
    <row r="37" spans="2:10">
      <c r="B37" s="3"/>
      <c r="C37" s="3" t="s">
        <v>63</v>
      </c>
      <c r="D37" s="3" t="s">
        <v>57</v>
      </c>
      <c r="E37" s="3" t="s">
        <v>58</v>
      </c>
      <c r="F37" s="3" t="s">
        <v>61</v>
      </c>
      <c r="G37" s="3" t="s">
        <v>60</v>
      </c>
      <c r="H37" s="3" t="s">
        <v>54</v>
      </c>
      <c r="I37" s="3" t="s">
        <v>59</v>
      </c>
    </row>
    <row r="38" spans="2:10">
      <c r="B38" s="3"/>
      <c r="C38" s="3" t="s">
        <v>62</v>
      </c>
      <c r="D38" s="3" t="s">
        <v>55</v>
      </c>
      <c r="E38" s="3" t="s">
        <v>79</v>
      </c>
      <c r="F38" s="13">
        <v>30</v>
      </c>
      <c r="G38" s="3">
        <f>slab_dt_out(E38,F38)</f>
        <v>35.5</v>
      </c>
      <c r="H38" s="3">
        <f>H35-G38</f>
        <v>164.5</v>
      </c>
      <c r="I38" s="18">
        <f>H38*7/8</f>
        <v>143.9375</v>
      </c>
    </row>
    <row r="39" spans="2:10">
      <c r="B39" s="3"/>
      <c r="C39" s="3" t="s">
        <v>62</v>
      </c>
      <c r="D39" s="3" t="s">
        <v>56</v>
      </c>
      <c r="E39" s="3" t="s">
        <v>79</v>
      </c>
      <c r="F39" s="13">
        <v>30</v>
      </c>
      <c r="G39" s="3">
        <f t="shared" ref="G39" si="0">slab_dt_out(E39,F39)</f>
        <v>35.5</v>
      </c>
      <c r="H39" s="3">
        <f>H35-G39</f>
        <v>164.5</v>
      </c>
      <c r="I39" s="18">
        <f>H39*7/8</f>
        <v>143.9375</v>
      </c>
    </row>
    <row r="40" spans="2:10">
      <c r="B40" s="3"/>
      <c r="C40" s="3" t="s">
        <v>64</v>
      </c>
      <c r="D40" s="3" t="s">
        <v>55</v>
      </c>
      <c r="E40" s="3" t="s">
        <v>79</v>
      </c>
      <c r="F40" s="13">
        <v>30</v>
      </c>
      <c r="G40" s="3">
        <f>slab_dt_in(E40,G38)</f>
        <v>46.5</v>
      </c>
      <c r="H40" s="3">
        <f>H35-G40</f>
        <v>153.5</v>
      </c>
      <c r="I40" s="18">
        <f>H40*7/8</f>
        <v>134.3125</v>
      </c>
    </row>
    <row r="41" spans="2:10">
      <c r="B41" s="3"/>
      <c r="C41" s="3" t="s">
        <v>64</v>
      </c>
      <c r="D41" s="3" t="s">
        <v>56</v>
      </c>
      <c r="E41" s="3" t="s">
        <v>79</v>
      </c>
      <c r="F41" s="13">
        <v>30</v>
      </c>
      <c r="G41" s="3">
        <f>slab_dt_in(E41,G39)</f>
        <v>46.5</v>
      </c>
      <c r="H41" s="3">
        <f>H35-G41</f>
        <v>153.5</v>
      </c>
      <c r="I41" s="18">
        <f>H41*7/8</f>
        <v>134.3125</v>
      </c>
    </row>
    <row r="42" spans="2:10">
      <c r="B42" s="3"/>
      <c r="C42" s="2" t="s">
        <v>46</v>
      </c>
    </row>
    <row r="43" spans="2:10">
      <c r="B43" s="3"/>
      <c r="C43" s="1" t="s">
        <v>48</v>
      </c>
      <c r="E43" s="1" t="s">
        <v>71</v>
      </c>
      <c r="F43" s="19">
        <f>ABS(H30)*1000*1000/(D35*I38)</f>
        <v>253.73665796068417</v>
      </c>
      <c r="G43" s="1" t="s">
        <v>67</v>
      </c>
      <c r="H43" s="3">
        <f>Bar_1(E38,1)</f>
        <v>71</v>
      </c>
      <c r="I43" s="20" t="s">
        <v>75</v>
      </c>
      <c r="J43" s="21">
        <f>1000/(F43/H43)</f>
        <v>279.81766832840236</v>
      </c>
    </row>
    <row r="44" spans="2:10">
      <c r="B44" s="3"/>
      <c r="C44" s="1" t="s">
        <v>49</v>
      </c>
      <c r="E44" s="1" t="s">
        <v>72</v>
      </c>
      <c r="F44" s="19">
        <f>ABS(H31)*1000*1000/(D35*I39)</f>
        <v>248.85483060176335</v>
      </c>
      <c r="G44" s="1" t="s">
        <v>68</v>
      </c>
      <c r="H44" s="3">
        <f>Bar_1(E39,1)</f>
        <v>71</v>
      </c>
      <c r="I44" s="20" t="s">
        <v>75</v>
      </c>
      <c r="J44" s="21">
        <f t="shared" ref="J44:J47" si="1">1000/(F44/H44)</f>
        <v>285.30689891899129</v>
      </c>
    </row>
    <row r="45" spans="2:10">
      <c r="B45" s="3"/>
      <c r="C45" s="2" t="s">
        <v>47</v>
      </c>
      <c r="E45" s="1"/>
      <c r="F45" s="19"/>
      <c r="H45" s="3"/>
      <c r="I45" s="20"/>
      <c r="J45" s="21"/>
    </row>
    <row r="46" spans="2:10">
      <c r="B46" s="3"/>
      <c r="C46" s="1" t="s">
        <v>48</v>
      </c>
      <c r="E46" s="1" t="s">
        <v>73</v>
      </c>
      <c r="F46" s="19">
        <f>ABS(H32)*1000*1000/(D35*I40)</f>
        <v>160.8992549950178</v>
      </c>
      <c r="G46" s="1" t="s">
        <v>69</v>
      </c>
      <c r="H46" s="3">
        <f t="shared" ref="H46" si="2">Bar_1(E41,1)</f>
        <v>71</v>
      </c>
      <c r="I46" s="20" t="s">
        <v>75</v>
      </c>
      <c r="J46" s="21">
        <f t="shared" si="1"/>
        <v>441.26991142500003</v>
      </c>
    </row>
    <row r="47" spans="2:10">
      <c r="B47" s="3"/>
      <c r="C47" s="1" t="s">
        <v>49</v>
      </c>
      <c r="E47" s="1" t="s">
        <v>74</v>
      </c>
      <c r="F47" s="19">
        <f>ABS(H33)*1000*1000/(D35*I41)</f>
        <v>244.79820882613862</v>
      </c>
      <c r="G47" s="1" t="s">
        <v>70</v>
      </c>
      <c r="H47" s="3">
        <f>Bar_1(E41,1)</f>
        <v>71</v>
      </c>
      <c r="I47" s="20" t="s">
        <v>75</v>
      </c>
      <c r="J47" s="21">
        <f t="shared" si="1"/>
        <v>290.03480189034326</v>
      </c>
    </row>
    <row r="48" spans="2:10">
      <c r="B48" s="1" t="s">
        <v>80</v>
      </c>
      <c r="C48" s="2" t="s">
        <v>81</v>
      </c>
    </row>
    <row r="49" spans="2:10" ht="18.75" customHeight="1">
      <c r="B49" s="22"/>
      <c r="C49" s="69" t="s">
        <v>77</v>
      </c>
      <c r="D49" s="69"/>
      <c r="E49" s="69"/>
      <c r="F49" s="69"/>
      <c r="G49" s="69" t="s">
        <v>78</v>
      </c>
      <c r="H49" s="69"/>
      <c r="I49" s="69"/>
      <c r="J49" s="69"/>
    </row>
    <row r="50" spans="2:10" ht="18.75" customHeight="1">
      <c r="B50" s="22"/>
      <c r="C50" s="69" t="s">
        <v>76</v>
      </c>
      <c r="D50" s="69"/>
      <c r="E50" s="69" t="s">
        <v>49</v>
      </c>
      <c r="F50" s="69"/>
      <c r="G50" s="69" t="s">
        <v>76</v>
      </c>
      <c r="H50" s="69"/>
      <c r="I50" s="69" t="s">
        <v>49</v>
      </c>
      <c r="J50" s="69"/>
    </row>
    <row r="51" spans="2:10">
      <c r="B51" s="23" t="s">
        <v>55</v>
      </c>
      <c r="C51" s="27" t="str">
        <f>_xlfn.TEXTJOIN(,,E38,"@")</f>
        <v>D10@</v>
      </c>
      <c r="D51" s="28">
        <v>200</v>
      </c>
      <c r="E51" s="31"/>
      <c r="F51" s="32"/>
      <c r="G51" s="24" t="str">
        <f>_xlfn.TEXTJOIN(,,E40,"@")</f>
        <v>D10@</v>
      </c>
      <c r="H51" s="25">
        <v>250</v>
      </c>
      <c r="I51" s="26"/>
      <c r="J51" s="26"/>
    </row>
    <row r="52" spans="2:10">
      <c r="B52" s="23" t="s">
        <v>56</v>
      </c>
      <c r="C52" s="29"/>
      <c r="D52" s="30"/>
      <c r="E52" s="27" t="str">
        <f>_xlfn.TEXTJOIN(,,E39,"@")</f>
        <v>D10@</v>
      </c>
      <c r="F52" s="28">
        <v>200</v>
      </c>
      <c r="G52" s="26"/>
      <c r="H52" s="24"/>
      <c r="I52" s="24" t="str">
        <f>_xlfn.TEXTJOIN(,,E41,"@")</f>
        <v>D10@</v>
      </c>
      <c r="J52" s="25">
        <v>250</v>
      </c>
    </row>
    <row r="53" spans="2:10">
      <c r="B53" s="3"/>
      <c r="F53" s="3"/>
      <c r="H53" s="1"/>
    </row>
    <row r="54" spans="2:10">
      <c r="B54" s="3"/>
    </row>
    <row r="55" spans="2:10">
      <c r="B55" s="3"/>
    </row>
    <row r="56" spans="2:10">
      <c r="B56" s="3"/>
      <c r="H56" s="4"/>
    </row>
    <row r="57" spans="2:10">
      <c r="F57" s="3"/>
      <c r="H57" s="4"/>
    </row>
    <row r="61" spans="2:10">
      <c r="C61" s="7"/>
    </row>
    <row r="62" spans="2:10">
      <c r="C62" s="7"/>
    </row>
    <row r="64" spans="2:10">
      <c r="F64" s="1"/>
    </row>
  </sheetData>
  <mergeCells count="6">
    <mergeCell ref="C49:F49"/>
    <mergeCell ref="G49:J49"/>
    <mergeCell ref="C50:D50"/>
    <mergeCell ref="E50:F50"/>
    <mergeCell ref="G50:H50"/>
    <mergeCell ref="I50:J50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BE42-58AD-4F3E-8BCA-C7B7097BA3D9}">
  <sheetPr codeName="Sheet1"/>
  <dimension ref="B1:J58"/>
  <sheetViews>
    <sheetView workbookViewId="0">
      <selection activeCell="I18" sqref="I18"/>
    </sheetView>
  </sheetViews>
  <sheetFormatPr defaultColWidth="9" defaultRowHeight="15"/>
  <cols>
    <col min="1" max="1" width="4.3984375" style="2" customWidth="1"/>
    <col min="2" max="11" width="8.5976562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v>4500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v>6000</v>
      </c>
      <c r="F9" s="2" t="s">
        <v>23</v>
      </c>
    </row>
    <row r="10" spans="2:10">
      <c r="D10" s="2" t="s">
        <v>24</v>
      </c>
      <c r="E10" s="8">
        <f>E9/E8</f>
        <v>1.3333333333333333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134.46817016601563</v>
      </c>
    </row>
    <row r="13" spans="2:10">
      <c r="B13" s="1"/>
      <c r="C13" s="1" t="s">
        <v>33</v>
      </c>
      <c r="D13" s="12">
        <v>200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7.6000000000000005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0.37870329406531833</v>
      </c>
      <c r="J17" s="2" t="s">
        <v>23</v>
      </c>
    </row>
    <row r="18" spans="2:10">
      <c r="D18" s="1" t="s">
        <v>40</v>
      </c>
      <c r="E18" s="14">
        <f>16*I17</f>
        <v>6.0592527050450933</v>
      </c>
      <c r="F18" s="3" t="str">
        <f>IF(E18&lt;=G18,"&lt;=","NG")</f>
        <v>&lt;=</v>
      </c>
      <c r="G18" s="3">
        <f>E8/250</f>
        <v>18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34</v>
      </c>
      <c r="F20" s="3">
        <f>+E16</f>
        <v>7.6000000000000005</v>
      </c>
      <c r="G20" s="2" t="s">
        <v>37</v>
      </c>
      <c r="H20" s="15"/>
    </row>
    <row r="21" spans="2:10">
      <c r="F21" s="1" t="s">
        <v>0</v>
      </c>
      <c r="G21" s="16">
        <f>slab_wx(E8,E9,F20)</f>
        <v>5.7732937685459946</v>
      </c>
      <c r="H21" s="2" t="s">
        <v>45</v>
      </c>
      <c r="I21" s="5"/>
    </row>
    <row r="22" spans="2:10">
      <c r="C22" s="2" t="s">
        <v>46</v>
      </c>
    </row>
    <row r="23" spans="2:10">
      <c r="C23" s="1" t="s">
        <v>48</v>
      </c>
      <c r="E23" s="6"/>
      <c r="F23" s="1" t="s">
        <v>1</v>
      </c>
      <c r="G23" s="17">
        <f>slab_m4(E8,E9,F20,1)</f>
        <v>-9.742433234421366</v>
      </c>
      <c r="H23" s="2" t="s">
        <v>50</v>
      </c>
      <c r="I23" s="5"/>
    </row>
    <row r="24" spans="2:10">
      <c r="C24" s="1" t="s">
        <v>49</v>
      </c>
      <c r="F24" s="1" t="s">
        <v>2</v>
      </c>
      <c r="G24" s="17">
        <f>slab_m4(E8,E9,F20,2)</f>
        <v>6.4949554896142434</v>
      </c>
      <c r="H24" s="2" t="s">
        <v>50</v>
      </c>
      <c r="I24" s="5"/>
    </row>
    <row r="25" spans="2:10">
      <c r="C25" s="2" t="s">
        <v>47</v>
      </c>
      <c r="G25" s="17"/>
    </row>
    <row r="26" spans="2:10">
      <c r="C26" s="1" t="s">
        <v>48</v>
      </c>
      <c r="F26" s="1" t="s">
        <v>3</v>
      </c>
      <c r="G26" s="17">
        <f>slab_m4(E8,E9,F20,3)</f>
        <v>-6.4124999999999996</v>
      </c>
      <c r="H26" s="2" t="s">
        <v>50</v>
      </c>
      <c r="I26" s="5"/>
    </row>
    <row r="27" spans="2:10">
      <c r="C27" s="1" t="s">
        <v>49</v>
      </c>
      <c r="F27" s="1" t="s">
        <v>4</v>
      </c>
      <c r="G27" s="17">
        <f>slab_m4(E8,E9,F20,4)</f>
        <v>4.2750000000000004</v>
      </c>
      <c r="H27" s="2" t="s">
        <v>50</v>
      </c>
      <c r="I27" s="5"/>
    </row>
    <row r="28" spans="2:10">
      <c r="B28" s="1" t="s">
        <v>51</v>
      </c>
      <c r="C28" s="2" t="s">
        <v>52</v>
      </c>
    </row>
    <row r="29" spans="2:10">
      <c r="B29" s="1"/>
      <c r="C29" s="1" t="s">
        <v>53</v>
      </c>
      <c r="D29" s="13">
        <v>195</v>
      </c>
      <c r="E29" s="2" t="s">
        <v>6</v>
      </c>
      <c r="G29" s="1" t="s">
        <v>33</v>
      </c>
      <c r="H29" s="3">
        <v>200</v>
      </c>
      <c r="I29" s="2" t="s">
        <v>15</v>
      </c>
    </row>
    <row r="30" spans="2:10">
      <c r="B30" s="3"/>
      <c r="C30" s="2" t="s">
        <v>65</v>
      </c>
    </row>
    <row r="31" spans="2:10">
      <c r="B31" s="3"/>
      <c r="C31" s="3" t="s">
        <v>63</v>
      </c>
      <c r="D31" s="3" t="s">
        <v>57</v>
      </c>
      <c r="E31" s="3" t="s">
        <v>58</v>
      </c>
      <c r="F31" s="3" t="s">
        <v>61</v>
      </c>
      <c r="G31" s="3" t="s">
        <v>60</v>
      </c>
      <c r="H31" s="3" t="s">
        <v>54</v>
      </c>
      <c r="I31" s="3" t="s">
        <v>59</v>
      </c>
    </row>
    <row r="32" spans="2:10">
      <c r="B32" s="3"/>
      <c r="C32" s="3" t="s">
        <v>62</v>
      </c>
      <c r="D32" s="3" t="s">
        <v>55</v>
      </c>
      <c r="E32" s="3" t="s">
        <v>79</v>
      </c>
      <c r="F32" s="13">
        <v>30</v>
      </c>
      <c r="G32" s="3">
        <f>slab_dt_out(E32,F32)</f>
        <v>35.5</v>
      </c>
      <c r="H32" s="3">
        <f>H29-G32</f>
        <v>164.5</v>
      </c>
      <c r="I32" s="18">
        <f>H32*7/8</f>
        <v>143.9375</v>
      </c>
    </row>
    <row r="33" spans="2:10">
      <c r="B33" s="3"/>
      <c r="C33" s="3" t="s">
        <v>62</v>
      </c>
      <c r="D33" s="3" t="s">
        <v>56</v>
      </c>
      <c r="E33" s="3" t="s">
        <v>79</v>
      </c>
      <c r="F33" s="13">
        <v>30</v>
      </c>
      <c r="G33" s="3">
        <f t="shared" ref="G33" si="0">slab_dt_out(E33,F33)</f>
        <v>35.5</v>
      </c>
      <c r="H33" s="3">
        <f>H29-G33</f>
        <v>164.5</v>
      </c>
      <c r="I33" s="18">
        <f>H33*7/8</f>
        <v>143.9375</v>
      </c>
    </row>
    <row r="34" spans="2:10">
      <c r="B34" s="3"/>
      <c r="C34" s="3" t="s">
        <v>64</v>
      </c>
      <c r="D34" s="3" t="s">
        <v>55</v>
      </c>
      <c r="E34" s="3" t="s">
        <v>79</v>
      </c>
      <c r="F34" s="13">
        <v>30</v>
      </c>
      <c r="G34" s="3">
        <f>slab_dt_in(E34,G32)</f>
        <v>46.5</v>
      </c>
      <c r="H34" s="3">
        <f>H29-G34</f>
        <v>153.5</v>
      </c>
      <c r="I34" s="18">
        <f>H34*7/8</f>
        <v>134.3125</v>
      </c>
    </row>
    <row r="35" spans="2:10">
      <c r="B35" s="3"/>
      <c r="C35" s="3" t="s">
        <v>64</v>
      </c>
      <c r="D35" s="3" t="s">
        <v>56</v>
      </c>
      <c r="E35" s="3" t="s">
        <v>79</v>
      </c>
      <c r="F35" s="13">
        <v>30</v>
      </c>
      <c r="G35" s="3">
        <f>slab_dt_in(E35,G33)</f>
        <v>46.5</v>
      </c>
      <c r="H35" s="3">
        <f>H29-G35</f>
        <v>153.5</v>
      </c>
      <c r="I35" s="18">
        <f>H35*7/8</f>
        <v>134.3125</v>
      </c>
    </row>
    <row r="36" spans="2:10">
      <c r="B36" s="3"/>
      <c r="C36" s="2" t="s">
        <v>46</v>
      </c>
    </row>
    <row r="37" spans="2:10">
      <c r="B37" s="3"/>
      <c r="C37" s="1" t="s">
        <v>48</v>
      </c>
      <c r="E37" s="1" t="s">
        <v>71</v>
      </c>
      <c r="F37" s="19">
        <f>ABS(G23)*1000*1000/(D29*I32)</f>
        <v>347.10340303225854</v>
      </c>
      <c r="G37" s="1" t="s">
        <v>67</v>
      </c>
      <c r="H37" s="3">
        <f>Bar_1(E32,1)</f>
        <v>71</v>
      </c>
      <c r="I37" s="20" t="s">
        <v>75</v>
      </c>
      <c r="J37" s="21">
        <f>1000/(F37/H37)</f>
        <v>204.54999685900952</v>
      </c>
    </row>
    <row r="38" spans="2:10">
      <c r="B38" s="3"/>
      <c r="C38" s="1" t="s">
        <v>49</v>
      </c>
      <c r="E38" s="1" t="s">
        <v>72</v>
      </c>
      <c r="F38" s="19">
        <f>ABS(G24)*1000*1000/(D29*I33)</f>
        <v>231.4022686881724</v>
      </c>
      <c r="G38" s="1" t="s">
        <v>68</v>
      </c>
      <c r="H38" s="3">
        <f>Bar_1(E33,1)</f>
        <v>71</v>
      </c>
      <c r="I38" s="20" t="s">
        <v>75</v>
      </c>
      <c r="J38" s="21">
        <f t="shared" ref="J38:J41" si="1">1000/(F38/H38)</f>
        <v>306.82499528851423</v>
      </c>
    </row>
    <row r="39" spans="2:10">
      <c r="B39" s="3"/>
      <c r="C39" s="2" t="s">
        <v>47</v>
      </c>
      <c r="E39" s="1"/>
      <c r="F39" s="19"/>
      <c r="H39" s="3"/>
      <c r="I39" s="20"/>
      <c r="J39" s="21"/>
    </row>
    <row r="40" spans="2:10">
      <c r="B40" s="3"/>
      <c r="C40" s="1" t="s">
        <v>48</v>
      </c>
      <c r="E40" s="1" t="s">
        <v>73</v>
      </c>
      <c r="F40" s="19">
        <f>ABS(G26)*1000*1000/(D29*I34)</f>
        <v>244.83659662812758</v>
      </c>
      <c r="G40" s="1" t="s">
        <v>69</v>
      </c>
      <c r="H40" s="3">
        <f t="shared" ref="H40" si="2">Bar_1(E35,1)</f>
        <v>71</v>
      </c>
      <c r="I40" s="20" t="s">
        <v>75</v>
      </c>
      <c r="J40" s="21">
        <f t="shared" si="1"/>
        <v>289.9893274853801</v>
      </c>
    </row>
    <row r="41" spans="2:10">
      <c r="B41" s="3"/>
      <c r="C41" s="1" t="s">
        <v>49</v>
      </c>
      <c r="E41" s="1" t="s">
        <v>74</v>
      </c>
      <c r="F41" s="19">
        <f>ABS(G27)*1000*1000/(D29*I35)</f>
        <v>163.22439775208505</v>
      </c>
      <c r="G41" s="1" t="s">
        <v>70</v>
      </c>
      <c r="H41" s="3">
        <f>Bar_1(E35,1)</f>
        <v>71</v>
      </c>
      <c r="I41" s="20" t="s">
        <v>75</v>
      </c>
      <c r="J41" s="21">
        <f t="shared" si="1"/>
        <v>434.98399122807012</v>
      </c>
    </row>
    <row r="42" spans="2:10">
      <c r="B42" s="1" t="s">
        <v>80</v>
      </c>
      <c r="C42" s="2" t="s">
        <v>81</v>
      </c>
    </row>
    <row r="43" spans="2:10" ht="18.75" customHeight="1">
      <c r="B43" s="22"/>
      <c r="C43" s="69" t="s">
        <v>77</v>
      </c>
      <c r="D43" s="69"/>
      <c r="E43" s="69"/>
      <c r="F43" s="69"/>
      <c r="G43" s="69" t="s">
        <v>78</v>
      </c>
      <c r="H43" s="69"/>
      <c r="I43" s="69"/>
      <c r="J43" s="69"/>
    </row>
    <row r="44" spans="2:10" ht="18.75" customHeight="1">
      <c r="B44" s="22"/>
      <c r="C44" s="69" t="s">
        <v>76</v>
      </c>
      <c r="D44" s="69"/>
      <c r="E44" s="69" t="s">
        <v>49</v>
      </c>
      <c r="F44" s="69"/>
      <c r="G44" s="69" t="s">
        <v>76</v>
      </c>
      <c r="H44" s="69"/>
      <c r="I44" s="69" t="s">
        <v>49</v>
      </c>
      <c r="J44" s="69"/>
    </row>
    <row r="45" spans="2:10">
      <c r="B45" s="23" t="s">
        <v>55</v>
      </c>
      <c r="C45" s="27" t="str">
        <f>_xlfn.TEXTJOIN(,,E32,"@")</f>
        <v>D10@</v>
      </c>
      <c r="D45" s="28">
        <v>200</v>
      </c>
      <c r="E45" s="31"/>
      <c r="F45" s="32"/>
      <c r="G45" s="24" t="str">
        <f>_xlfn.TEXTJOIN(,,E34,"@")</f>
        <v>D10@</v>
      </c>
      <c r="H45" s="25">
        <v>250</v>
      </c>
      <c r="I45" s="26"/>
      <c r="J45" s="26"/>
    </row>
    <row r="46" spans="2:10">
      <c r="B46" s="23" t="s">
        <v>56</v>
      </c>
      <c r="C46" s="29"/>
      <c r="D46" s="30"/>
      <c r="E46" s="27" t="str">
        <f>_xlfn.TEXTJOIN(,,E33,"@")</f>
        <v>D10@</v>
      </c>
      <c r="F46" s="28">
        <v>200</v>
      </c>
      <c r="G46" s="26"/>
      <c r="H46" s="24"/>
      <c r="I46" s="24" t="str">
        <f>_xlfn.TEXTJOIN(,,E35,"@")</f>
        <v>D10@</v>
      </c>
      <c r="J46" s="25">
        <v>250</v>
      </c>
    </row>
    <row r="47" spans="2:10">
      <c r="B47" s="3"/>
      <c r="F47" s="3"/>
      <c r="H47" s="1"/>
    </row>
    <row r="48" spans="2:10">
      <c r="B48" s="3"/>
    </row>
    <row r="49" spans="2:8">
      <c r="B49" s="3"/>
    </row>
    <row r="50" spans="2:8">
      <c r="B50" s="3"/>
      <c r="H50" s="4"/>
    </row>
    <row r="51" spans="2:8">
      <c r="F51" s="3"/>
      <c r="H51" s="4"/>
    </row>
    <row r="55" spans="2:8">
      <c r="C55" s="7"/>
    </row>
    <row r="56" spans="2:8">
      <c r="C56" s="7"/>
    </row>
    <row r="58" spans="2:8">
      <c r="F58" s="1"/>
    </row>
  </sheetData>
  <mergeCells count="6">
    <mergeCell ref="C43:F43"/>
    <mergeCell ref="G43:J43"/>
    <mergeCell ref="C44:D44"/>
    <mergeCell ref="E44:F44"/>
    <mergeCell ref="G44:H44"/>
    <mergeCell ref="I44:J44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集中荷重（無）整備場一般</vt:lpstr>
      <vt:lpstr>集中荷重（無）納車庫</vt:lpstr>
      <vt:lpstr>集中荷重（無） (2)</vt:lpstr>
      <vt:lpstr>集中荷重（無）</vt:lpstr>
      <vt:lpstr>集中荷重（有）</vt:lpstr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2022-06-28T08:36:27Z</cp:lastPrinted>
  <dcterms:created xsi:type="dcterms:W3CDTF">2020-12-23T07:00:40Z</dcterms:created>
  <dcterms:modified xsi:type="dcterms:W3CDTF">2022-07-01T07:09:50Z</dcterms:modified>
</cp:coreProperties>
</file>