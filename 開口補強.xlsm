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025134\OneDrive - DAIWA HOUSE INDUSTRY CO., LTD\excel2\RC\"/>
    </mc:Choice>
  </mc:AlternateContent>
  <xr:revisionPtr revIDLastSave="518" documentId="8_{30E9CF4B-F0AF-4BFD-9727-DACFFA2CEABB}" xr6:coauthVersionLast="36" xr6:coauthVersionMax="36" xr10:uidLastSave="{56540DFD-F880-4F52-A9F1-BB5FAE258B0B}"/>
  <bookViews>
    <workbookView xWindow="1440" yWindow="360" windowWidth="11653" windowHeight="6513" activeTab="4" xr2:uid="{00000000-000D-0000-FFFF-FFFF00000000}"/>
  </bookViews>
  <sheets>
    <sheet name="長方形　せん断" sheetId="19" r:id="rId1"/>
    <sheet name="長方形 (2)" sheetId="12" r:id="rId2"/>
    <sheet name="開口補強" sheetId="18" r:id="rId3"/>
    <sheet name="長方形梁" sheetId="11" r:id="rId4"/>
    <sheet name="Sheet1" sheetId="1" r:id="rId5"/>
    <sheet name="長方形" sheetId="4" r:id="rId6"/>
    <sheet name="円形柱の曲げ" sheetId="2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5" i="18" l="1"/>
  <c r="U6" i="18" s="1"/>
  <c r="T7" i="18" s="1"/>
  <c r="V8" i="18" s="1"/>
  <c r="V9" i="18" s="1"/>
  <c r="V10" i="18" s="1"/>
  <c r="T11" i="18" s="1"/>
  <c r="T12" i="18" s="1"/>
  <c r="T13" i="18" s="1"/>
  <c r="T14" i="18" s="1"/>
  <c r="T15" i="18" s="1"/>
  <c r="T5" i="18"/>
  <c r="T6" i="18" s="1"/>
  <c r="S7" i="18" s="1"/>
  <c r="U8" i="18" s="1"/>
  <c r="U9" i="18" s="1"/>
  <c r="U10" i="18" s="1"/>
  <c r="S11" i="18" s="1"/>
  <c r="S12" i="18" s="1"/>
  <c r="S13" i="18" s="1"/>
  <c r="S14" i="18" s="1"/>
  <c r="S15" i="18" s="1"/>
  <c r="S6" i="18"/>
  <c r="R7" i="18"/>
  <c r="T8" i="18"/>
  <c r="T9" i="18"/>
  <c r="T10" i="18"/>
  <c r="R11" i="18"/>
  <c r="R12" i="18"/>
  <c r="R13" i="18"/>
  <c r="R14" i="18"/>
  <c r="R15" i="18"/>
  <c r="S5" i="18"/>
  <c r="X5" i="18" s="1"/>
  <c r="Y5" i="18" s="1"/>
  <c r="C14" i="18"/>
  <c r="F14" i="18"/>
  <c r="F10" i="18"/>
  <c r="C10" i="18"/>
  <c r="J29" i="18"/>
  <c r="Y7" i="18"/>
  <c r="AA8" i="18"/>
  <c r="Z6" i="18"/>
  <c r="AA9" i="18"/>
  <c r="Y14" i="18"/>
  <c r="Z5" i="18"/>
  <c r="AA10" i="18"/>
  <c r="Y15" i="18"/>
  <c r="Y11" i="18"/>
  <c r="Y13" i="18"/>
  <c r="Y12" i="18"/>
  <c r="I6" i="18" l="1"/>
  <c r="B17" i="18"/>
  <c r="G14" i="18"/>
  <c r="H14" i="18"/>
  <c r="W15" i="18"/>
  <c r="X15" i="18" s="1"/>
  <c r="AA5" i="18"/>
  <c r="AB5" i="18" s="1"/>
  <c r="AB15" i="18"/>
  <c r="Z15" i="18"/>
  <c r="AA15" i="18" s="1"/>
  <c r="AB14" i="18"/>
  <c r="AB12" i="18"/>
  <c r="AB13" i="18"/>
  <c r="AB11" i="18"/>
  <c r="AD10" i="18"/>
  <c r="AB9" i="18"/>
  <c r="AC9" i="18" s="1"/>
  <c r="AD9" i="18"/>
  <c r="AD8" i="18"/>
  <c r="W11" i="18"/>
  <c r="X11" i="18" s="1"/>
  <c r="Y10" i="18"/>
  <c r="Z10" i="18" s="1"/>
  <c r="W13" i="18"/>
  <c r="X13" i="18" s="1"/>
  <c r="Y9" i="18"/>
  <c r="Z9" i="18" s="1"/>
  <c r="W14" i="18"/>
  <c r="X14" i="18" s="1"/>
  <c r="Y8" i="18"/>
  <c r="Z8" i="18" s="1"/>
  <c r="W12" i="18"/>
  <c r="X12" i="18" s="1"/>
  <c r="W7" i="18"/>
  <c r="X7" i="18" s="1"/>
  <c r="X6" i="18"/>
  <c r="Y6" i="18" s="1"/>
  <c r="Z14" i="18" l="1"/>
  <c r="AA14" i="18" s="1"/>
  <c r="Z12" i="18"/>
  <c r="AA12" i="18" s="1"/>
  <c r="AB8" i="18"/>
  <c r="AC8" i="18" s="1"/>
  <c r="Z13" i="18"/>
  <c r="AA13" i="18" s="1"/>
  <c r="AB10" i="18"/>
  <c r="AC10" i="18" s="1"/>
  <c r="AA6" i="18"/>
  <c r="AB6" i="18" s="1"/>
  <c r="Z7" i="18"/>
  <c r="AA7" i="18" s="1"/>
  <c r="Z11" i="18"/>
  <c r="AA11" i="18" s="1"/>
  <c r="AE8" i="18"/>
  <c r="AE9" i="18"/>
  <c r="AE10" i="18"/>
  <c r="AC14" i="18"/>
  <c r="AC15" i="18"/>
  <c r="AC12" i="18" l="1"/>
  <c r="AC11" i="18"/>
  <c r="AC13" i="18"/>
  <c r="G26" i="1" l="1"/>
  <c r="H26" i="1" s="1"/>
  <c r="H22" i="1"/>
  <c r="G22" i="1"/>
  <c r="F22" i="1"/>
  <c r="G23" i="1" s="1"/>
  <c r="F8" i="1"/>
  <c r="E8" i="1"/>
  <c r="D26" i="1"/>
  <c r="M19" i="2"/>
  <c r="K17" i="2"/>
  <c r="L14" i="2"/>
  <c r="M11" i="2"/>
  <c r="K9" i="2"/>
  <c r="L6" i="2"/>
  <c r="F16" i="2"/>
  <c r="F8" i="2"/>
  <c r="K84" i="4"/>
  <c r="Q26" i="11"/>
  <c r="M18" i="11"/>
  <c r="K16" i="11"/>
  <c r="L13" i="11"/>
  <c r="M10" i="11"/>
  <c r="K8" i="11"/>
  <c r="L5" i="11"/>
  <c r="F14" i="11"/>
  <c r="F6" i="11"/>
  <c r="C59" i="19"/>
  <c r="C20" i="12"/>
  <c r="K10" i="2"/>
  <c r="F19" i="2"/>
  <c r="K87" i="4"/>
  <c r="K9" i="11"/>
  <c r="K15" i="2"/>
  <c r="K14" i="11"/>
  <c r="F8" i="11"/>
  <c r="L9" i="2"/>
  <c r="F17" i="2"/>
  <c r="C46" i="4"/>
  <c r="M13" i="11"/>
  <c r="F7" i="11"/>
  <c r="C10" i="12"/>
  <c r="L19" i="2"/>
  <c r="M16" i="2"/>
  <c r="K14" i="2"/>
  <c r="L11" i="2"/>
  <c r="M8" i="2"/>
  <c r="K6" i="2"/>
  <c r="F15" i="2"/>
  <c r="F7" i="2"/>
  <c r="I65" i="4"/>
  <c r="I42" i="4"/>
  <c r="O26" i="11"/>
  <c r="L18" i="11"/>
  <c r="M15" i="11"/>
  <c r="K13" i="11"/>
  <c r="L10" i="11"/>
  <c r="M7" i="11"/>
  <c r="K5" i="11"/>
  <c r="F13" i="11"/>
  <c r="F5" i="11"/>
  <c r="E28" i="12"/>
  <c r="E50" i="19"/>
  <c r="I59" i="19"/>
  <c r="M12" i="2"/>
  <c r="K17" i="11"/>
  <c r="M9" i="2"/>
  <c r="E46" i="4"/>
  <c r="M16" i="11"/>
  <c r="F16" i="11"/>
  <c r="K12" i="2"/>
  <c r="K19" i="11"/>
  <c r="M5" i="11"/>
  <c r="K19" i="2"/>
  <c r="L16" i="2"/>
  <c r="M13" i="2"/>
  <c r="K11" i="2"/>
  <c r="L8" i="2"/>
  <c r="F14" i="2"/>
  <c r="F6" i="2"/>
  <c r="E65" i="4"/>
  <c r="E42" i="4"/>
  <c r="M20" i="11"/>
  <c r="K18" i="11"/>
  <c r="L15" i="11"/>
  <c r="M12" i="11"/>
  <c r="K10" i="11"/>
  <c r="L7" i="11"/>
  <c r="F20" i="11"/>
  <c r="F12" i="11"/>
  <c r="D29" i="18"/>
  <c r="C28" i="12"/>
  <c r="E16" i="19"/>
  <c r="L15" i="2"/>
  <c r="L14" i="11"/>
  <c r="F17" i="11"/>
  <c r="I10" i="12"/>
  <c r="L12" i="2"/>
  <c r="F10" i="2"/>
  <c r="E69" i="4"/>
  <c r="L19" i="11"/>
  <c r="M8" i="11"/>
  <c r="M14" i="2"/>
  <c r="F9" i="2"/>
  <c r="U26" i="11"/>
  <c r="L8" i="11"/>
  <c r="M18" i="2"/>
  <c r="K16" i="2"/>
  <c r="L13" i="2"/>
  <c r="M10" i="2"/>
  <c r="K8" i="2"/>
  <c r="F13" i="2"/>
  <c r="F5" i="2"/>
  <c r="C65" i="4"/>
  <c r="C42" i="4"/>
  <c r="U30" i="11"/>
  <c r="L20" i="11"/>
  <c r="M17" i="11"/>
  <c r="K15" i="11"/>
  <c r="L12" i="11"/>
  <c r="M9" i="11"/>
  <c r="K7" i="11"/>
  <c r="F19" i="11"/>
  <c r="F11" i="11"/>
  <c r="L7" i="2"/>
  <c r="O30" i="11"/>
  <c r="M11" i="11"/>
  <c r="F9" i="11"/>
  <c r="K7" i="2"/>
  <c r="F18" i="2"/>
  <c r="K86" i="4"/>
  <c r="L11" i="11"/>
  <c r="L17" i="2"/>
  <c r="K85" i="4"/>
  <c r="K11" i="11"/>
  <c r="L18" i="2"/>
  <c r="M15" i="2"/>
  <c r="K13" i="2"/>
  <c r="L10" i="2"/>
  <c r="M7" i="2"/>
  <c r="F12" i="2"/>
  <c r="K88" i="4"/>
  <c r="Q30" i="11"/>
  <c r="K20" i="11"/>
  <c r="L17" i="11"/>
  <c r="M14" i="11"/>
  <c r="K12" i="11"/>
  <c r="L9" i="11"/>
  <c r="M6" i="11"/>
  <c r="F18" i="11"/>
  <c r="F10" i="11"/>
  <c r="I28" i="12"/>
  <c r="K18" i="2"/>
  <c r="F11" i="2"/>
  <c r="I69" i="4"/>
  <c r="I46" i="4"/>
  <c r="I6" i="4"/>
  <c r="M19" i="11"/>
  <c r="L6" i="11"/>
  <c r="M17" i="2"/>
  <c r="E6" i="4"/>
  <c r="K6" i="11"/>
  <c r="E10" i="12"/>
  <c r="M6" i="2"/>
  <c r="C69" i="4"/>
  <c r="C6" i="4"/>
  <c r="L16" i="11"/>
  <c r="F15" i="11"/>
  <c r="D13" i="1"/>
  <c r="J26" i="1" l="1"/>
  <c r="V30" i="11"/>
  <c r="J42" i="4"/>
  <c r="J46" i="4"/>
  <c r="K28" i="12"/>
  <c r="V26" i="11"/>
  <c r="E19" i="12"/>
  <c r="D19" i="12"/>
  <c r="C13" i="12"/>
  <c r="K59" i="19"/>
  <c r="J6" i="4"/>
  <c r="J69" i="4"/>
  <c r="J65" i="4"/>
  <c r="F20" i="12" l="1"/>
  <c r="E9" i="19"/>
  <c r="F9" i="19" s="1"/>
  <c r="F19" i="19" s="1"/>
  <c r="H13" i="19"/>
  <c r="F53" i="19"/>
  <c r="D42" i="19"/>
  <c r="E42" i="19" s="1"/>
  <c r="G53" i="19" s="1"/>
  <c r="C50" i="19"/>
  <c r="H47" i="19"/>
  <c r="C16" i="19"/>
  <c r="E19" i="19"/>
  <c r="F31" i="18"/>
  <c r="G31" i="18"/>
  <c r="I26" i="18"/>
  <c r="J26" i="18" s="1"/>
  <c r="I23" i="18"/>
  <c r="C5" i="2"/>
  <c r="B87" i="4"/>
  <c r="C87" i="4"/>
  <c r="E87" i="4"/>
  <c r="E74" i="4"/>
  <c r="B78" i="4" s="1"/>
  <c r="E51" i="4"/>
  <c r="B55" i="4" s="1"/>
  <c r="F29" i="18"/>
  <c r="K5" i="2" l="1"/>
  <c r="M5" i="2"/>
  <c r="O5" i="2" s="1"/>
  <c r="L5" i="2"/>
  <c r="H51" i="4"/>
  <c r="G51" i="4"/>
  <c r="C59" i="4" s="1"/>
  <c r="G59" i="4" s="1"/>
  <c r="O12" i="2"/>
  <c r="O15" i="11"/>
  <c r="O7" i="11"/>
  <c r="L87" i="4"/>
  <c r="O13" i="11"/>
  <c r="O16" i="2"/>
  <c r="O15" i="2"/>
  <c r="O11" i="2"/>
  <c r="F65" i="4"/>
  <c r="O6" i="2"/>
  <c r="O16" i="11"/>
  <c r="O8" i="11"/>
  <c r="F42" i="4"/>
  <c r="O18" i="2"/>
  <c r="O14" i="2"/>
  <c r="O10" i="2"/>
  <c r="O19" i="11"/>
  <c r="O11" i="11"/>
  <c r="R30" i="11"/>
  <c r="F6" i="4"/>
  <c r="F46" i="4"/>
  <c r="D59" i="4" s="1"/>
  <c r="O19" i="2"/>
  <c r="O14" i="11"/>
  <c r="O6" i="11"/>
  <c r="O5" i="11"/>
  <c r="L85" i="4"/>
  <c r="F69" i="4"/>
  <c r="O17" i="2"/>
  <c r="O13" i="2"/>
  <c r="O17" i="11"/>
  <c r="O9" i="11"/>
  <c r="F28" i="12"/>
  <c r="J28" i="12" s="1"/>
  <c r="L86" i="4"/>
  <c r="O8" i="2"/>
  <c r="O20" i="11"/>
  <c r="O12" i="11"/>
  <c r="R26" i="11"/>
  <c r="O9" i="2"/>
  <c r="L88" i="4"/>
  <c r="O7" i="2"/>
  <c r="O18" i="11"/>
  <c r="O10" i="11"/>
  <c r="G50" i="19"/>
  <c r="H50" i="19" s="1"/>
  <c r="H53" i="19" s="1"/>
  <c r="I53" i="19" s="1"/>
  <c r="F10" i="12"/>
  <c r="J10" i="12" s="1"/>
  <c r="G16" i="19"/>
  <c r="H16" i="19" s="1"/>
  <c r="F59" i="19"/>
  <c r="J59" i="19" s="1"/>
  <c r="G19" i="19"/>
  <c r="F42" i="19"/>
  <c r="D82" i="4" l="1"/>
  <c r="K74" i="4"/>
  <c r="B13" i="12"/>
  <c r="K10" i="12"/>
  <c r="G13" i="1"/>
  <c r="H13" i="1" s="1"/>
  <c r="J13" i="1" s="1"/>
  <c r="C9" i="4"/>
  <c r="E9" i="4" s="1"/>
  <c r="C20" i="4" s="1"/>
  <c r="H20" i="4" s="1"/>
  <c r="C20" i="18"/>
  <c r="J51" i="4"/>
  <c r="B31" i="12"/>
  <c r="E62" i="19"/>
  <c r="H19" i="19"/>
  <c r="I19" i="19" s="1"/>
  <c r="H74" i="4"/>
  <c r="C82" i="4" s="1"/>
  <c r="G82" i="4" s="1"/>
  <c r="D87" i="4"/>
  <c r="K83" i="4" s="1"/>
  <c r="I74" i="4"/>
  <c r="B62" i="19"/>
  <c r="I59" i="4"/>
  <c r="E59" i="4"/>
  <c r="I51" i="4"/>
  <c r="E20" i="4"/>
  <c r="H62" i="19"/>
  <c r="M74" i="4"/>
  <c r="K62" i="19"/>
  <c r="L74" i="4"/>
  <c r="G62" i="19"/>
  <c r="C62" i="19"/>
  <c r="F62" i="19"/>
  <c r="I82" i="4" l="1"/>
  <c r="H6" i="12"/>
  <c r="D16" i="12" s="1"/>
  <c r="E16" i="12" s="1"/>
  <c r="G23" i="18"/>
  <c r="F9" i="4"/>
  <c r="H9" i="4" s="1"/>
  <c r="F20" i="4"/>
  <c r="E82" i="4"/>
  <c r="C55" i="4"/>
  <c r="D62" i="19"/>
  <c r="I62" i="19"/>
  <c r="J62" i="19" s="1"/>
  <c r="D55" i="4"/>
  <c r="I20" i="4"/>
  <c r="J20" i="4"/>
  <c r="J74" i="4"/>
  <c r="C17" i="18"/>
  <c r="K17" i="18"/>
  <c r="H17" i="18"/>
  <c r="C31" i="12"/>
  <c r="H31" i="12"/>
  <c r="K31" i="12"/>
  <c r="F17" i="18"/>
  <c r="G31" i="12"/>
  <c r="F31" i="12"/>
  <c r="G17" i="18"/>
  <c r="J6" i="12" l="1"/>
  <c r="D13" i="12"/>
  <c r="E13" i="12" s="1"/>
  <c r="J13" i="12" s="1"/>
  <c r="D22" i="4"/>
  <c r="F55" i="4"/>
  <c r="C78" i="4"/>
  <c r="D78" i="4"/>
  <c r="D23" i="4"/>
  <c r="G10" i="18"/>
  <c r="H20" i="18" l="1"/>
  <c r="H10" i="18"/>
  <c r="I17" i="18"/>
  <c r="I31" i="12"/>
  <c r="D17" i="18"/>
  <c r="J6" i="18"/>
  <c r="L6" i="18" s="1"/>
  <c r="K6" i="18"/>
  <c r="E17" i="18"/>
  <c r="D31" i="12"/>
  <c r="E31" i="12"/>
  <c r="F78" i="4"/>
  <c r="B20" i="18"/>
  <c r="E20" i="18" s="1"/>
  <c r="F23" i="18"/>
  <c r="H23" i="18" s="1"/>
  <c r="J23" i="18" s="1"/>
  <c r="J17" i="18" l="1"/>
  <c r="J31" i="12"/>
  <c r="I20" i="18"/>
  <c r="J20" i="18" s="1"/>
  <c r="G20" i="18"/>
</calcChain>
</file>

<file path=xl/sharedStrings.xml><?xml version="1.0" encoding="utf-8"?>
<sst xmlns="http://schemas.openxmlformats.org/spreadsheetml/2006/main" count="918" uniqueCount="401">
  <si>
    <t>6-D22</t>
    <phoneticPr fontId="3"/>
  </si>
  <si>
    <t>3-D22</t>
    <phoneticPr fontId="3"/>
  </si>
  <si>
    <t>１段目</t>
    <rPh sb="1" eb="2">
      <t>ダン</t>
    </rPh>
    <rPh sb="2" eb="3">
      <t>メ</t>
    </rPh>
    <phoneticPr fontId="3"/>
  </si>
  <si>
    <t>２段目</t>
    <rPh sb="1" eb="2">
      <t>ダン</t>
    </rPh>
    <rPh sb="2" eb="3">
      <t>メ</t>
    </rPh>
    <phoneticPr fontId="3"/>
  </si>
  <si>
    <t>pt</t>
    <phoneticPr fontId="3"/>
  </si>
  <si>
    <t>T形梁のつりあい鉄筋比の確認</t>
    <rPh sb="1" eb="2">
      <t>カタ</t>
    </rPh>
    <rPh sb="2" eb="3">
      <t>バリ</t>
    </rPh>
    <rPh sb="8" eb="11">
      <t>テッキンヒ</t>
    </rPh>
    <rPh sb="12" eb="14">
      <t>カクニン</t>
    </rPh>
    <phoneticPr fontId="3"/>
  </si>
  <si>
    <t>布基礎幅</t>
    <rPh sb="0" eb="1">
      <t>ヌノ</t>
    </rPh>
    <rPh sb="1" eb="3">
      <t>キソ</t>
    </rPh>
    <rPh sb="3" eb="4">
      <t>ハバ</t>
    </rPh>
    <phoneticPr fontId="3"/>
  </si>
  <si>
    <t>布基礎フーチング厚</t>
    <rPh sb="0" eb="1">
      <t>ヌノ</t>
    </rPh>
    <rPh sb="1" eb="3">
      <t>キソ</t>
    </rPh>
    <rPh sb="8" eb="9">
      <t>アツ</t>
    </rPh>
    <phoneticPr fontId="3"/>
  </si>
  <si>
    <t>引張鉄筋断面積</t>
    <rPh sb="0" eb="2">
      <t>ヒッパ</t>
    </rPh>
    <rPh sb="2" eb="4">
      <t>テッキン</t>
    </rPh>
    <rPh sb="4" eb="7">
      <t>ダンメンセキ</t>
    </rPh>
    <phoneticPr fontId="3"/>
  </si>
  <si>
    <t>d:</t>
    <phoneticPr fontId="3"/>
  </si>
  <si>
    <t>有効せい</t>
    <rPh sb="0" eb="2">
      <t>ユウコウ</t>
    </rPh>
    <phoneticPr fontId="3"/>
  </si>
  <si>
    <t>引張鉄筋比</t>
    <rPh sb="0" eb="2">
      <t>ヒッパ</t>
    </rPh>
    <rPh sb="2" eb="4">
      <t>テッキン</t>
    </rPh>
    <rPh sb="4" eb="5">
      <t>ヒ</t>
    </rPh>
    <phoneticPr fontId="3"/>
  </si>
  <si>
    <t>use</t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</si>
  <si>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</si>
  <si>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</si>
  <si>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ｄｔ</t>
    <phoneticPr fontId="3"/>
  </si>
  <si>
    <t>D</t>
    <phoneticPr fontId="3"/>
  </si>
  <si>
    <t>d</t>
    <phoneticPr fontId="3"/>
  </si>
  <si>
    <t>ｊ</t>
    <phoneticPr fontId="3"/>
  </si>
  <si>
    <t>ft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</si>
  <si>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</si>
  <si>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</si>
  <si>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</si>
  <si>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fc</t>
    <phoneticPr fontId="3"/>
  </si>
  <si>
    <t>中立軸がスラブ下に出た場合のつりあい鉄筋比</t>
    <rPh sb="0" eb="2">
      <t>チュウリツ</t>
    </rPh>
    <rPh sb="2" eb="3">
      <t>ジク</t>
    </rPh>
    <rPh sb="7" eb="8">
      <t>シタ</t>
    </rPh>
    <rPh sb="9" eb="10">
      <t>デ</t>
    </rPh>
    <rPh sb="11" eb="12">
      <t>バ</t>
    </rPh>
    <rPh sb="12" eb="13">
      <t>ゴウ</t>
    </rPh>
    <rPh sb="18" eb="20">
      <t>テッキン</t>
    </rPh>
    <rPh sb="20" eb="21">
      <t>ヒ</t>
    </rPh>
    <phoneticPr fontId="3"/>
  </si>
  <si>
    <t>中立軸がちょうどスラブ下端に一致するときのつりあい鉄筋比</t>
    <rPh sb="0" eb="2">
      <t>チュウリツ</t>
    </rPh>
    <rPh sb="2" eb="3">
      <t>ジク</t>
    </rPh>
    <rPh sb="11" eb="13">
      <t>シタバ</t>
    </rPh>
    <rPh sb="14" eb="16">
      <t>イッチ</t>
    </rPh>
    <rPh sb="25" eb="27">
      <t>テッキン</t>
    </rPh>
    <rPh sb="27" eb="28">
      <t>ヒ</t>
    </rPh>
    <phoneticPr fontId="3"/>
  </si>
  <si>
    <t>(%)</t>
    <phoneticPr fontId="3"/>
  </si>
  <si>
    <t>梁の引張鉄筋比はつり合い鉄筋比以下である。</t>
    <rPh sb="0" eb="1">
      <t>ハリ</t>
    </rPh>
    <rPh sb="2" eb="4">
      <t>ヒッパ</t>
    </rPh>
    <rPh sb="4" eb="6">
      <t>テッキン</t>
    </rPh>
    <rPh sb="6" eb="7">
      <t>ヒ</t>
    </rPh>
    <rPh sb="10" eb="11">
      <t>ア</t>
    </rPh>
    <rPh sb="12" eb="14">
      <t>テッキン</t>
    </rPh>
    <rPh sb="14" eb="15">
      <t>ヒ</t>
    </rPh>
    <rPh sb="15" eb="17">
      <t>イカ</t>
    </rPh>
    <phoneticPr fontId="3"/>
  </si>
  <si>
    <t>pt2</t>
  </si>
  <si>
    <t>梁の引張鉄筋比がつり合い鉄筋比以下のときの許容曲げモーメント。</t>
    <rPh sb="0" eb="1">
      <t>ハリ</t>
    </rPh>
    <rPh sb="2" eb="4">
      <t>ヒッパ</t>
    </rPh>
    <rPh sb="4" eb="6">
      <t>テッキン</t>
    </rPh>
    <rPh sb="6" eb="7">
      <t>ヒ</t>
    </rPh>
    <rPh sb="10" eb="11">
      <t>ア</t>
    </rPh>
    <rPh sb="12" eb="14">
      <t>テッキン</t>
    </rPh>
    <rPh sb="14" eb="15">
      <t>ヒ</t>
    </rPh>
    <rPh sb="15" eb="17">
      <t>イカ</t>
    </rPh>
    <rPh sb="21" eb="23">
      <t>キョヨウ</t>
    </rPh>
    <rPh sb="23" eb="24">
      <t>マ</t>
    </rPh>
    <phoneticPr fontId="3"/>
  </si>
  <si>
    <t>②あばら筋径</t>
    <rPh sb="4" eb="5">
      <t>キン</t>
    </rPh>
    <rPh sb="5" eb="6">
      <t>ケイ</t>
    </rPh>
    <phoneticPr fontId="3"/>
  </si>
  <si>
    <t>③主筋半径</t>
    <rPh sb="1" eb="3">
      <t>シュキン</t>
    </rPh>
    <rPh sb="3" eb="5">
      <t>ハンケイ</t>
    </rPh>
    <phoneticPr fontId="3"/>
  </si>
  <si>
    <t>④主筋重心</t>
    <rPh sb="1" eb="3">
      <t>シュキン</t>
    </rPh>
    <rPh sb="3" eb="5">
      <t>ジュウシン</t>
    </rPh>
    <phoneticPr fontId="3"/>
  </si>
  <si>
    <t>dt:</t>
    <phoneticPr fontId="3"/>
  </si>
  <si>
    <t>曲げ材の引張側から引張鉄筋重心位置までの距離</t>
    <rPh sb="0" eb="1">
      <t>マ</t>
    </rPh>
    <rPh sb="2" eb="3">
      <t>ザイ</t>
    </rPh>
    <rPh sb="4" eb="6">
      <t>ヒッパ</t>
    </rPh>
    <rPh sb="6" eb="7">
      <t>ガワ</t>
    </rPh>
    <rPh sb="9" eb="11">
      <t>ヒッパ</t>
    </rPh>
    <rPh sb="11" eb="13">
      <t>テッキン</t>
    </rPh>
    <rPh sb="13" eb="15">
      <t>ジュウシン</t>
    </rPh>
    <rPh sb="15" eb="17">
      <t>イチ</t>
    </rPh>
    <rPh sb="20" eb="22">
      <t>キョリ</t>
    </rPh>
    <phoneticPr fontId="3"/>
  </si>
  <si>
    <t>dt=①+②+③+④</t>
    <phoneticPr fontId="3"/>
  </si>
  <si>
    <t>D:</t>
    <phoneticPr fontId="3"/>
  </si>
  <si>
    <t>梁のせい</t>
    <rPh sb="0" eb="1">
      <t>ハリ</t>
    </rPh>
    <phoneticPr fontId="3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</si>
  <si>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3"/>
  </si>
  <si>
    <t>d=D-dt</t>
    <phoneticPr fontId="3"/>
  </si>
  <si>
    <t>j:</t>
    <phoneticPr fontId="3"/>
  </si>
  <si>
    <t>d・7/8</t>
    <phoneticPr fontId="3"/>
  </si>
  <si>
    <t>at=at1+at2</t>
    <phoneticPr fontId="3"/>
  </si>
  <si>
    <t>①かぶり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</si>
  <si>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</si>
  <si>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</si>
  <si>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</si>
  <si>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</si>
  <si>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</si>
  <si>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fc</t>
    <phoneticPr fontId="3"/>
  </si>
  <si>
    <t>ｄｔ</t>
    <phoneticPr fontId="3"/>
  </si>
  <si>
    <t>d</t>
    <phoneticPr fontId="3"/>
  </si>
  <si>
    <t>ｊ</t>
    <phoneticPr fontId="3"/>
  </si>
  <si>
    <t>ft</t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</si>
  <si>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</si>
  <si>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</si>
  <si>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</si>
  <si>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dt:</t>
    <phoneticPr fontId="3"/>
  </si>
  <si>
    <t>dt=①+②+③+④</t>
    <phoneticPr fontId="3"/>
  </si>
  <si>
    <t>D:</t>
    <phoneticPr fontId="3"/>
  </si>
  <si>
    <t>d:</t>
    <phoneticPr fontId="3"/>
  </si>
  <si>
    <t>d=D-dt</t>
    <phoneticPr fontId="3"/>
  </si>
  <si>
    <t>j:</t>
    <phoneticPr fontId="3"/>
  </si>
  <si>
    <t>d・7/8</t>
    <phoneticPr fontId="3"/>
  </si>
  <si>
    <t>B</t>
    <phoneticPr fontId="3"/>
  </si>
  <si>
    <t>d</t>
    <phoneticPr fontId="3"/>
  </si>
  <si>
    <t>t</t>
    <phoneticPr fontId="3"/>
  </si>
  <si>
    <t>at</t>
    <phoneticPr fontId="3"/>
  </si>
  <si>
    <t>pt</t>
    <phoneticPr fontId="3"/>
  </si>
  <si>
    <t>n=Es/Ec</t>
    <phoneticPr fontId="3"/>
  </si>
  <si>
    <t>t1=t/d</t>
    <phoneticPr fontId="3"/>
  </si>
  <si>
    <t>Pt1</t>
    <phoneticPr fontId="3"/>
  </si>
  <si>
    <t>Pt2</t>
    <phoneticPr fontId="3"/>
  </si>
  <si>
    <t>(mm)</t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</si>
  <si>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</si>
  <si>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(%)</t>
    <phoneticPr fontId="3"/>
  </si>
  <si>
    <t>pt1</t>
    <phoneticPr fontId="3"/>
  </si>
  <si>
    <t>pt</t>
    <phoneticPr fontId="3"/>
  </si>
  <si>
    <t>B:</t>
    <phoneticPr fontId="3"/>
  </si>
  <si>
    <t>t:</t>
    <phoneticPr fontId="3"/>
  </si>
  <si>
    <t>at:</t>
    <phoneticPr fontId="3"/>
  </si>
  <si>
    <t>pt:</t>
    <phoneticPr fontId="3"/>
  </si>
  <si>
    <t>Pt=t1^2
/(2n(1-t1))</t>
    <phoneticPr fontId="3"/>
  </si>
  <si>
    <t>pt1:</t>
    <phoneticPr fontId="3"/>
  </si>
  <si>
    <t>pt1=t1^2/(2・n(1-t1))</t>
    <phoneticPr fontId="3"/>
  </si>
  <si>
    <t>pt2:</t>
    <phoneticPr fontId="3"/>
  </si>
  <si>
    <t>pt2=1/2{t1(2-t1)fc/ft-ti1^2/n)}</t>
    <phoneticPr fontId="3"/>
  </si>
  <si>
    <t>D</t>
    <phoneticPr fontId="3"/>
  </si>
  <si>
    <t>ft/(n・ｆｃ）</t>
    <phoneticPr fontId="3"/>
  </si>
  <si>
    <t>④dc</t>
    <phoneticPr fontId="3"/>
  </si>
  <si>
    <t>圧縮側</t>
    <rPh sb="0" eb="2">
      <t>アッシュク</t>
    </rPh>
    <rPh sb="2" eb="3">
      <t>ガワ</t>
    </rPh>
    <phoneticPr fontId="3"/>
  </si>
  <si>
    <t>引張側</t>
    <rPh sb="0" eb="2">
      <t>ヒッパ</t>
    </rPh>
    <rPh sb="2" eb="3">
      <t>ガワ</t>
    </rPh>
    <phoneticPr fontId="3"/>
  </si>
  <si>
    <t>④dｔ</t>
    <phoneticPr fontId="3"/>
  </si>
  <si>
    <t>dc</t>
    <phoneticPr fontId="3"/>
  </si>
  <si>
    <t>dc1=dc/d</t>
    <phoneticPr fontId="3"/>
  </si>
  <si>
    <t>γ=ac/at</t>
    <phoneticPr fontId="3"/>
  </si>
  <si>
    <t>ptb</t>
    <phoneticPr fontId="3"/>
  </si>
  <si>
    <t>4-D22</t>
    <phoneticPr fontId="3"/>
  </si>
  <si>
    <t>1-D22</t>
    <phoneticPr fontId="3"/>
  </si>
  <si>
    <t>0-D22</t>
    <phoneticPr fontId="3"/>
  </si>
  <si>
    <t>5-D25</t>
    <phoneticPr fontId="3"/>
  </si>
  <si>
    <t>D</t>
    <phoneticPr fontId="3"/>
  </si>
  <si>
    <t>ft</t>
    <phoneticPr fontId="3"/>
  </si>
  <si>
    <t>N</t>
    <phoneticPr fontId="3"/>
  </si>
  <si>
    <t>n</t>
    <phoneticPr fontId="3"/>
  </si>
  <si>
    <t>ag</t>
    <phoneticPr fontId="3"/>
  </si>
  <si>
    <t>RcGMa(幅B, せいD, 鉄筋dt, 鉄筋dc, 鉄筋at, 鉄筋ac, コンfc, 鉄筋ft, ヤング比n, 計算値)</t>
    <phoneticPr fontId="3"/>
  </si>
  <si>
    <t>B</t>
    <phoneticPr fontId="3"/>
  </si>
  <si>
    <t>dt</t>
    <phoneticPr fontId="3"/>
  </si>
  <si>
    <t>at</t>
    <phoneticPr fontId="3"/>
  </si>
  <si>
    <t>ac</t>
    <phoneticPr fontId="3"/>
  </si>
  <si>
    <t>4-D22</t>
    <phoneticPr fontId="3"/>
  </si>
  <si>
    <t>10/4-D22</t>
    <phoneticPr fontId="3"/>
  </si>
  <si>
    <t>5-D22</t>
    <phoneticPr fontId="3"/>
  </si>
  <si>
    <t>7-D22</t>
    <phoneticPr fontId="3"/>
  </si>
  <si>
    <t>8-D22</t>
    <phoneticPr fontId="3"/>
  </si>
  <si>
    <t>9-D22</t>
    <phoneticPr fontId="3"/>
  </si>
  <si>
    <t>D:</t>
    <phoneticPr fontId="3"/>
  </si>
  <si>
    <t>dc:</t>
    <phoneticPr fontId="3"/>
  </si>
  <si>
    <t>ag:</t>
    <phoneticPr fontId="3"/>
  </si>
  <si>
    <t>fc:</t>
    <phoneticPr fontId="3"/>
  </si>
  <si>
    <t>ft:</t>
    <phoneticPr fontId="3"/>
  </si>
  <si>
    <t>N:</t>
    <phoneticPr fontId="3"/>
  </si>
  <si>
    <t>n:</t>
    <phoneticPr fontId="3"/>
  </si>
  <si>
    <t>柱の直径</t>
    <rPh sb="0" eb="1">
      <t>ハシラ</t>
    </rPh>
    <rPh sb="2" eb="4">
      <t>チョッケイ</t>
    </rPh>
    <phoneticPr fontId="3"/>
  </si>
  <si>
    <t>圧縮縁から圧縮鉄筋心までの距離</t>
    <rPh sb="0" eb="2">
      <t>アッシュク</t>
    </rPh>
    <rPh sb="2" eb="3">
      <t>フチ</t>
    </rPh>
    <rPh sb="5" eb="7">
      <t>アッシュク</t>
    </rPh>
    <rPh sb="7" eb="9">
      <t>テッキン</t>
    </rPh>
    <rPh sb="9" eb="10">
      <t>シン</t>
    </rPh>
    <rPh sb="13" eb="15">
      <t>キョリ</t>
    </rPh>
    <phoneticPr fontId="3"/>
  </si>
  <si>
    <t>全鉄筋断面積</t>
    <rPh sb="0" eb="1">
      <t>ゼン</t>
    </rPh>
    <rPh sb="1" eb="3">
      <t>テッキン</t>
    </rPh>
    <rPh sb="3" eb="6">
      <t>ダンメンセキ</t>
    </rPh>
    <phoneticPr fontId="3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</si>
  <si>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3"/>
  </si>
  <si>
    <t>鉄筋の許容引張応力度</t>
    <rPh sb="0" eb="2">
      <t>テッキン</t>
    </rPh>
    <rPh sb="3" eb="5">
      <t>キョヨウ</t>
    </rPh>
    <rPh sb="5" eb="6">
      <t>ヒ</t>
    </rPh>
    <rPh sb="6" eb="7">
      <t>パ</t>
    </rPh>
    <rPh sb="7" eb="9">
      <t>オウリョク</t>
    </rPh>
    <rPh sb="9" eb="10">
      <t>ド</t>
    </rPh>
    <phoneticPr fontId="3"/>
  </si>
  <si>
    <t>設計軸力</t>
    <rPh sb="0" eb="2">
      <t>セッケイ</t>
    </rPh>
    <rPh sb="2" eb="4">
      <t>ジクリョク</t>
    </rPh>
    <phoneticPr fontId="3"/>
  </si>
  <si>
    <t>ヤング係数比</t>
    <rPh sb="3" eb="5">
      <t>ケイスウ</t>
    </rPh>
    <rPh sb="5" eb="6">
      <t>ヒ</t>
    </rPh>
    <phoneticPr fontId="3"/>
  </si>
  <si>
    <t>中立軸位置を示す角度</t>
    <rPh sb="0" eb="2">
      <t>チュウリツ</t>
    </rPh>
    <rPh sb="2" eb="3">
      <t>ジク</t>
    </rPh>
    <rPh sb="3" eb="5">
      <t>イチ</t>
    </rPh>
    <rPh sb="6" eb="7">
      <t>シメ</t>
    </rPh>
    <rPh sb="8" eb="10">
      <t>カクド</t>
    </rPh>
    <phoneticPr fontId="3"/>
  </si>
  <si>
    <t>釣り合い中立軸位置を示す角度</t>
    <rPh sb="0" eb="1">
      <t>ツ</t>
    </rPh>
    <rPh sb="2" eb="3">
      <t>ア</t>
    </rPh>
    <rPh sb="4" eb="6">
      <t>チュウリツ</t>
    </rPh>
    <rPh sb="6" eb="7">
      <t>ジク</t>
    </rPh>
    <rPh sb="7" eb="9">
      <t>イチ</t>
    </rPh>
    <rPh sb="10" eb="11">
      <t>シメ</t>
    </rPh>
    <rPh sb="12" eb="14">
      <t>カクド</t>
    </rPh>
    <phoneticPr fontId="3"/>
  </si>
  <si>
    <t>(mm)</t>
    <phoneticPr fontId="3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</si>
  <si>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</si>
  <si>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</si>
  <si>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(kN)</t>
    <phoneticPr fontId="3"/>
  </si>
  <si>
    <t>use</t>
    <phoneticPr fontId="3"/>
  </si>
  <si>
    <t>θ:</t>
    <phoneticPr fontId="3"/>
  </si>
  <si>
    <t>θ</t>
  </si>
  <si>
    <t>θb:</t>
    <phoneticPr fontId="3"/>
  </si>
  <si>
    <t>θb</t>
  </si>
  <si>
    <t>6-D13</t>
    <phoneticPr fontId="3"/>
  </si>
  <si>
    <t>Ma:</t>
    <phoneticPr fontId="3"/>
  </si>
  <si>
    <t>円形断面柱の許容曲げモーメント</t>
    <rPh sb="0" eb="2">
      <t>エンケイ</t>
    </rPh>
    <rPh sb="2" eb="4">
      <t>ダンメン</t>
    </rPh>
    <rPh sb="4" eb="5">
      <t>ハシラ</t>
    </rPh>
    <rPh sb="6" eb="8">
      <t>キョヨウ</t>
    </rPh>
    <rPh sb="8" eb="9">
      <t>マ</t>
    </rPh>
    <phoneticPr fontId="3"/>
  </si>
  <si>
    <t>kNm</t>
    <phoneticPr fontId="3"/>
  </si>
  <si>
    <t>Ma</t>
    <phoneticPr fontId="3"/>
  </si>
  <si>
    <t>M</t>
    <phoneticPr fontId="3"/>
  </si>
  <si>
    <t>位置</t>
    <rPh sb="0" eb="2">
      <t>イチ</t>
    </rPh>
    <phoneticPr fontId="3"/>
  </si>
  <si>
    <t>判定</t>
    <rPh sb="0" eb="2">
      <t>ハンテイ</t>
    </rPh>
    <phoneticPr fontId="3"/>
  </si>
  <si>
    <t>A-1</t>
    <phoneticPr fontId="3"/>
  </si>
  <si>
    <t>A-2</t>
  </si>
  <si>
    <t>A-3</t>
  </si>
  <si>
    <t>A-4</t>
  </si>
  <si>
    <t>A-5</t>
  </si>
  <si>
    <t>B-1</t>
    <phoneticPr fontId="3"/>
  </si>
  <si>
    <t>B-2</t>
  </si>
  <si>
    <t>B-3</t>
  </si>
  <si>
    <t>B-4</t>
  </si>
  <si>
    <t>B-5</t>
  </si>
  <si>
    <t>C-1</t>
    <phoneticPr fontId="3"/>
  </si>
  <si>
    <t>C-2</t>
  </si>
  <si>
    <t>C-3</t>
  </si>
  <si>
    <t>C-4</t>
  </si>
  <si>
    <t>C-5</t>
  </si>
  <si>
    <t>M:</t>
    <phoneticPr fontId="3"/>
  </si>
  <si>
    <t>円形断面柱の曲げモーメント</t>
    <rPh sb="0" eb="2">
      <t>エンケイ</t>
    </rPh>
    <rPh sb="2" eb="4">
      <t>ダンメン</t>
    </rPh>
    <rPh sb="4" eb="5">
      <t>ハシラ</t>
    </rPh>
    <rPh sb="6" eb="7">
      <t>マ</t>
    </rPh>
    <phoneticPr fontId="3"/>
  </si>
  <si>
    <t>use</t>
    <phoneticPr fontId="3"/>
  </si>
  <si>
    <t>ag</t>
    <phoneticPr fontId="3"/>
  </si>
  <si>
    <t>fc</t>
    <phoneticPr fontId="3"/>
  </si>
  <si>
    <t>ft</t>
    <phoneticPr fontId="3"/>
  </si>
  <si>
    <t>N</t>
    <phoneticPr fontId="3"/>
  </si>
  <si>
    <t>n</t>
    <phoneticPr fontId="3"/>
  </si>
  <si>
    <t>Ma</t>
    <phoneticPr fontId="3"/>
  </si>
  <si>
    <t>M</t>
    <phoneticPr fontId="3"/>
  </si>
  <si>
    <t>(mm)</t>
    <phoneticPr fontId="3"/>
  </si>
  <si>
    <t>dc:</t>
    <phoneticPr fontId="3"/>
  </si>
  <si>
    <t>(mm)</t>
    <phoneticPr fontId="3"/>
  </si>
  <si>
    <t>ag:</t>
    <phoneticPr fontId="3"/>
  </si>
  <si>
    <t>fc:</t>
    <phoneticPr fontId="3"/>
  </si>
  <si>
    <t>ft:</t>
    <phoneticPr fontId="3"/>
  </si>
  <si>
    <t>N:</t>
    <phoneticPr fontId="3"/>
  </si>
  <si>
    <t>(kN)</t>
    <phoneticPr fontId="3"/>
  </si>
  <si>
    <t>n:</t>
    <phoneticPr fontId="3"/>
  </si>
  <si>
    <t>θ:</t>
    <phoneticPr fontId="3"/>
  </si>
  <si>
    <t>θb:</t>
    <phoneticPr fontId="3"/>
  </si>
  <si>
    <t>Ma:</t>
    <phoneticPr fontId="3"/>
  </si>
  <si>
    <t>kNm</t>
    <phoneticPr fontId="3"/>
  </si>
  <si>
    <t>M:</t>
    <phoneticPr fontId="3"/>
  </si>
  <si>
    <t>A-1</t>
    <phoneticPr fontId="3"/>
  </si>
  <si>
    <t>6-D13</t>
    <phoneticPr fontId="3"/>
  </si>
  <si>
    <t>B-1</t>
    <phoneticPr fontId="3"/>
  </si>
  <si>
    <t>C-1</t>
    <phoneticPr fontId="3"/>
  </si>
  <si>
    <t>D:</t>
    <phoneticPr fontId="3"/>
  </si>
  <si>
    <t>長方形梁の許容曲げモーメント</t>
    <rPh sb="0" eb="3">
      <t>チョウホウケイ</t>
    </rPh>
    <rPh sb="3" eb="4">
      <t>バリ</t>
    </rPh>
    <rPh sb="5" eb="7">
      <t>キョヨウ</t>
    </rPh>
    <rPh sb="7" eb="8">
      <t>マ</t>
    </rPh>
    <phoneticPr fontId="3"/>
  </si>
  <si>
    <t>(幅B, せいD, 鉄筋dt, 鉄筋dc, 鉄筋at, 鉄筋ac, コンfc, 鉄筋ft, ヤング比n, 計算値)</t>
    <phoneticPr fontId="3"/>
  </si>
  <si>
    <t>d:</t>
    <phoneticPr fontId="3"/>
  </si>
  <si>
    <t>use</t>
    <phoneticPr fontId="3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</si>
  <si>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</si>
  <si>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</si>
  <si>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</si>
  <si>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fc</t>
    <phoneticPr fontId="3"/>
  </si>
  <si>
    <t>n=Es/Ec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</si>
  <si>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</si>
  <si>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(kNm)</t>
    <phoneticPr fontId="3"/>
  </si>
  <si>
    <t>B</t>
    <phoneticPr fontId="3"/>
  </si>
  <si>
    <t>d</t>
    <phoneticPr fontId="3"/>
  </si>
  <si>
    <t>xn1</t>
    <phoneticPr fontId="3"/>
  </si>
  <si>
    <t>xn</t>
    <phoneticPr fontId="3"/>
  </si>
  <si>
    <t>④</t>
    <phoneticPr fontId="3"/>
  </si>
  <si>
    <t>dｔ</t>
    <phoneticPr fontId="3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</si>
  <si>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</si>
  <si>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r>
      <t>ac2(mm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</si>
  <si>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ac=ac1+ac2</t>
    <phoneticPr fontId="3"/>
  </si>
  <si>
    <t>⑤かぶり</t>
    <phoneticPr fontId="3"/>
  </si>
  <si>
    <t>⑥あばら筋径</t>
    <rPh sb="4" eb="5">
      <t>キン</t>
    </rPh>
    <rPh sb="5" eb="6">
      <t>ケイ</t>
    </rPh>
    <phoneticPr fontId="3"/>
  </si>
  <si>
    <t>⑦主筋半径</t>
    <rPh sb="1" eb="3">
      <t>シュキン</t>
    </rPh>
    <rPh sb="3" eb="5">
      <t>ハンケイ</t>
    </rPh>
    <phoneticPr fontId="3"/>
  </si>
  <si>
    <t>⑧</t>
    <phoneticPr fontId="3"/>
  </si>
  <si>
    <t>ac:</t>
    <phoneticPr fontId="3"/>
  </si>
  <si>
    <t>引張り鉄筋断面積</t>
    <rPh sb="0" eb="2">
      <t>ヒッパ</t>
    </rPh>
    <rPh sb="3" eb="5">
      <t>テッキン</t>
    </rPh>
    <rPh sb="5" eb="8">
      <t>ダンメンセキ</t>
    </rPh>
    <phoneticPr fontId="3"/>
  </si>
  <si>
    <t>圧縮鉄筋断面積</t>
    <rPh sb="0" eb="2">
      <t>アッシュク</t>
    </rPh>
    <rPh sb="2" eb="4">
      <t>テッキン</t>
    </rPh>
    <rPh sb="4" eb="7">
      <t>ダンメンセキ</t>
    </rPh>
    <phoneticPr fontId="3"/>
  </si>
  <si>
    <t>④:</t>
    <phoneticPr fontId="3"/>
  </si>
  <si>
    <t>⑤:</t>
    <phoneticPr fontId="3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</si>
  <si>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3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</si>
  <si>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3"/>
  </si>
  <si>
    <t>dc:</t>
    <phoneticPr fontId="3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</si>
  <si>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3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</si>
  <si>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3"/>
  </si>
  <si>
    <t>dc=⑤+⑥+⑦+⑧</t>
    <phoneticPr fontId="3"/>
  </si>
  <si>
    <t>γ=ac/at</t>
    <phoneticPr fontId="3"/>
  </si>
  <si>
    <t>γ:</t>
    <phoneticPr fontId="3"/>
  </si>
  <si>
    <t>複筋比</t>
    <rPh sb="0" eb="1">
      <t>フク</t>
    </rPh>
    <rPh sb="1" eb="2">
      <t>キン</t>
    </rPh>
    <rPh sb="2" eb="3">
      <t>ヒ</t>
    </rPh>
    <phoneticPr fontId="3"/>
  </si>
  <si>
    <t>xn1:</t>
    <phoneticPr fontId="3"/>
  </si>
  <si>
    <t>中立軸比　xn1=xn/d</t>
    <rPh sb="0" eb="2">
      <t>チュウリツ</t>
    </rPh>
    <rPh sb="2" eb="3">
      <t>ジク</t>
    </rPh>
    <rPh sb="3" eb="4">
      <t>ヒ</t>
    </rPh>
    <phoneticPr fontId="3"/>
  </si>
  <si>
    <t>xn:</t>
    <phoneticPr fontId="3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</si>
  <si>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3"/>
  </si>
  <si>
    <t>pt:</t>
    <phoneticPr fontId="3"/>
  </si>
  <si>
    <t>Pt=at/(B・d)</t>
    <phoneticPr fontId="3"/>
  </si>
  <si>
    <t>ptb:</t>
    <phoneticPr fontId="3"/>
  </si>
  <si>
    <t>つり合い鉄筋比</t>
    <rPh sb="2" eb="3">
      <t>ア</t>
    </rPh>
    <rPh sb="4" eb="6">
      <t>テッキン</t>
    </rPh>
    <rPh sb="6" eb="7">
      <t>ヒ</t>
    </rPh>
    <phoneticPr fontId="3"/>
  </si>
  <si>
    <t>Ma:</t>
    <phoneticPr fontId="3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</si>
  <si>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3"/>
  </si>
  <si>
    <t>C1</t>
    <phoneticPr fontId="3"/>
  </si>
  <si>
    <t>C2</t>
    <phoneticPr fontId="3"/>
  </si>
  <si>
    <t>C</t>
    <phoneticPr fontId="3"/>
  </si>
  <si>
    <t>D</t>
    <phoneticPr fontId="3"/>
  </si>
  <si>
    <t>ft</t>
    <phoneticPr fontId="3"/>
  </si>
  <si>
    <t>b</t>
    <phoneticPr fontId="3"/>
  </si>
  <si>
    <t>c</t>
    <phoneticPr fontId="3"/>
  </si>
  <si>
    <t>2-D22</t>
    <phoneticPr fontId="3"/>
  </si>
  <si>
    <t>n=Es/Ec</t>
    <phoneticPr fontId="3"/>
  </si>
  <si>
    <t>B</t>
    <phoneticPr fontId="3"/>
  </si>
  <si>
    <t>d</t>
    <phoneticPr fontId="3"/>
  </si>
  <si>
    <t>j=d・7/8</t>
    <phoneticPr fontId="3"/>
  </si>
  <si>
    <r>
      <t>B・d</t>
    </r>
    <r>
      <rPr>
        <vertAlign val="superscript"/>
        <sz val="9"/>
        <rFont val="ＭＳ Ｐ明朝"/>
        <family val="1"/>
        <charset val="128"/>
      </rPr>
      <t>2</t>
    </r>
    <phoneticPr fontId="3"/>
  </si>
  <si>
    <t>M=ft・at・j</t>
    <phoneticPr fontId="3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</si>
  <si>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</si>
  <si>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(mm)</t>
    <phoneticPr fontId="3"/>
  </si>
  <si>
    <t>(mm3)</t>
    <phoneticPr fontId="3"/>
  </si>
  <si>
    <t>(kNm)</t>
    <phoneticPr fontId="3"/>
  </si>
  <si>
    <t>dｔ</t>
    <phoneticPr fontId="3"/>
  </si>
  <si>
    <t>ac=ac1+ac2</t>
    <phoneticPr fontId="3"/>
  </si>
  <si>
    <t>⑤かぶり</t>
    <phoneticPr fontId="3"/>
  </si>
  <si>
    <t>⑧</t>
    <phoneticPr fontId="3"/>
  </si>
  <si>
    <t>dc</t>
    <phoneticPr fontId="3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</si>
  <si>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3"/>
  </si>
  <si>
    <t>γ=ac/at</t>
    <phoneticPr fontId="3"/>
  </si>
  <si>
    <t>xn1</t>
    <phoneticPr fontId="3"/>
  </si>
  <si>
    <t>xn</t>
    <phoneticPr fontId="3"/>
  </si>
  <si>
    <t>pt</t>
    <phoneticPr fontId="3"/>
  </si>
  <si>
    <t>ptb</t>
    <phoneticPr fontId="3"/>
  </si>
  <si>
    <t>C1</t>
    <phoneticPr fontId="3"/>
  </si>
  <si>
    <t>C2</t>
    <phoneticPr fontId="3"/>
  </si>
  <si>
    <t>C</t>
    <phoneticPr fontId="3"/>
  </si>
  <si>
    <t>Ma</t>
    <phoneticPr fontId="3"/>
  </si>
  <si>
    <t>(%)</t>
    <phoneticPr fontId="3"/>
  </si>
  <si>
    <t>fc:</t>
    <phoneticPr fontId="3"/>
  </si>
  <si>
    <t>n:</t>
    <phoneticPr fontId="3"/>
  </si>
  <si>
    <t>D:</t>
    <phoneticPr fontId="3"/>
  </si>
  <si>
    <t>d:</t>
    <phoneticPr fontId="3"/>
  </si>
  <si>
    <t>at:</t>
    <phoneticPr fontId="3"/>
  </si>
  <si>
    <t>ac:</t>
    <phoneticPr fontId="3"/>
  </si>
  <si>
    <t>④:</t>
    <phoneticPr fontId="3"/>
  </si>
  <si>
    <t>⑤:</t>
    <phoneticPr fontId="3"/>
  </si>
  <si>
    <t>dt:</t>
    <phoneticPr fontId="3"/>
  </si>
  <si>
    <t>dt=①+②+③+④</t>
    <phoneticPr fontId="3"/>
  </si>
  <si>
    <t>dc:</t>
    <phoneticPr fontId="3"/>
  </si>
  <si>
    <t>dc=⑤+⑥+⑦+⑧</t>
    <phoneticPr fontId="3"/>
  </si>
  <si>
    <t>γ:</t>
    <phoneticPr fontId="3"/>
  </si>
  <si>
    <t>xn:</t>
    <phoneticPr fontId="3"/>
  </si>
  <si>
    <t>pt:</t>
    <phoneticPr fontId="3"/>
  </si>
  <si>
    <t>Pt=at/(B・d)</t>
    <phoneticPr fontId="3"/>
  </si>
  <si>
    <t>ptb:</t>
    <phoneticPr fontId="3"/>
  </si>
  <si>
    <t>Qsuo:</t>
    <phoneticPr fontId="3"/>
  </si>
  <si>
    <t>M/(Qd)は3以上の場合には3とし，1以下のときは1とする。</t>
    <rPh sb="8" eb="10">
      <t>イジョウ</t>
    </rPh>
    <rPh sb="11" eb="13">
      <t>バアイ</t>
    </rPh>
    <rPh sb="20" eb="22">
      <t>イカ</t>
    </rPh>
    <phoneticPr fontId="3"/>
  </si>
  <si>
    <t>ku:</t>
    <phoneticPr fontId="3"/>
  </si>
  <si>
    <t>有効せいｄによる係数でｄ≧400㎜のときは0.72で一定。</t>
    <rPh sb="0" eb="2">
      <t>ユウコウ</t>
    </rPh>
    <rPh sb="8" eb="10">
      <t>ケイスウ</t>
    </rPh>
    <rPh sb="26" eb="28">
      <t>イッテイ</t>
    </rPh>
    <phoneticPr fontId="3"/>
  </si>
  <si>
    <t>有孔梁のせん断終局強度で,孔まわり部分で決まる値。</t>
    <rPh sb="0" eb="3">
      <t>ユウコウバリ</t>
    </rPh>
    <rPh sb="6" eb="7">
      <t>ダン</t>
    </rPh>
    <rPh sb="7" eb="11">
      <t>シュウキョクキョウド</t>
    </rPh>
    <rPh sb="13" eb="14">
      <t>アナ</t>
    </rPh>
    <rPh sb="17" eb="19">
      <t>ブブン</t>
    </rPh>
    <rPh sb="20" eb="21">
      <t>キ</t>
    </rPh>
    <rPh sb="23" eb="24">
      <t>アタイ</t>
    </rPh>
    <phoneticPr fontId="3"/>
  </si>
  <si>
    <t>kp:</t>
    <phoneticPr fontId="3"/>
  </si>
  <si>
    <r>
      <t>引張鉄筋比ptによる係数でkp=2.36(pt)</t>
    </r>
    <r>
      <rPr>
        <vertAlign val="superscript"/>
        <sz val="9"/>
        <rFont val="ＭＳ Ｐ明朝"/>
        <family val="1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3"/>
  </si>
  <si>
    <t>b:</t>
    <phoneticPr fontId="3"/>
  </si>
  <si>
    <t>梁幅</t>
    <rPh sb="0" eb="1">
      <t>ハリ</t>
    </rPh>
    <rPh sb="1" eb="2">
      <t>ハバ</t>
    </rPh>
    <phoneticPr fontId="3"/>
  </si>
  <si>
    <t>梁有効せい</t>
    <rPh sb="0" eb="1">
      <t>ハリ</t>
    </rPh>
    <rPh sb="1" eb="3">
      <t>ユウコウ</t>
    </rPh>
    <phoneticPr fontId="3"/>
  </si>
  <si>
    <t>応力中心距離</t>
    <rPh sb="0" eb="2">
      <t>オウリョク</t>
    </rPh>
    <rPh sb="2" eb="4">
      <t>チュウシン</t>
    </rPh>
    <rPh sb="4" eb="6">
      <t>キョリ</t>
    </rPh>
    <phoneticPr fontId="3"/>
  </si>
  <si>
    <t>Fc:</t>
    <phoneticPr fontId="3"/>
  </si>
  <si>
    <t>コンクリートの設計基準強度</t>
    <rPh sb="7" eb="9">
      <t>セッケイ</t>
    </rPh>
    <rPh sb="9" eb="11">
      <t>キジュン</t>
    </rPh>
    <rPh sb="11" eb="13">
      <t>キョウド</t>
    </rPh>
    <phoneticPr fontId="3"/>
  </si>
  <si>
    <t>H:</t>
    <phoneticPr fontId="3"/>
  </si>
  <si>
    <t>円孔の直径〔正方形孔の場合は，その外接円の直径〕</t>
    <rPh sb="0" eb="1">
      <t>エン</t>
    </rPh>
    <rPh sb="1" eb="2">
      <t>アナ</t>
    </rPh>
    <rPh sb="3" eb="5">
      <t>チョッケイ</t>
    </rPh>
    <rPh sb="6" eb="9">
      <t>セイホウケイ</t>
    </rPh>
    <rPh sb="9" eb="10">
      <t>アナ</t>
    </rPh>
    <rPh sb="11" eb="13">
      <t>バアイ</t>
    </rPh>
    <rPh sb="17" eb="19">
      <t>ガイセツ</t>
    </rPh>
    <rPh sb="19" eb="20">
      <t>エン</t>
    </rPh>
    <rPh sb="21" eb="23">
      <t>チョッケイ</t>
    </rPh>
    <phoneticPr fontId="3"/>
  </si>
  <si>
    <t>H/D≦1/3</t>
    <phoneticPr fontId="3"/>
  </si>
  <si>
    <t>ｐs:</t>
    <phoneticPr fontId="3"/>
  </si>
  <si>
    <t>孔周囲の補強筋比</t>
    <rPh sb="0" eb="1">
      <t>アナ</t>
    </rPh>
    <rPh sb="1" eb="3">
      <t>シュウイ</t>
    </rPh>
    <rPh sb="4" eb="6">
      <t>ホキョウ</t>
    </rPh>
    <rPh sb="6" eb="7">
      <t>キン</t>
    </rPh>
    <rPh sb="7" eb="8">
      <t>ヒ</t>
    </rPh>
    <phoneticPr fontId="3"/>
  </si>
  <si>
    <t>ps=Σ(as(sinθ+cosθ))/(bc)</t>
    <phoneticPr fontId="3"/>
  </si>
  <si>
    <t>as:</t>
    <phoneticPr fontId="3"/>
  </si>
  <si>
    <t>孔の片側cの範囲内にある1組の補強筋の断面積</t>
    <rPh sb="0" eb="1">
      <t>アナ</t>
    </rPh>
    <rPh sb="2" eb="4">
      <t>カタガワ</t>
    </rPh>
    <rPh sb="6" eb="8">
      <t>ハンイ</t>
    </rPh>
    <rPh sb="8" eb="9">
      <t>ナイ</t>
    </rPh>
    <rPh sb="13" eb="14">
      <t>クミ</t>
    </rPh>
    <rPh sb="15" eb="17">
      <t>ホキョウ</t>
    </rPh>
    <rPh sb="17" eb="18">
      <t>キン</t>
    </rPh>
    <rPh sb="19" eb="22">
      <t>ダンメンセキ</t>
    </rPh>
    <phoneticPr fontId="3"/>
  </si>
  <si>
    <t>孔周囲補強筋が材軸となす角度</t>
    <rPh sb="0" eb="1">
      <t>アナ</t>
    </rPh>
    <rPh sb="1" eb="3">
      <t>シュウイ</t>
    </rPh>
    <rPh sb="3" eb="5">
      <t>ホキョウ</t>
    </rPh>
    <rPh sb="5" eb="6">
      <t>キン</t>
    </rPh>
    <rPh sb="7" eb="9">
      <t>ザイジク</t>
    </rPh>
    <rPh sb="12" eb="14">
      <t>カクド</t>
    </rPh>
    <phoneticPr fontId="3"/>
  </si>
  <si>
    <t>上端筋</t>
    <rPh sb="0" eb="2">
      <t>ウワバ</t>
    </rPh>
    <rPh sb="2" eb="3">
      <t>キン</t>
    </rPh>
    <phoneticPr fontId="3"/>
  </si>
  <si>
    <t>下端筋</t>
    <rPh sb="0" eb="3">
      <t>シタバキン</t>
    </rPh>
    <phoneticPr fontId="3"/>
  </si>
  <si>
    <r>
      <t>M</t>
    </r>
    <r>
      <rPr>
        <vertAlign val="subscript"/>
        <sz val="9"/>
        <rFont val="ＭＳ Ｐ明朝"/>
        <family val="1"/>
        <charset val="128"/>
      </rPr>
      <t>上</t>
    </r>
    <rPh sb="1" eb="2">
      <t>ウエ</t>
    </rPh>
    <phoneticPr fontId="3"/>
  </si>
  <si>
    <t>ku</t>
    <phoneticPr fontId="3"/>
  </si>
  <si>
    <t>kp</t>
    <phoneticPr fontId="3"/>
  </si>
  <si>
    <r>
      <t>M</t>
    </r>
    <r>
      <rPr>
        <vertAlign val="subscript"/>
        <sz val="9"/>
        <rFont val="ＭＳ Ｐ明朝"/>
        <family val="1"/>
        <charset val="128"/>
      </rPr>
      <t>下</t>
    </r>
    <rPh sb="1" eb="2">
      <t>シタ</t>
    </rPh>
    <phoneticPr fontId="3"/>
  </si>
  <si>
    <t>L</t>
    <phoneticPr fontId="3"/>
  </si>
  <si>
    <t>Q1</t>
    <phoneticPr fontId="3"/>
  </si>
  <si>
    <t>QL</t>
    <phoneticPr fontId="3"/>
  </si>
  <si>
    <t>Qu</t>
    <phoneticPr fontId="3"/>
  </si>
  <si>
    <t>M/(Qd)</t>
    <phoneticPr fontId="3"/>
  </si>
  <si>
    <t>pt u</t>
    <phoneticPr fontId="3"/>
  </si>
  <si>
    <t>pt d</t>
    <phoneticPr fontId="3"/>
  </si>
  <si>
    <t>M/(Qd)+0.12</t>
    <phoneticPr fontId="3"/>
  </si>
  <si>
    <t>Fc</t>
    <phoneticPr fontId="3"/>
  </si>
  <si>
    <t>H</t>
    <phoneticPr fontId="3"/>
  </si>
  <si>
    <t>ps</t>
    <phoneticPr fontId="3"/>
  </si>
  <si>
    <t>as</t>
    <phoneticPr fontId="3"/>
  </si>
  <si>
    <t>2-D13</t>
    <phoneticPr fontId="3"/>
  </si>
  <si>
    <t>θ</t>
    <phoneticPr fontId="3"/>
  </si>
  <si>
    <t>3-D19</t>
    <phoneticPr fontId="3"/>
  </si>
  <si>
    <t>0-D19</t>
    <phoneticPr fontId="3"/>
  </si>
  <si>
    <t>3-D19</t>
    <phoneticPr fontId="3"/>
  </si>
  <si>
    <t>ft:</t>
    <phoneticPr fontId="3"/>
  </si>
  <si>
    <t>d:</t>
    <phoneticPr fontId="3"/>
  </si>
  <si>
    <t>b・ｊ</t>
    <phoneticPr fontId="3"/>
  </si>
  <si>
    <t>ｆｓ</t>
    <phoneticPr fontId="3"/>
  </si>
  <si>
    <t>α</t>
    <phoneticPr fontId="3"/>
  </si>
  <si>
    <t>α・ｆｓ</t>
    <phoneticPr fontId="3"/>
  </si>
  <si>
    <t>@</t>
    <phoneticPr fontId="3"/>
  </si>
  <si>
    <t>pw</t>
    <phoneticPr fontId="3"/>
  </si>
  <si>
    <t>=</t>
    <phoneticPr fontId="3"/>
  </si>
  <si>
    <t>b</t>
    <phoneticPr fontId="3"/>
  </si>
  <si>
    <t>x</t>
    <phoneticPr fontId="3"/>
  </si>
  <si>
    <t>j</t>
    <phoneticPr fontId="3"/>
  </si>
  <si>
    <t>3-D13</t>
    <phoneticPr fontId="3"/>
  </si>
  <si>
    <t>wft</t>
    <phoneticPr fontId="3"/>
  </si>
  <si>
    <t>Fc</t>
    <phoneticPr fontId="3"/>
  </si>
  <si>
    <t>dt</t>
    <phoneticPr fontId="3"/>
  </si>
  <si>
    <r>
      <t>at1(mm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</si>
  <si>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</si>
  <si>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</si>
  <si>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at1(mm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</si>
  <si>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at2(mm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</si>
  <si>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</si>
  <si>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3"/>
  </si>
  <si>
    <t>σy</t>
    <phoneticPr fontId="3"/>
  </si>
  <si>
    <t>M=0.9at・σｙ・d</t>
    <phoneticPr fontId="3"/>
  </si>
  <si>
    <t>2-D13</t>
    <phoneticPr fontId="3"/>
  </si>
  <si>
    <t>あばら筋</t>
    <rPh sb="3" eb="4">
      <t>キン</t>
    </rPh>
    <phoneticPr fontId="3"/>
  </si>
  <si>
    <t>at</t>
    <phoneticPr fontId="3"/>
  </si>
  <si>
    <t>b</t>
    <phoneticPr fontId="3"/>
  </si>
  <si>
    <t>d</t>
    <phoneticPr fontId="3"/>
  </si>
  <si>
    <t>pt</t>
    <phoneticPr fontId="3"/>
  </si>
  <si>
    <t>aw</t>
    <phoneticPr fontId="3"/>
  </si>
  <si>
    <t>x</t>
    <phoneticPr fontId="3"/>
  </si>
  <si>
    <t>pw</t>
    <phoneticPr fontId="3"/>
  </si>
  <si>
    <t>0.053pt^0.23(Fc+18)</t>
    <phoneticPr fontId="3"/>
  </si>
  <si>
    <t>M</t>
    <phoneticPr fontId="3"/>
  </si>
  <si>
    <t>Q</t>
    <phoneticPr fontId="3"/>
  </si>
  <si>
    <t>D</t>
    <phoneticPr fontId="3"/>
  </si>
  <si>
    <t>A</t>
    <phoneticPr fontId="3"/>
  </si>
  <si>
    <t>W</t>
    <phoneticPr fontId="3"/>
  </si>
  <si>
    <t>L</t>
    <phoneticPr fontId="3"/>
  </si>
  <si>
    <t>Q</t>
    <phoneticPr fontId="3"/>
  </si>
  <si>
    <t>M</t>
    <phoneticPr fontId="3"/>
  </si>
  <si>
    <t>等分布</t>
    <rPh sb="0" eb="3">
      <t>トウブンプ</t>
    </rPh>
    <phoneticPr fontId="3"/>
  </si>
  <si>
    <t>１点集中</t>
    <rPh sb="1" eb="2">
      <t>テン</t>
    </rPh>
    <rPh sb="2" eb="4">
      <t>シュウチュウ</t>
    </rPh>
    <phoneticPr fontId="3"/>
  </si>
  <si>
    <t>P</t>
    <phoneticPr fontId="3"/>
  </si>
  <si>
    <t>a</t>
    <phoneticPr fontId="3"/>
  </si>
  <si>
    <t>b</t>
    <phoneticPr fontId="3"/>
  </si>
  <si>
    <t>at</t>
    <phoneticPr fontId="3"/>
  </si>
  <si>
    <t>D10</t>
    <phoneticPr fontId="3"/>
  </si>
  <si>
    <t>D13</t>
    <phoneticPr fontId="3"/>
  </si>
  <si>
    <t>D16</t>
    <phoneticPr fontId="3"/>
  </si>
  <si>
    <t>D19</t>
    <phoneticPr fontId="3"/>
  </si>
  <si>
    <t>D22</t>
    <phoneticPr fontId="3"/>
  </si>
  <si>
    <t>D25</t>
    <phoneticPr fontId="3"/>
  </si>
  <si>
    <t>D29</t>
    <phoneticPr fontId="3"/>
  </si>
  <si>
    <t>D32</t>
    <phoneticPr fontId="3"/>
  </si>
  <si>
    <t>D35</t>
    <phoneticPr fontId="3"/>
  </si>
  <si>
    <t>D38</t>
    <phoneticPr fontId="3"/>
  </si>
  <si>
    <t>D41</t>
    <phoneticPr fontId="3"/>
  </si>
  <si>
    <t>2/2-D19</t>
    <phoneticPr fontId="3"/>
  </si>
  <si>
    <t>2/2-D19</t>
    <phoneticPr fontId="3"/>
  </si>
  <si>
    <t>sfs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</si>
</sst>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 * #,##0_ ;_ * \-#,##0_ ;_ * &quot;-&quot;_ ;_ @_ "/>
    <numFmt numFmtId="176" formatCode="0.000_ "/>
    <numFmt numFmtId="177" formatCode="0.00_ "/>
    <numFmt numFmtId="178" formatCode="0.0_ "/>
    <numFmt numFmtId="179" formatCode="0_ "/>
    <numFmt numFmtId="180" formatCode="0.0000_ "/>
    <numFmt numFmtId="181" formatCode="0;_쐀"/>
    <numFmt numFmtId="182" formatCode="0.00;_쐀"/>
    <numFmt numFmtId="183" formatCode="0.0000;_쐀"/>
    <numFmt numFmtId="184" formatCode="0;_렀"/>
    <numFmt numFmtId="185" formatCode="&quot;SD&quot;#"/>
  </numFmts>
  <fonts count="9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vertAlign val="subscript"/>
      <sz val="9"/>
      <name val="ＭＳ Ｐ明朝"/>
      <family val="1"/>
      <charset val="128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shrinkToFit="1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0" fontId="4" fillId="0" borderId="3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176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3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/>
    </xf>
    <xf numFmtId="179" fontId="4" fillId="0" borderId="2" xfId="0" applyNumberFormat="1" applyFont="1" applyBorder="1" applyAlignment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181" fontId="2" fillId="0" borderId="0" xfId="0" applyNumberFormat="1" applyFont="1" applyFill="1" applyAlignment="1">
      <alignment horizontal="right" vertical="center"/>
    </xf>
    <xf numFmtId="181" fontId="2" fillId="0" borderId="0" xfId="0" applyNumberFormat="1" applyFont="1" applyFill="1" applyAlignment="1">
      <alignment horizontal="left" vertical="center"/>
    </xf>
    <xf numFmtId="179" fontId="0" fillId="0" borderId="0" xfId="0" applyNumberFormat="1">
      <alignment vertical="center"/>
    </xf>
    <xf numFmtId="181" fontId="4" fillId="0" borderId="0" xfId="0" applyNumberFormat="1" applyFont="1">
      <alignment vertical="center"/>
    </xf>
    <xf numFmtId="177" fontId="4" fillId="0" borderId="1" xfId="0" applyNumberFormat="1" applyFon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horizontal="right" vertical="center" indent="1"/>
    </xf>
    <xf numFmtId="181" fontId="2" fillId="0" borderId="4" xfId="0" applyNumberFormat="1" applyFont="1" applyFill="1" applyBorder="1" applyAlignment="1">
      <alignment horizontal="right" vertical="center" indent="1"/>
    </xf>
    <xf numFmtId="179" fontId="2" fillId="0" borderId="4" xfId="0" applyNumberFormat="1" applyFont="1" applyFill="1" applyBorder="1" applyAlignment="1">
      <alignment horizontal="right" vertical="center"/>
    </xf>
    <xf numFmtId="179" fontId="0" fillId="0" borderId="4" xfId="0" applyNumberFormat="1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horizontal="right" vertical="center" indent="1"/>
    </xf>
    <xf numFmtId="181" fontId="2" fillId="0" borderId="5" xfId="0" applyNumberFormat="1" applyFont="1" applyFill="1" applyBorder="1" applyAlignment="1">
      <alignment horizontal="right" vertical="center" indent="1"/>
    </xf>
    <xf numFmtId="179" fontId="2" fillId="0" borderId="5" xfId="0" applyNumberFormat="1" applyFont="1" applyFill="1" applyBorder="1" applyAlignment="1">
      <alignment horizontal="right" vertical="center"/>
    </xf>
    <xf numFmtId="179" fontId="0" fillId="0" borderId="5" xfId="0" applyNumberForma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right" vertical="center" indent="1"/>
    </xf>
    <xf numFmtId="181" fontId="2" fillId="0" borderId="10" xfId="0" applyNumberFormat="1" applyFont="1" applyFill="1" applyBorder="1" applyAlignment="1">
      <alignment horizontal="right" vertical="center" indent="1"/>
    </xf>
    <xf numFmtId="179" fontId="2" fillId="0" borderId="10" xfId="0" applyNumberFormat="1" applyFont="1" applyFill="1" applyBorder="1" applyAlignment="1">
      <alignment horizontal="right" vertical="center"/>
    </xf>
    <xf numFmtId="179" fontId="0" fillId="0" borderId="10" xfId="0" applyNumberFormat="1" applyBorder="1" applyAlignment="1">
      <alignment horizontal="righ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7" fontId="4" fillId="0" borderId="22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9" fontId="4" fillId="0" borderId="10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79" fontId="4" fillId="0" borderId="1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 shrinkToFit="1"/>
    </xf>
    <xf numFmtId="0" fontId="4" fillId="0" borderId="25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 shrinkToFit="1"/>
    </xf>
    <xf numFmtId="0" fontId="4" fillId="0" borderId="28" xfId="0" applyFont="1" applyBorder="1" applyAlignment="1">
      <alignment horizontal="center" vertical="center" shrinkToFit="1"/>
    </xf>
    <xf numFmtId="0" fontId="4" fillId="0" borderId="19" xfId="0" applyFont="1" applyBorder="1">
      <alignment vertical="center"/>
    </xf>
    <xf numFmtId="176" fontId="4" fillId="0" borderId="19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4" xfId="0" applyFont="1" applyBorder="1">
      <alignment vertical="center"/>
    </xf>
    <xf numFmtId="0" fontId="4" fillId="0" borderId="25" xfId="0" applyFont="1" applyBorder="1" applyAlignment="1">
      <alignment horizontal="center" vertical="center"/>
    </xf>
    <xf numFmtId="0" fontId="4" fillId="0" borderId="10" xfId="0" applyFont="1" applyBorder="1">
      <alignment vertical="center"/>
    </xf>
    <xf numFmtId="179" fontId="7" fillId="0" borderId="10" xfId="0" applyNumberFormat="1" applyFont="1" applyBorder="1" applyAlignment="1">
      <alignment horizontal="center" vertical="center"/>
    </xf>
    <xf numFmtId="184" fontId="4" fillId="0" borderId="10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4" fillId="0" borderId="31" xfId="0" applyFont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1" xfId="0" applyFont="1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179" fontId="1" fillId="0" borderId="10" xfId="0" applyNumberFormat="1" applyFont="1" applyBorder="1" applyAlignment="1">
      <alignment horizontal="center" vertical="center"/>
    </xf>
    <xf numFmtId="41" fontId="4" fillId="0" borderId="0" xfId="0" applyNumberFormat="1" applyFont="1">
      <alignment vertical="center"/>
    </xf>
    <xf numFmtId="179" fontId="0" fillId="0" borderId="32" xfId="0" applyNumberFormat="1" applyBorder="1" applyAlignment="1">
      <alignment horizontal="left" vertical="center"/>
    </xf>
    <xf numFmtId="179" fontId="4" fillId="0" borderId="0" xfId="0" applyNumberFormat="1" applyFont="1" applyBorder="1" applyAlignment="1">
      <alignment horizontal="center" vertical="center"/>
    </xf>
    <xf numFmtId="177" fontId="4" fillId="0" borderId="11" xfId="0" applyNumberFormat="1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79" fontId="7" fillId="0" borderId="0" xfId="0" applyNumberFormat="1" applyFont="1" applyBorder="1" applyAlignment="1">
      <alignment horizontal="center" vertical="center"/>
    </xf>
    <xf numFmtId="184" fontId="4" fillId="0" borderId="0" xfId="0" applyNumberFormat="1" applyFont="1" applyBorder="1" applyAlignment="1">
      <alignment horizontal="center" vertical="center"/>
    </xf>
    <xf numFmtId="180" fontId="1" fillId="0" borderId="10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180" fontId="1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shrinkToFit="1"/>
    </xf>
    <xf numFmtId="179" fontId="4" fillId="0" borderId="0" xfId="0" applyNumberFormat="1" applyFont="1" applyBorder="1">
      <alignment vertical="center"/>
    </xf>
    <xf numFmtId="0" fontId="4" fillId="0" borderId="44" xfId="0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0" borderId="4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9" fontId="7" fillId="0" borderId="27" xfId="0" applyNumberFormat="1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9" fontId="4" fillId="0" borderId="27" xfId="0" applyNumberFormat="1" applyFont="1" applyBorder="1" applyAlignment="1">
      <alignment horizontal="center" vertical="center"/>
    </xf>
    <xf numFmtId="179" fontId="4" fillId="0" borderId="44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179" fontId="4" fillId="0" borderId="1" xfId="0" applyNumberFormat="1" applyFont="1" applyBorder="1">
      <alignment vertical="center"/>
    </xf>
    <xf numFmtId="180" fontId="1" fillId="0" borderId="1" xfId="0" applyNumberFormat="1" applyFont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 shrinkToFit="1"/>
    </xf>
    <xf numFmtId="180" fontId="4" fillId="0" borderId="36" xfId="0" applyNumberFormat="1" applyFont="1" applyBorder="1" applyAlignment="1">
      <alignment horizontal="center" vertical="center"/>
    </xf>
    <xf numFmtId="185" fontId="7" fillId="0" borderId="1" xfId="0" applyNumberFormat="1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179" fontId="0" fillId="0" borderId="5" xfId="0" applyNumberFormat="1" applyFont="1" applyFill="1" applyBorder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3" xfId="0" applyFont="1" applyBorder="1" applyAlignment="1">
      <alignment horizontal="right" vertical="center"/>
    </xf>
    <xf numFmtId="0" fontId="0" fillId="0" borderId="5" xfId="0" applyFont="1" applyBorder="1" applyAlignment="1">
      <alignment horizontal="right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right" vertical="center" indent="1"/>
    </xf>
    <xf numFmtId="181" fontId="0" fillId="0" borderId="5" xfId="0" applyNumberFormat="1" applyFont="1" applyFill="1" applyBorder="1" applyAlignment="1">
      <alignment horizontal="right" vertical="center" indent="1"/>
    </xf>
    <xf numFmtId="179" fontId="0" fillId="0" borderId="5" xfId="0" applyNumberFormat="1" applyFont="1" applyFill="1" applyBorder="1" applyAlignment="1">
      <alignment horizontal="right" vertical="center"/>
    </xf>
    <xf numFmtId="179" fontId="0" fillId="0" borderId="5" xfId="0" applyNumberFormat="1" applyFont="1" applyBorder="1" applyAlignment="1">
      <alignment horizontal="right" vertical="center"/>
    </xf>
    <xf numFmtId="0" fontId="0" fillId="0" borderId="8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0" fontId="0" fillId="0" borderId="4" xfId="0" applyFont="1" applyBorder="1" applyAlignment="1">
      <alignment horizontal="right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right" vertical="center" indent="1"/>
    </xf>
    <xf numFmtId="181" fontId="0" fillId="0" borderId="4" xfId="0" applyNumberFormat="1" applyFont="1" applyFill="1" applyBorder="1" applyAlignment="1">
      <alignment horizontal="right" vertical="center" indent="1"/>
    </xf>
    <xf numFmtId="179" fontId="0" fillId="0" borderId="4" xfId="0" applyNumberFormat="1" applyFont="1" applyFill="1" applyBorder="1" applyAlignment="1">
      <alignment horizontal="right" vertical="center"/>
    </xf>
    <xf numFmtId="179" fontId="0" fillId="0" borderId="4" xfId="0" applyNumberFormat="1" applyFont="1" applyBorder="1" applyAlignment="1">
      <alignment horizontal="right" vertical="center"/>
    </xf>
    <xf numFmtId="0" fontId="0" fillId="0" borderId="9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5" xfId="0" applyFont="1" applyBorder="1" applyAlignment="1">
      <alignment horizontal="right" vertical="center"/>
    </xf>
    <xf numFmtId="0" fontId="0" fillId="0" borderId="10" xfId="0" applyFont="1" applyBorder="1" applyAlignment="1">
      <alignment horizontal="right" vertical="center"/>
    </xf>
    <xf numFmtId="0" fontId="0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right" vertical="center" indent="1"/>
    </xf>
    <xf numFmtId="181" fontId="0" fillId="0" borderId="10" xfId="0" applyNumberFormat="1" applyFont="1" applyFill="1" applyBorder="1" applyAlignment="1">
      <alignment horizontal="right" vertical="center" indent="1"/>
    </xf>
    <xf numFmtId="179" fontId="0" fillId="0" borderId="10" xfId="0" applyNumberFormat="1" applyFont="1" applyFill="1" applyBorder="1" applyAlignment="1">
      <alignment horizontal="right" vertical="center"/>
    </xf>
    <xf numFmtId="179" fontId="0" fillId="0" borderId="10" xfId="0" applyNumberFormat="1" applyFont="1" applyBorder="1" applyAlignment="1">
      <alignment horizontal="right" vertical="center"/>
    </xf>
    <xf numFmtId="0" fontId="0" fillId="0" borderId="11" xfId="0" applyFont="1" applyBorder="1" applyAlignment="1">
      <alignment horizontal="center" vertical="center"/>
    </xf>
    <xf numFmtId="183" fontId="0" fillId="0" borderId="0" xfId="0" applyNumberFormat="1" applyFont="1" applyFill="1" applyAlignment="1">
      <alignment horizontal="right" vertical="center"/>
    </xf>
    <xf numFmtId="0" fontId="0" fillId="0" borderId="2" xfId="0" applyFont="1" applyBorder="1" applyAlignment="1">
      <alignment horizontal="center" vertical="center" shrinkToFit="1"/>
    </xf>
    <xf numFmtId="181" fontId="0" fillId="0" borderId="0" xfId="0" applyNumberFormat="1" applyFont="1" applyFill="1" applyAlignment="1">
      <alignment horizontal="right" vertical="center"/>
    </xf>
    <xf numFmtId="0" fontId="0" fillId="0" borderId="3" xfId="0" applyFont="1" applyBorder="1" applyAlignment="1">
      <alignment horizontal="center" vertical="center" shrinkToFit="1"/>
    </xf>
    <xf numFmtId="179" fontId="0" fillId="0" borderId="1" xfId="0" applyNumberFormat="1" applyFont="1" applyBorder="1" applyAlignment="1">
      <alignment horizontal="center" vertical="center"/>
    </xf>
    <xf numFmtId="182" fontId="0" fillId="0" borderId="0" xfId="0" applyNumberFormat="1" applyFont="1" applyFill="1" applyAlignment="1">
      <alignment horizontal="right" vertical="center"/>
    </xf>
    <xf numFmtId="0" fontId="0" fillId="0" borderId="0" xfId="0" applyFont="1" applyFill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9" fontId="2" fillId="0" borderId="0" xfId="0" applyNumberFormat="1" applyFont="1" applyBorder="1" applyAlignment="1">
      <alignment horizontal="center" vertical="center"/>
    </xf>
    <xf numFmtId="179" fontId="4" fillId="0" borderId="48" xfId="0" applyNumberFormat="1" applyFont="1" applyBorder="1" applyAlignment="1">
      <alignment horizontal="center" vertical="center"/>
    </xf>
    <xf numFmtId="179" fontId="7" fillId="0" borderId="39" xfId="0" applyNumberFormat="1" applyFont="1" applyBorder="1" applyAlignment="1">
      <alignment horizontal="center" vertical="center"/>
    </xf>
    <xf numFmtId="176" fontId="7" fillId="0" borderId="0" xfId="0" applyNumberFormat="1" applyFont="1" applyBorder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0" borderId="31" xfId="0" applyFont="1" applyBorder="1">
      <alignment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1" xfId="0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31" xfId="0" applyFont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1" xfId="0" applyFont="1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4" fillId="0" borderId="4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179" fontId="4" fillId="0" borderId="46" xfId="0" applyNumberFormat="1" applyFont="1" applyBorder="1" applyAlignment="1">
      <alignment horizontal="center" vertical="center"/>
    </xf>
    <xf numFmtId="179" fontId="4" fillId="0" borderId="52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5" xfId="0" applyFont="1" applyBorder="1" applyAlignment="1">
      <alignment vertical="center"/>
    </xf>
    <xf numFmtId="0" fontId="0" fillId="0" borderId="36" xfId="0" applyFont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0" fillId="0" borderId="38" xfId="0" applyFont="1" applyBorder="1" applyAlignment="1">
      <alignment horizontal="left" vertical="center"/>
    </xf>
    <xf numFmtId="179" fontId="4" fillId="0" borderId="2" xfId="0" applyNumberFormat="1" applyFont="1" applyBorder="1" applyAlignment="1">
      <alignment vertical="center"/>
    </xf>
    <xf numFmtId="179" fontId="4" fillId="0" borderId="3" xfId="0" applyNumberFormat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5" xfId="0" applyFont="1" applyBorder="1" applyAlignment="1">
      <alignment vertical="center"/>
    </xf>
    <xf numFmtId="0" fontId="0" fillId="0" borderId="35" xfId="0" applyBorder="1" applyAlignment="1">
      <alignment vertical="center"/>
    </xf>
    <xf numFmtId="0" fontId="4" fillId="0" borderId="36" xfId="0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87</xdr:row>
      <xdr:rowOff>0</xdr:rowOff>
    </xdr:from>
    <xdr:to>
      <xdr:col>8</xdr:col>
      <xdr:colOff>314325</xdr:colOff>
      <xdr:row>96</xdr:row>
      <xdr:rowOff>57150</xdr:rowOff>
    </xdr:to>
    <xdr:pic>
      <xdr:nvPicPr>
        <xdr:cNvPr id="12289" name="Picture 1" descr="RcGMa2のコピー">
          <a:extLst>
            <a:ext uri="{FF2B5EF4-FFF2-40B4-BE49-F238E27FC236}">
              <a16:creationId xmlns:a16="http://schemas.microsoft.com/office/drawing/2014/main" id="{00000000-0008-0000-00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12773025"/>
          <a:ext cx="3467100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56</xdr:row>
      <xdr:rowOff>0</xdr:rowOff>
    </xdr:from>
    <xdr:to>
      <xdr:col>8</xdr:col>
      <xdr:colOff>314325</xdr:colOff>
      <xdr:row>65</xdr:row>
      <xdr:rowOff>57150</xdr:rowOff>
    </xdr:to>
    <xdr:pic>
      <xdr:nvPicPr>
        <xdr:cNvPr id="5121" name="Picture 1" descr="RcGMa2のコピー">
          <a:extLst>
            <a:ext uri="{FF2B5EF4-FFF2-40B4-BE49-F238E27FC236}">
              <a16:creationId xmlns:a16="http://schemas.microsoft.com/office/drawing/2014/main" id="{00000000-0008-0000-01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6210300"/>
          <a:ext cx="3467100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73</xdr:row>
      <xdr:rowOff>0</xdr:rowOff>
    </xdr:from>
    <xdr:to>
      <xdr:col>9</xdr:col>
      <xdr:colOff>238125</xdr:colOff>
      <xdr:row>82</xdr:row>
      <xdr:rowOff>57150</xdr:rowOff>
    </xdr:to>
    <xdr:pic>
      <xdr:nvPicPr>
        <xdr:cNvPr id="11265" name="Picture 1" descr="RcGMa2のコピー">
          <a:extLst>
            <a:ext uri="{FF2B5EF4-FFF2-40B4-BE49-F238E27FC236}">
              <a16:creationId xmlns:a16="http://schemas.microsoft.com/office/drawing/2014/main" id="{00000000-0008-0000-0200-000001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0839450"/>
          <a:ext cx="3467100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39</xdr:row>
      <xdr:rowOff>47625</xdr:rowOff>
    </xdr:from>
    <xdr:to>
      <xdr:col>14</xdr:col>
      <xdr:colOff>38100</xdr:colOff>
      <xdr:row>59</xdr:row>
      <xdr:rowOff>95250</xdr:rowOff>
    </xdr:to>
    <xdr:pic>
      <xdr:nvPicPr>
        <xdr:cNvPr id="1028" name="Picture 4" descr="2RcCMaC xfunxのコピー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6076950"/>
          <a:ext cx="5429250" cy="3095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00025134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RcCMaC"/>
      <definedName name="RcGMa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5"/>
  <sheetViews>
    <sheetView workbookViewId="0">
      <selection activeCell="N30" sqref="N30"/>
    </sheetView>
  </sheetViews>
  <sheetFormatPr defaultColWidth="9.1328125" defaultRowHeight="10.7" x14ac:dyDescent="0.25"/>
  <cols>
    <col min="1" max="1" width="2.6640625" style="4" customWidth="1"/>
    <col min="2" max="11" width="9.6640625" style="4" customWidth="1"/>
    <col min="12" max="16384" width="9.1328125" style="4"/>
  </cols>
  <sheetData>
    <row r="1" spans="2:17" x14ac:dyDescent="0.25">
      <c r="J1" s="104"/>
      <c r="K1" s="104"/>
      <c r="L1" s="104"/>
      <c r="M1" s="104"/>
      <c r="N1" s="104"/>
      <c r="O1" s="104"/>
    </row>
    <row r="2" spans="2:17" x14ac:dyDescent="0.25">
      <c r="B2" s="4" t="s">
        <v>241</v>
      </c>
      <c r="J2" s="104"/>
      <c r="K2" s="104"/>
      <c r="L2" s="104"/>
      <c r="M2" s="104"/>
      <c r="N2" s="104"/>
      <c r="O2" s="104"/>
    </row>
    <row r="3" spans="2:17" x14ac:dyDescent="0.25">
      <c r="H3" s="15"/>
      <c r="I3" s="15"/>
      <c r="J3" s="113"/>
      <c r="K3" s="104"/>
      <c r="L3" s="104"/>
      <c r="M3" s="104"/>
      <c r="N3" s="104"/>
      <c r="O3" s="116"/>
      <c r="Q3" s="5"/>
    </row>
    <row r="4" spans="2:17" x14ac:dyDescent="0.25">
      <c r="B4" s="2" t="s">
        <v>352</v>
      </c>
      <c r="C4" s="8"/>
      <c r="D4" s="2"/>
      <c r="E4" s="201"/>
      <c r="J4" s="104"/>
      <c r="K4" s="104"/>
      <c r="L4" s="104"/>
      <c r="M4" s="104"/>
      <c r="N4" s="104"/>
      <c r="O4" s="116"/>
      <c r="Q4" s="5"/>
    </row>
    <row r="5" spans="2:17" ht="12.35" x14ac:dyDescent="0.25">
      <c r="B5" s="6" t="s">
        <v>256</v>
      </c>
      <c r="C5" s="9"/>
      <c r="D5" s="6"/>
      <c r="E5" s="202"/>
      <c r="J5" s="104"/>
      <c r="K5" s="104"/>
      <c r="L5" s="104"/>
      <c r="M5" s="104"/>
      <c r="N5" s="104"/>
      <c r="O5" s="116"/>
      <c r="Q5" s="5"/>
    </row>
    <row r="6" spans="2:17" x14ac:dyDescent="0.25">
      <c r="B6" s="127">
        <v>36</v>
      </c>
      <c r="C6" s="137">
        <v>295</v>
      </c>
      <c r="D6" s="127"/>
      <c r="E6" s="127"/>
      <c r="J6" s="104"/>
      <c r="K6" s="104"/>
      <c r="L6" s="104"/>
      <c r="M6" s="104"/>
      <c r="N6" s="104"/>
      <c r="O6" s="116"/>
      <c r="Q6" s="5"/>
    </row>
    <row r="7" spans="2:17" x14ac:dyDescent="0.25">
      <c r="B7" s="59" t="s">
        <v>347</v>
      </c>
      <c r="C7" s="59" t="s">
        <v>245</v>
      </c>
      <c r="D7" s="16" t="s">
        <v>353</v>
      </c>
      <c r="E7" s="59" t="s">
        <v>252</v>
      </c>
      <c r="F7" s="124" t="s">
        <v>253</v>
      </c>
      <c r="G7" s="105"/>
      <c r="H7" s="100"/>
      <c r="I7" s="100"/>
      <c r="J7" s="106"/>
      <c r="K7" s="114"/>
      <c r="L7" s="104"/>
      <c r="M7" s="104"/>
      <c r="N7" s="104"/>
      <c r="O7" s="116"/>
      <c r="Q7" s="5"/>
    </row>
    <row r="8" spans="2:17" x14ac:dyDescent="0.25">
      <c r="B8" s="85" t="s">
        <v>257</v>
      </c>
      <c r="C8" s="85" t="s">
        <v>257</v>
      </c>
      <c r="D8" s="85" t="s">
        <v>257</v>
      </c>
      <c r="E8" s="85" t="s">
        <v>257</v>
      </c>
      <c r="F8" s="122" t="s">
        <v>257</v>
      </c>
      <c r="G8" s="105"/>
      <c r="H8" s="100"/>
      <c r="I8" s="100"/>
      <c r="J8" s="106"/>
      <c r="K8" s="114"/>
      <c r="L8" s="104"/>
      <c r="M8" s="104"/>
      <c r="N8" s="104"/>
      <c r="O8" s="116"/>
      <c r="Q8" s="5"/>
    </row>
    <row r="9" spans="2:17" x14ac:dyDescent="0.25">
      <c r="B9" s="121">
        <v>650</v>
      </c>
      <c r="C9" s="121">
        <v>2300</v>
      </c>
      <c r="D9" s="120">
        <v>206</v>
      </c>
      <c r="E9" s="125">
        <f>C9-D9</f>
        <v>2094</v>
      </c>
      <c r="F9" s="126">
        <f>E9*7/8</f>
        <v>1832.25</v>
      </c>
      <c r="G9" s="105"/>
      <c r="H9" s="100"/>
      <c r="I9" s="100"/>
      <c r="J9" s="106"/>
      <c r="K9" s="114"/>
      <c r="L9" s="104"/>
      <c r="M9" s="104"/>
      <c r="N9" s="104"/>
      <c r="O9" s="116"/>
      <c r="Q9" s="5"/>
    </row>
    <row r="10" spans="2:17" x14ac:dyDescent="0.25">
      <c r="B10" s="104"/>
      <c r="C10" s="104"/>
      <c r="D10" s="104"/>
      <c r="E10" s="104"/>
      <c r="F10" s="104"/>
      <c r="G10" s="104"/>
      <c r="H10" s="104"/>
      <c r="I10" s="104"/>
      <c r="J10" s="106"/>
      <c r="K10" s="114"/>
      <c r="L10" s="104"/>
      <c r="M10" s="104"/>
      <c r="N10" s="104"/>
      <c r="O10" s="116"/>
      <c r="Q10" s="5"/>
    </row>
    <row r="11" spans="2:17" x14ac:dyDescent="0.25">
      <c r="B11" s="103"/>
      <c r="F11" s="6" t="s">
        <v>342</v>
      </c>
      <c r="G11" s="6" t="s">
        <v>341</v>
      </c>
      <c r="H11" s="138" t="s">
        <v>343</v>
      </c>
      <c r="I11" s="100"/>
      <c r="J11" s="106"/>
      <c r="K11" s="114"/>
      <c r="L11" s="104"/>
      <c r="M11" s="104"/>
      <c r="N11" s="104"/>
      <c r="O11" s="116"/>
      <c r="Q11" s="5"/>
    </row>
    <row r="12" spans="2:17" ht="12.35" x14ac:dyDescent="0.25">
      <c r="B12" s="103"/>
      <c r="F12" s="1" t="s">
        <v>259</v>
      </c>
      <c r="G12" s="1" t="s">
        <v>256</v>
      </c>
      <c r="H12" s="134"/>
      <c r="I12" s="100"/>
      <c r="J12" s="106"/>
      <c r="K12" s="114"/>
      <c r="L12" s="104"/>
      <c r="M12" s="104"/>
      <c r="N12" s="104"/>
      <c r="O12" s="116"/>
      <c r="Q12" s="5"/>
    </row>
    <row r="13" spans="2:17" x14ac:dyDescent="0.25">
      <c r="B13" s="103"/>
      <c r="F13" s="128">
        <v>1.57</v>
      </c>
      <c r="G13" s="129">
        <v>0.85</v>
      </c>
      <c r="H13" s="123">
        <f>G13*F13</f>
        <v>1.3345</v>
      </c>
      <c r="I13" s="100"/>
      <c r="J13" s="106"/>
      <c r="K13" s="114"/>
      <c r="L13" s="104"/>
      <c r="M13" s="104"/>
      <c r="N13" s="104"/>
      <c r="O13" s="116"/>
      <c r="Q13" s="5"/>
    </row>
    <row r="14" spans="2:17" x14ac:dyDescent="0.25">
      <c r="B14" s="1"/>
      <c r="C14" s="1"/>
      <c r="D14" s="1"/>
      <c r="E14" s="1"/>
      <c r="F14" s="130"/>
      <c r="G14" s="130"/>
      <c r="H14" s="135"/>
      <c r="I14" s="115"/>
      <c r="J14" s="106"/>
      <c r="K14" s="114"/>
      <c r="L14" s="104"/>
      <c r="M14" s="104"/>
      <c r="N14" s="104"/>
      <c r="O14" s="116"/>
      <c r="Q14" s="5"/>
    </row>
    <row r="15" spans="2:17" ht="12.35" x14ac:dyDescent="0.25">
      <c r="B15" s="1" t="s">
        <v>351</v>
      </c>
      <c r="C15" s="1" t="s">
        <v>347</v>
      </c>
      <c r="D15" s="1" t="s">
        <v>197</v>
      </c>
      <c r="E15" s="1" t="s">
        <v>198</v>
      </c>
      <c r="F15" s="1" t="s">
        <v>348</v>
      </c>
      <c r="G15" s="1" t="s">
        <v>345</v>
      </c>
      <c r="H15" s="135"/>
      <c r="I15" s="115"/>
      <c r="J15" s="115"/>
      <c r="K15" s="115"/>
      <c r="L15" s="104"/>
      <c r="M15" s="104"/>
      <c r="N15" s="104"/>
      <c r="O15" s="104"/>
    </row>
    <row r="16" spans="2:17" ht="11.7" x14ac:dyDescent="0.25">
      <c r="B16" s="7">
        <v>195</v>
      </c>
      <c r="C16" s="131">
        <f>+B9</f>
        <v>650</v>
      </c>
      <c r="D16" s="127" t="s">
        <v>333</v>
      </c>
      <c r="E16" s="7" t="e">
        <f ca="1">[1]!Bar(D16,11)*100</f>
        <v>#NAME?</v>
      </c>
      <c r="F16" s="127">
        <v>150</v>
      </c>
      <c r="G16" s="132" t="e">
        <f ca="1">E16/C16/F16</f>
        <v>#NAME?</v>
      </c>
      <c r="H16" s="136" t="e">
        <f ca="1">0.5*B16*(G16-0.002)</f>
        <v>#NAME?</v>
      </c>
      <c r="I16" s="111"/>
      <c r="J16" s="115"/>
      <c r="K16" s="115"/>
      <c r="L16" s="115"/>
      <c r="M16" s="115"/>
      <c r="N16" s="104"/>
      <c r="O16" s="104"/>
    </row>
    <row r="17" spans="1:15" x14ac:dyDescent="0.25">
      <c r="C17" s="5"/>
      <c r="D17" s="103"/>
      <c r="E17" s="10"/>
      <c r="F17" s="10"/>
      <c r="G17" s="1" t="s">
        <v>340</v>
      </c>
      <c r="H17" s="1"/>
      <c r="I17" s="6"/>
      <c r="J17" s="103"/>
      <c r="K17" s="100"/>
      <c r="L17" s="112"/>
      <c r="M17" s="100"/>
      <c r="N17" s="104"/>
      <c r="O17" s="104"/>
    </row>
    <row r="18" spans="1:15" x14ac:dyDescent="0.25">
      <c r="C18" s="5"/>
      <c r="D18" s="103"/>
      <c r="E18" s="7" t="s">
        <v>347</v>
      </c>
      <c r="F18" s="127" t="s">
        <v>349</v>
      </c>
      <c r="G18" s="1" t="s">
        <v>258</v>
      </c>
      <c r="H18" s="1"/>
      <c r="I18" s="10"/>
      <c r="J18" s="103"/>
      <c r="K18" s="100"/>
      <c r="L18" s="112"/>
      <c r="M18" s="100"/>
      <c r="N18" s="104"/>
      <c r="O18" s="104"/>
    </row>
    <row r="19" spans="1:15" ht="11.7" x14ac:dyDescent="0.25">
      <c r="C19" s="5"/>
      <c r="D19" s="103"/>
      <c r="E19" s="7">
        <f>B9</f>
        <v>650</v>
      </c>
      <c r="F19" s="7">
        <f>+F9</f>
        <v>1832.25</v>
      </c>
      <c r="G19" s="133">
        <f>+E19*F19</f>
        <v>1190962.5</v>
      </c>
      <c r="H19" s="132" t="e">
        <f ca="1">+H16+H13</f>
        <v>#NAME?</v>
      </c>
      <c r="I19" s="7" t="e">
        <f ca="1">E19*F19*H19/1000</f>
        <v>#NAME?</v>
      </c>
      <c r="J19" s="103"/>
      <c r="K19" s="100"/>
      <c r="L19" s="112"/>
      <c r="M19" s="100"/>
      <c r="N19" s="104"/>
      <c r="O19" s="104"/>
    </row>
    <row r="20" spans="1:15" x14ac:dyDescent="0.25">
      <c r="J20" s="103"/>
      <c r="K20" s="100"/>
      <c r="L20" s="112"/>
      <c r="M20" s="100"/>
      <c r="N20" s="104"/>
      <c r="O20" s="104"/>
    </row>
    <row r="21" spans="1:15" x14ac:dyDescent="0.25">
      <c r="C21" s="5"/>
      <c r="D21" s="103"/>
      <c r="J21" s="103"/>
      <c r="K21" s="100"/>
      <c r="L21" s="112"/>
      <c r="M21" s="100"/>
      <c r="N21" s="104"/>
      <c r="O21" s="104"/>
    </row>
    <row r="22" spans="1:15" ht="11.7" x14ac:dyDescent="0.25">
      <c r="C22" s="5"/>
      <c r="D22" s="103"/>
      <c r="E22" s="100"/>
      <c r="F22" s="105"/>
      <c r="G22" s="109"/>
      <c r="H22" s="110"/>
      <c r="I22" s="111"/>
      <c r="J22" s="103"/>
      <c r="K22" s="100"/>
      <c r="L22" s="112"/>
      <c r="M22" s="100"/>
    </row>
    <row r="23" spans="1:15" x14ac:dyDescent="0.25">
      <c r="A23" s="104"/>
      <c r="J23" s="103"/>
      <c r="K23" s="100"/>
      <c r="L23" s="112"/>
      <c r="M23" s="100"/>
    </row>
    <row r="24" spans="1:15" ht="11.25" customHeight="1" x14ac:dyDescent="0.25">
      <c r="A24" s="104"/>
      <c r="J24" s="103"/>
      <c r="K24" s="100"/>
      <c r="L24" s="112"/>
      <c r="M24" s="100"/>
    </row>
    <row r="25" spans="1:15" x14ac:dyDescent="0.25">
      <c r="A25" s="104"/>
      <c r="J25" s="103"/>
      <c r="K25" s="100"/>
      <c r="L25" s="112"/>
      <c r="M25" s="100"/>
    </row>
    <row r="26" spans="1:15" x14ac:dyDescent="0.25">
      <c r="A26" s="104"/>
      <c r="J26" s="103"/>
      <c r="K26" s="100"/>
      <c r="L26" s="112"/>
      <c r="M26" s="100"/>
    </row>
    <row r="27" spans="1:15" x14ac:dyDescent="0.25">
      <c r="A27" s="104"/>
      <c r="J27" s="103"/>
      <c r="K27" s="100"/>
      <c r="L27" s="112"/>
      <c r="M27" s="100"/>
    </row>
    <row r="28" spans="1:15" x14ac:dyDescent="0.25">
      <c r="A28" s="104"/>
      <c r="J28" s="103"/>
      <c r="K28" s="100"/>
      <c r="L28" s="112"/>
      <c r="M28" s="100"/>
    </row>
    <row r="29" spans="1:15" x14ac:dyDescent="0.25">
      <c r="A29" s="104"/>
      <c r="J29" s="103"/>
      <c r="K29" s="100"/>
      <c r="L29" s="112"/>
      <c r="M29" s="100"/>
    </row>
    <row r="30" spans="1:15" x14ac:dyDescent="0.25">
      <c r="A30" s="104"/>
      <c r="J30" s="103"/>
      <c r="K30" s="100"/>
      <c r="L30" s="112"/>
      <c r="M30" s="100"/>
    </row>
    <row r="31" spans="1:15" x14ac:dyDescent="0.25">
      <c r="A31" s="104"/>
      <c r="J31" s="103"/>
      <c r="K31" s="100"/>
      <c r="L31" s="112"/>
      <c r="M31" s="100"/>
    </row>
    <row r="32" spans="1:15" x14ac:dyDescent="0.25">
      <c r="A32" s="104"/>
      <c r="J32" s="103"/>
      <c r="K32" s="100"/>
      <c r="L32" s="112"/>
      <c r="M32" s="100"/>
    </row>
    <row r="33" spans="1:13" x14ac:dyDescent="0.25">
      <c r="A33" s="104"/>
      <c r="J33" s="103"/>
      <c r="K33" s="100"/>
      <c r="L33" s="112"/>
      <c r="M33" s="100"/>
    </row>
    <row r="34" spans="1:13" x14ac:dyDescent="0.25">
      <c r="A34" s="104"/>
      <c r="J34" s="103"/>
      <c r="K34" s="100"/>
      <c r="L34" s="112"/>
      <c r="M34" s="100"/>
    </row>
    <row r="35" spans="1:13" x14ac:dyDescent="0.25">
      <c r="A35" s="104"/>
      <c r="J35" s="103"/>
      <c r="K35" s="100"/>
      <c r="L35" s="112"/>
      <c r="M35" s="100"/>
    </row>
    <row r="36" spans="1:13" x14ac:dyDescent="0.25">
      <c r="A36" s="104"/>
      <c r="J36" s="103"/>
      <c r="K36" s="100"/>
      <c r="L36" s="112"/>
      <c r="M36" s="100"/>
    </row>
    <row r="37" spans="1:13" x14ac:dyDescent="0.25">
      <c r="A37" s="104"/>
      <c r="B37" s="70" t="s">
        <v>246</v>
      </c>
      <c r="D37" s="207" t="s">
        <v>250</v>
      </c>
      <c r="E37" s="82"/>
      <c r="J37" s="103"/>
      <c r="K37" s="100"/>
      <c r="L37" s="112"/>
      <c r="M37" s="100"/>
    </row>
    <row r="38" spans="1:13" ht="12.35" x14ac:dyDescent="0.25">
      <c r="A38" s="104"/>
      <c r="B38" s="84" t="s">
        <v>256</v>
      </c>
      <c r="D38" s="208"/>
      <c r="E38" s="86"/>
      <c r="J38" s="103"/>
      <c r="K38" s="100"/>
      <c r="L38" s="112"/>
      <c r="M38" s="100"/>
    </row>
    <row r="39" spans="1:13" x14ac:dyDescent="0.25">
      <c r="A39" s="104"/>
      <c r="B39" s="73">
        <v>220</v>
      </c>
      <c r="D39" s="74">
        <v>15</v>
      </c>
      <c r="E39" s="88"/>
      <c r="J39" s="103"/>
      <c r="K39" s="100"/>
      <c r="L39" s="112"/>
      <c r="M39" s="100"/>
    </row>
    <row r="40" spans="1:13" x14ac:dyDescent="0.25">
      <c r="A40" s="104"/>
      <c r="B40" s="59" t="s">
        <v>251</v>
      </c>
      <c r="C40" s="59" t="s">
        <v>245</v>
      </c>
      <c r="D40" s="59" t="s">
        <v>252</v>
      </c>
      <c r="E40" s="83" t="s">
        <v>253</v>
      </c>
      <c r="F40" s="59" t="s">
        <v>340</v>
      </c>
      <c r="G40" s="105"/>
      <c r="H40" s="100"/>
      <c r="I40" s="100"/>
      <c r="J40" s="103"/>
      <c r="K40" s="100"/>
      <c r="L40" s="112"/>
      <c r="M40" s="100"/>
    </row>
    <row r="41" spans="1:13" x14ac:dyDescent="0.25">
      <c r="A41" s="104"/>
      <c r="B41" s="85" t="s">
        <v>257</v>
      </c>
      <c r="C41" s="85" t="s">
        <v>257</v>
      </c>
      <c r="D41" s="85" t="s">
        <v>257</v>
      </c>
      <c r="E41" s="85" t="s">
        <v>257</v>
      </c>
      <c r="F41" s="85" t="s">
        <v>258</v>
      </c>
      <c r="G41" s="105"/>
      <c r="H41" s="100"/>
      <c r="I41" s="100"/>
      <c r="J41" s="103"/>
      <c r="K41" s="100"/>
      <c r="L41" s="112"/>
      <c r="M41" s="100"/>
    </row>
    <row r="42" spans="1:13" x14ac:dyDescent="0.25">
      <c r="A42" s="104"/>
      <c r="B42" s="89">
        <v>650</v>
      </c>
      <c r="C42" s="89">
        <v>2300</v>
      </c>
      <c r="D42" s="65">
        <f>C42-206</f>
        <v>2094</v>
      </c>
      <c r="E42" s="65">
        <f>D42*7/8</f>
        <v>1832.25</v>
      </c>
      <c r="F42" s="90">
        <f>B42*E42</f>
        <v>1190962.5</v>
      </c>
      <c r="G42" s="105"/>
      <c r="H42" s="100"/>
      <c r="I42" s="100"/>
      <c r="J42" s="103"/>
      <c r="K42" s="100"/>
      <c r="L42" s="112"/>
      <c r="M42" s="100"/>
    </row>
    <row r="43" spans="1:13" x14ac:dyDescent="0.25">
      <c r="B43" s="102"/>
      <c r="C43" s="103"/>
      <c r="D43" s="103"/>
      <c r="E43" s="104"/>
      <c r="F43" s="105"/>
      <c r="G43" s="105"/>
      <c r="H43" s="100"/>
      <c r="I43" s="100"/>
      <c r="J43" s="103"/>
      <c r="K43" s="100"/>
      <c r="L43" s="112"/>
      <c r="M43" s="100"/>
    </row>
    <row r="44" spans="1:13" x14ac:dyDescent="0.25">
      <c r="B44" s="102"/>
      <c r="C44" s="103"/>
      <c r="D44" s="103"/>
      <c r="E44" s="104"/>
      <c r="F44" s="105"/>
      <c r="G44" s="105"/>
      <c r="H44" s="100"/>
      <c r="I44" s="100"/>
      <c r="J44" s="103"/>
      <c r="K44" s="100"/>
      <c r="L44" s="112"/>
      <c r="M44" s="100"/>
    </row>
    <row r="45" spans="1:13" x14ac:dyDescent="0.25">
      <c r="B45" s="102"/>
      <c r="F45" s="60" t="s">
        <v>342</v>
      </c>
      <c r="G45" s="59" t="s">
        <v>341</v>
      </c>
      <c r="H45" s="60" t="s">
        <v>343</v>
      </c>
      <c r="I45" s="100"/>
      <c r="J45" s="103"/>
      <c r="K45" s="100"/>
      <c r="L45" s="112"/>
      <c r="M45" s="100"/>
    </row>
    <row r="46" spans="1:13" ht="12.35" x14ac:dyDescent="0.25">
      <c r="B46" s="102"/>
      <c r="F46" s="87" t="s">
        <v>259</v>
      </c>
      <c r="G46" s="85" t="s">
        <v>256</v>
      </c>
      <c r="I46" s="100"/>
      <c r="J46" s="103"/>
      <c r="K46" s="100"/>
      <c r="L46" s="112"/>
      <c r="M46" s="100"/>
    </row>
    <row r="47" spans="1:13" x14ac:dyDescent="0.25">
      <c r="B47" s="102"/>
      <c r="F47" s="101">
        <v>1.57</v>
      </c>
      <c r="G47" s="74">
        <v>1.28</v>
      </c>
      <c r="H47" s="4">
        <f>G47*F47</f>
        <v>2.0096000000000003</v>
      </c>
      <c r="I47" s="100"/>
      <c r="J47" s="103"/>
      <c r="K47" s="100"/>
      <c r="L47" s="112"/>
      <c r="M47" s="100"/>
    </row>
    <row r="48" spans="1:13" x14ac:dyDescent="0.25">
      <c r="B48" s="203" t="s">
        <v>2</v>
      </c>
      <c r="C48" s="204"/>
      <c r="D48" s="204" t="s">
        <v>3</v>
      </c>
      <c r="E48" s="204"/>
      <c r="F48" s="80" t="s">
        <v>42</v>
      </c>
      <c r="G48" s="80" t="s">
        <v>43</v>
      </c>
      <c r="H48" s="80"/>
      <c r="I48" s="117"/>
      <c r="J48" s="103"/>
      <c r="K48" s="100"/>
      <c r="L48" s="112"/>
      <c r="M48" s="100"/>
    </row>
    <row r="49" spans="2:13" ht="12.35" x14ac:dyDescent="0.25">
      <c r="C49" s="4" t="s">
        <v>347</v>
      </c>
      <c r="D49" s="78" t="s">
        <v>197</v>
      </c>
      <c r="E49" s="79" t="s">
        <v>198</v>
      </c>
      <c r="F49" s="79" t="s">
        <v>348</v>
      </c>
      <c r="G49" s="62" t="s">
        <v>345</v>
      </c>
      <c r="H49" s="71"/>
      <c r="I49" s="118"/>
      <c r="J49" s="103"/>
      <c r="K49" s="100"/>
      <c r="L49" s="112"/>
      <c r="M49" s="100"/>
    </row>
    <row r="50" spans="2:13" ht="11.7" x14ac:dyDescent="0.25">
      <c r="B50" s="4">
        <v>295</v>
      </c>
      <c r="C50" s="5">
        <f>+B42</f>
        <v>650</v>
      </c>
      <c r="D50" s="73" t="s">
        <v>350</v>
      </c>
      <c r="E50" s="65" t="e">
        <f ca="1">[1]!Bar(D50,11)*100</f>
        <v>#NAME?</v>
      </c>
      <c r="F50" s="74">
        <v>150</v>
      </c>
      <c r="G50" s="107" t="e">
        <f ca="1">E50/C50/F50</f>
        <v>#NAME?</v>
      </c>
      <c r="H50" s="108" t="e">
        <f ca="1">0.5*B50*(G50-0.002)</f>
        <v>#NAME?</v>
      </c>
      <c r="I50" s="119"/>
      <c r="J50" s="103"/>
      <c r="K50" s="100"/>
      <c r="L50" s="112"/>
      <c r="M50" s="100"/>
    </row>
    <row r="51" spans="2:13" ht="11.7" x14ac:dyDescent="0.25">
      <c r="C51" s="5"/>
      <c r="D51" s="103"/>
      <c r="E51" s="100"/>
      <c r="F51" s="103"/>
      <c r="G51" s="109"/>
      <c r="H51" s="110"/>
      <c r="I51" s="111"/>
      <c r="J51" s="103"/>
      <c r="K51" s="100"/>
      <c r="L51" s="112"/>
      <c r="M51" s="100"/>
    </row>
    <row r="52" spans="2:13" x14ac:dyDescent="0.25">
      <c r="C52" s="5"/>
      <c r="D52" s="103"/>
      <c r="F52" s="100" t="s">
        <v>347</v>
      </c>
      <c r="G52" s="103" t="s">
        <v>349</v>
      </c>
      <c r="I52" s="111"/>
      <c r="J52" s="103"/>
      <c r="K52" s="100"/>
      <c r="L52" s="112"/>
      <c r="M52" s="100"/>
    </row>
    <row r="53" spans="2:13" ht="11.7" x14ac:dyDescent="0.25">
      <c r="C53" s="5"/>
      <c r="D53" s="103"/>
      <c r="F53" s="100">
        <f>B42</f>
        <v>650</v>
      </c>
      <c r="G53" s="105">
        <f>+E42</f>
        <v>1832.25</v>
      </c>
      <c r="H53" s="109" t="e">
        <f ca="1">+H50+H47</f>
        <v>#NAME?</v>
      </c>
      <c r="I53" s="110" t="e">
        <f ca="1">F53*G53*H53/1000</f>
        <v>#NAME?</v>
      </c>
      <c r="J53" s="103"/>
      <c r="K53" s="100"/>
      <c r="L53" s="112"/>
      <c r="M53" s="100"/>
    </row>
    <row r="54" spans="2:13" ht="11.7" x14ac:dyDescent="0.25">
      <c r="C54" s="5"/>
      <c r="D54" s="103"/>
      <c r="E54" s="100"/>
      <c r="F54" s="103"/>
      <c r="G54" s="109"/>
      <c r="H54" s="110"/>
      <c r="I54" s="111"/>
      <c r="J54" s="103"/>
      <c r="K54" s="100"/>
      <c r="L54" s="112"/>
      <c r="M54" s="100"/>
    </row>
    <row r="55" spans="2:13" ht="11.7" x14ac:dyDescent="0.25">
      <c r="C55" s="5"/>
      <c r="D55" s="103"/>
      <c r="E55" s="100"/>
      <c r="F55" s="103"/>
      <c r="G55" s="109"/>
      <c r="H55" s="110"/>
      <c r="I55" s="111"/>
      <c r="J55" s="103"/>
      <c r="K55" s="100"/>
      <c r="L55" s="112"/>
      <c r="M55" s="100"/>
    </row>
    <row r="56" spans="2:13" x14ac:dyDescent="0.25">
      <c r="B56" s="198" t="s">
        <v>90</v>
      </c>
      <c r="C56" s="199"/>
      <c r="D56" s="199"/>
      <c r="E56" s="199"/>
      <c r="F56" s="199"/>
      <c r="G56" s="199"/>
      <c r="H56" s="199"/>
      <c r="I56" s="199"/>
      <c r="J56" s="199"/>
      <c r="K56" s="200"/>
    </row>
    <row r="57" spans="2:13" x14ac:dyDescent="0.25">
      <c r="B57" s="203" t="s">
        <v>2</v>
      </c>
      <c r="C57" s="204"/>
      <c r="D57" s="205" t="s">
        <v>3</v>
      </c>
      <c r="E57" s="206"/>
      <c r="F57" s="80" t="s">
        <v>261</v>
      </c>
      <c r="G57" s="80" t="s">
        <v>262</v>
      </c>
      <c r="H57" s="80" t="s">
        <v>215</v>
      </c>
      <c r="I57" s="80" t="s">
        <v>216</v>
      </c>
      <c r="J57" s="80" t="s">
        <v>263</v>
      </c>
      <c r="K57" s="81" t="s">
        <v>264</v>
      </c>
    </row>
    <row r="58" spans="2:13" ht="12.35" x14ac:dyDescent="0.25">
      <c r="B58" s="61" t="s">
        <v>197</v>
      </c>
      <c r="C58" s="62" t="s">
        <v>265</v>
      </c>
      <c r="D58" s="62" t="s">
        <v>344</v>
      </c>
      <c r="E58" s="62" t="s">
        <v>345</v>
      </c>
      <c r="F58" s="71" t="s">
        <v>200</v>
      </c>
      <c r="G58" s="71" t="s">
        <v>175</v>
      </c>
      <c r="H58" s="71" t="s">
        <v>175</v>
      </c>
      <c r="I58" s="71" t="s">
        <v>175</v>
      </c>
      <c r="J58" s="71" t="s">
        <v>175</v>
      </c>
      <c r="K58" s="72" t="s">
        <v>175</v>
      </c>
    </row>
    <row r="59" spans="2:13" ht="11.7" x14ac:dyDescent="0.25">
      <c r="B59" s="73" t="s">
        <v>337</v>
      </c>
      <c r="C59" s="65" t="e">
        <f ca="1">[1]!Bar(B59,11)*100</f>
        <v>#NAME?</v>
      </c>
      <c r="D59" s="74">
        <v>100</v>
      </c>
      <c r="E59" s="97" t="s">
        <v>346</v>
      </c>
      <c r="F59" s="65" t="e">
        <f ca="1">+C59+E59</f>
        <v>#NAME?</v>
      </c>
      <c r="G59" s="76">
        <v>50</v>
      </c>
      <c r="H59" s="74">
        <v>13</v>
      </c>
      <c r="I59" s="65" t="e">
        <f ca="1">[1]!Bar(B59,1)*10/2</f>
        <v>#NAME?</v>
      </c>
      <c r="J59" s="77" t="e">
        <f ca="1">(MAX(25,[1]!Bar(B59,1)*10*1.5)+[1]!Bar(B59,1)*10)*E59/F59</f>
        <v>#NAME?</v>
      </c>
      <c r="K59" s="67" t="e">
        <f ca="1">IF(E59=0,0,MAX(25,[1]!Bar(B59,1)*10*1.5))+G59+H59+I59</f>
        <v>#NAME?</v>
      </c>
    </row>
    <row r="60" spans="2:13" x14ac:dyDescent="0.25">
      <c r="B60" s="194" t="s">
        <v>266</v>
      </c>
      <c r="C60" s="196" t="s">
        <v>267</v>
      </c>
      <c r="D60" s="59" t="s">
        <v>268</v>
      </c>
      <c r="E60" s="59" t="s">
        <v>269</v>
      </c>
      <c r="F60" s="59" t="s">
        <v>270</v>
      </c>
      <c r="G60" s="59" t="s">
        <v>271</v>
      </c>
      <c r="H60" s="59" t="s">
        <v>272</v>
      </c>
      <c r="I60" s="59" t="s">
        <v>273</v>
      </c>
      <c r="J60" s="59"/>
      <c r="K60" s="60" t="s">
        <v>274</v>
      </c>
    </row>
    <row r="61" spans="2:13" ht="12.35" x14ac:dyDescent="0.25">
      <c r="B61" s="195"/>
      <c r="C61" s="197"/>
      <c r="D61" s="68" t="s">
        <v>175</v>
      </c>
      <c r="E61" s="68" t="s">
        <v>275</v>
      </c>
      <c r="F61" s="68" t="s">
        <v>275</v>
      </c>
      <c r="G61" s="68" t="s">
        <v>203</v>
      </c>
      <c r="H61" s="68" t="s">
        <v>203</v>
      </c>
      <c r="I61" s="68" t="s">
        <v>203</v>
      </c>
      <c r="J61" s="68"/>
      <c r="K61" s="69" t="s">
        <v>204</v>
      </c>
    </row>
    <row r="62" spans="2:13" x14ac:dyDescent="0.25">
      <c r="B62" s="63" t="e">
        <f ca="1">F59/H16</f>
        <v>#NAME?</v>
      </c>
      <c r="C62" s="64" t="e">
        <f ca="1">[1]!RcGMa($B9/10, $C9/10, $M17/10, $K59/10, $H16/100, $F59/100, $G13*10, $D6*10, $E6, 3)</f>
        <v>#NAME?</v>
      </c>
      <c r="D62" s="65" t="e">
        <f ca="1">E9*C62</f>
        <v>#NAME?</v>
      </c>
      <c r="E62" s="64" t="e">
        <f ca="1">H16/(B9*E9)*100</f>
        <v>#NAME?</v>
      </c>
      <c r="F62" s="64" t="e">
        <f ca="1">[1]!RcGMa($B9/10, $C9/10, $M17/10, $K59/10, $H16/100, $F59/100, $G13*10, $D6*10, $E6, 4)*100</f>
        <v>#NAME?</v>
      </c>
      <c r="G62" s="66" t="e">
        <f ca="1">[1]!RcGMa($B9/10, $C9/10, $M17/10, $K59/10, $H16/100, $F59/100, $G13*10, $D6*10, $E6, 1)*10/100</f>
        <v>#NAME?</v>
      </c>
      <c r="H62" s="66" t="e">
        <f ca="1">[1]!RcGMa($B9/10, $C9/10, $M17/10, $K59/10, $H16/100, $F59/100, $G13*10, $D6*10, $E6, 2)*10/100</f>
        <v>#NAME?</v>
      </c>
      <c r="I62" s="66" t="e">
        <f ca="1">MIN(G62:H62)</f>
        <v>#NAME?</v>
      </c>
      <c r="J62" s="65" t="e">
        <f ca="1">#REF!*I62/1000/1000</f>
        <v>#REF!</v>
      </c>
      <c r="K62" s="67" t="e">
        <f ca="1">[1]!RcGMa($B9/10, $C9/10, $M17/10, $K59/10, $H16/100, $F59/100, $G13*10, $D6*10, $E6, 11)*10</f>
        <v>#NAME?</v>
      </c>
    </row>
    <row r="64" spans="2:13" ht="11.7" x14ac:dyDescent="0.25">
      <c r="C64" s="21" t="s">
        <v>338</v>
      </c>
      <c r="D64" t="s">
        <v>128</v>
      </c>
      <c r="E64"/>
      <c r="F64"/>
      <c r="G64"/>
      <c r="H64"/>
    </row>
    <row r="65" spans="3:10" ht="11.7" x14ac:dyDescent="0.25">
      <c r="C65" s="21" t="s">
        <v>276</v>
      </c>
      <c r="D65" t="s">
        <v>127</v>
      </c>
      <c r="E65"/>
      <c r="F65"/>
      <c r="G65"/>
      <c r="H65"/>
      <c r="J65" s="5"/>
    </row>
    <row r="66" spans="3:10" ht="11.7" x14ac:dyDescent="0.25">
      <c r="C66" s="21" t="s">
        <v>277</v>
      </c>
      <c r="D66" t="s">
        <v>130</v>
      </c>
    </row>
    <row r="67" spans="3:10" x14ac:dyDescent="0.25">
      <c r="C67" s="12" t="s">
        <v>278</v>
      </c>
      <c r="D67" s="4" t="s">
        <v>37</v>
      </c>
    </row>
    <row r="68" spans="3:10" x14ac:dyDescent="0.25">
      <c r="C68" s="12" t="s">
        <v>339</v>
      </c>
      <c r="D68" s="4" t="s">
        <v>38</v>
      </c>
      <c r="I68" s="4" t="s">
        <v>61</v>
      </c>
    </row>
    <row r="69" spans="3:10" x14ac:dyDescent="0.25">
      <c r="C69" s="12" t="s">
        <v>62</v>
      </c>
      <c r="D69" s="4" t="s">
        <v>63</v>
      </c>
    </row>
    <row r="70" spans="3:10" x14ac:dyDescent="0.25">
      <c r="C70" s="12" t="s">
        <v>280</v>
      </c>
      <c r="D70" s="4" t="s">
        <v>219</v>
      </c>
    </row>
    <row r="71" spans="3:10" x14ac:dyDescent="0.25">
      <c r="C71" s="12" t="s">
        <v>281</v>
      </c>
      <c r="D71" s="4" t="s">
        <v>220</v>
      </c>
    </row>
    <row r="72" spans="3:10" x14ac:dyDescent="0.25">
      <c r="C72" s="12" t="s">
        <v>282</v>
      </c>
      <c r="D72" s="4" t="s">
        <v>223</v>
      </c>
    </row>
    <row r="73" spans="3:10" x14ac:dyDescent="0.25">
      <c r="C73" s="12" t="s">
        <v>283</v>
      </c>
      <c r="D73" s="4" t="s">
        <v>224</v>
      </c>
    </row>
    <row r="74" spans="3:10" x14ac:dyDescent="0.25">
      <c r="C74" s="12" t="s">
        <v>284</v>
      </c>
      <c r="D74" s="4" t="s">
        <v>226</v>
      </c>
      <c r="I74" s="4" t="s">
        <v>285</v>
      </c>
    </row>
    <row r="75" spans="3:10" x14ac:dyDescent="0.25">
      <c r="C75" s="12" t="s">
        <v>286</v>
      </c>
      <c r="D75" s="4" t="s">
        <v>227</v>
      </c>
      <c r="I75" s="4" t="s">
        <v>287</v>
      </c>
    </row>
    <row r="76" spans="3:10" x14ac:dyDescent="0.25">
      <c r="C76" s="12" t="s">
        <v>288</v>
      </c>
      <c r="D76" s="4" t="s">
        <v>231</v>
      </c>
    </row>
    <row r="77" spans="3:10" x14ac:dyDescent="0.25">
      <c r="C77" s="12" t="s">
        <v>232</v>
      </c>
      <c r="D77" s="4" t="s">
        <v>233</v>
      </c>
    </row>
    <row r="78" spans="3:10" x14ac:dyDescent="0.25">
      <c r="C78" s="12" t="s">
        <v>289</v>
      </c>
      <c r="D78" s="4" t="s">
        <v>235</v>
      </c>
    </row>
    <row r="79" spans="3:10" x14ac:dyDescent="0.25">
      <c r="C79" s="12" t="s">
        <v>290</v>
      </c>
      <c r="D79" s="4" t="s">
        <v>11</v>
      </c>
      <c r="F79" s="13" t="s">
        <v>291</v>
      </c>
    </row>
    <row r="80" spans="3:10" x14ac:dyDescent="0.25">
      <c r="C80" s="12" t="s">
        <v>292</v>
      </c>
      <c r="D80" s="4" t="s">
        <v>239</v>
      </c>
    </row>
    <row r="81" spans="3:4" x14ac:dyDescent="0.25">
      <c r="C81" s="12" t="s">
        <v>143</v>
      </c>
      <c r="D81" s="4" t="s">
        <v>241</v>
      </c>
    </row>
    <row r="82" spans="3:4" x14ac:dyDescent="0.25">
      <c r="C82" s="12"/>
    </row>
    <row r="83" spans="3:4" x14ac:dyDescent="0.25">
      <c r="C83" s="12"/>
    </row>
    <row r="84" spans="3:4" x14ac:dyDescent="0.25">
      <c r="C84" s="12"/>
    </row>
    <row r="85" spans="3:4" x14ac:dyDescent="0.25">
      <c r="C85" s="12"/>
    </row>
  </sheetData>
  <mergeCells count="9">
    <mergeCell ref="B60:B61"/>
    <mergeCell ref="C60:C61"/>
    <mergeCell ref="B56:K56"/>
    <mergeCell ref="E4:E5"/>
    <mergeCell ref="B57:C57"/>
    <mergeCell ref="D57:E57"/>
    <mergeCell ref="D37:D38"/>
    <mergeCell ref="B48:C48"/>
    <mergeCell ref="D48:E48"/>
  </mergeCells>
  <phoneticPr fontId="3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Q54"/>
  <sheetViews>
    <sheetView workbookViewId="0">
      <selection activeCell="I19" sqref="I19"/>
    </sheetView>
  </sheetViews>
  <sheetFormatPr defaultColWidth="9.1328125" defaultRowHeight="10.7" x14ac:dyDescent="0.25"/>
  <cols>
    <col min="1" max="1" width="2.6640625" style="4" customWidth="1"/>
    <col min="2" max="11" width="9.6640625" style="4" customWidth="1"/>
    <col min="12" max="16384" width="9.1328125" style="4"/>
  </cols>
  <sheetData>
    <row r="2" spans="2:17" x14ac:dyDescent="0.25">
      <c r="B2" s="4" t="s">
        <v>241</v>
      </c>
    </row>
    <row r="3" spans="2:17" x14ac:dyDescent="0.25">
      <c r="H3" s="15"/>
      <c r="I3" s="15"/>
      <c r="J3" s="15"/>
      <c r="O3" s="5"/>
      <c r="Q3" s="5"/>
    </row>
    <row r="4" spans="2:17" ht="12" customHeight="1" x14ac:dyDescent="0.25">
      <c r="B4" s="70" t="s">
        <v>361</v>
      </c>
      <c r="C4" s="59" t="s">
        <v>201</v>
      </c>
      <c r="D4" s="207" t="s">
        <v>202</v>
      </c>
      <c r="E4" s="82"/>
      <c r="F4" s="59" t="s">
        <v>205</v>
      </c>
      <c r="G4" s="59" t="s">
        <v>101</v>
      </c>
      <c r="H4" s="59" t="s">
        <v>206</v>
      </c>
      <c r="I4" s="83"/>
      <c r="J4" s="215" t="s">
        <v>362</v>
      </c>
      <c r="K4" s="216"/>
      <c r="O4" s="5"/>
      <c r="Q4" s="5"/>
    </row>
    <row r="5" spans="2:17" ht="12.35" x14ac:dyDescent="0.25">
      <c r="B5" s="84" t="s">
        <v>203</v>
      </c>
      <c r="C5" s="85" t="s">
        <v>203</v>
      </c>
      <c r="D5" s="208"/>
      <c r="E5" s="86"/>
      <c r="F5" s="85" t="s">
        <v>133</v>
      </c>
      <c r="G5" s="85" t="s">
        <v>133</v>
      </c>
      <c r="H5" s="85" t="s">
        <v>133</v>
      </c>
      <c r="I5" s="85"/>
      <c r="J5" s="217" t="s">
        <v>204</v>
      </c>
      <c r="K5" s="218"/>
      <c r="O5" s="5"/>
      <c r="Q5" s="5"/>
    </row>
    <row r="6" spans="2:17" ht="12" customHeight="1" x14ac:dyDescent="0.25">
      <c r="B6" s="73">
        <v>345</v>
      </c>
      <c r="C6" s="74">
        <v>21</v>
      </c>
      <c r="D6" s="74">
        <v>15</v>
      </c>
      <c r="E6" s="88"/>
      <c r="F6" s="89">
        <v>350</v>
      </c>
      <c r="G6" s="89">
        <v>750</v>
      </c>
      <c r="H6" s="65" t="e">
        <f ca="1">G6-K10</f>
        <v>#NAME?</v>
      </c>
      <c r="I6" s="65"/>
      <c r="J6" s="219" t="e">
        <f ca="1">0.9*F10*B6*H6/1000/1000</f>
        <v>#NAME?</v>
      </c>
      <c r="K6" s="220"/>
      <c r="O6" s="5"/>
      <c r="Q6" s="5"/>
    </row>
    <row r="7" spans="2:17" ht="11.7" x14ac:dyDescent="0.25">
      <c r="B7" s="212" t="s">
        <v>91</v>
      </c>
      <c r="C7" s="213"/>
      <c r="D7" s="213"/>
      <c r="E7" s="213"/>
      <c r="F7" s="213"/>
      <c r="G7" s="213"/>
      <c r="H7" s="213"/>
      <c r="I7" s="213"/>
      <c r="J7" s="213"/>
      <c r="K7" s="214"/>
      <c r="O7" s="5"/>
      <c r="Q7" s="5"/>
    </row>
    <row r="8" spans="2:17" x14ac:dyDescent="0.25">
      <c r="B8" s="203" t="s">
        <v>2</v>
      </c>
      <c r="C8" s="204"/>
      <c r="D8" s="204" t="s">
        <v>3</v>
      </c>
      <c r="E8" s="204"/>
      <c r="F8" s="80" t="s">
        <v>42</v>
      </c>
      <c r="G8" s="80" t="s">
        <v>43</v>
      </c>
      <c r="H8" s="80" t="s">
        <v>30</v>
      </c>
      <c r="I8" s="80" t="s">
        <v>31</v>
      </c>
      <c r="J8" s="80" t="s">
        <v>209</v>
      </c>
      <c r="K8" s="81" t="s">
        <v>210</v>
      </c>
    </row>
    <row r="9" spans="2:17" ht="12.35" x14ac:dyDescent="0.25">
      <c r="B9" s="78" t="s">
        <v>197</v>
      </c>
      <c r="C9" s="79" t="s">
        <v>198</v>
      </c>
      <c r="D9" s="79" t="s">
        <v>197</v>
      </c>
      <c r="E9" s="79" t="s">
        <v>199</v>
      </c>
      <c r="F9" s="71" t="s">
        <v>200</v>
      </c>
      <c r="G9" s="71" t="s">
        <v>175</v>
      </c>
      <c r="H9" s="71" t="s">
        <v>175</v>
      </c>
      <c r="I9" s="71" t="s">
        <v>175</v>
      </c>
      <c r="J9" s="71" t="s">
        <v>175</v>
      </c>
      <c r="K9" s="72" t="s">
        <v>175</v>
      </c>
    </row>
    <row r="10" spans="2:17" ht="11.7" x14ac:dyDescent="0.25">
      <c r="B10" s="73" t="s">
        <v>335</v>
      </c>
      <c r="C10" s="65" t="e">
        <f ca="1">[1]!Bar(B10,11)*100</f>
        <v>#NAME?</v>
      </c>
      <c r="D10" s="74" t="s">
        <v>335</v>
      </c>
      <c r="E10" s="75" t="e">
        <f ca="1">[1]!Bar(D10,11)*100</f>
        <v>#NAME?</v>
      </c>
      <c r="F10" s="65" t="e">
        <f ca="1">+C10+E10</f>
        <v>#NAME?</v>
      </c>
      <c r="G10" s="76">
        <v>50</v>
      </c>
      <c r="H10" s="74">
        <v>13</v>
      </c>
      <c r="I10" s="65" t="e">
        <f ca="1">[1]!Bar(B10,1)*10/2</f>
        <v>#NAME?</v>
      </c>
      <c r="J10" s="77" t="e">
        <f ca="1">(MAX(25,[1]!Bar(B10,1)*10*1.5)+[1]!Bar(B10,1)*10)*E10/F10</f>
        <v>#NAME?</v>
      </c>
      <c r="K10" s="67" t="e">
        <f ca="1">G10+H10+I10+J10</f>
        <v>#NAME?</v>
      </c>
    </row>
    <row r="11" spans="2:17" ht="11.7" x14ac:dyDescent="0.25">
      <c r="B11" s="102"/>
      <c r="C11" s="100"/>
      <c r="D11" s="103"/>
      <c r="E11" s="182"/>
      <c r="F11" s="100"/>
      <c r="G11" s="111"/>
      <c r="H11" s="103"/>
      <c r="I11" s="100"/>
      <c r="J11" s="112"/>
      <c r="K11" s="183"/>
    </row>
    <row r="12" spans="2:17" x14ac:dyDescent="0.25">
      <c r="B12" s="4" t="s">
        <v>365</v>
      </c>
      <c r="C12" s="100" t="s">
        <v>366</v>
      </c>
      <c r="D12" s="102" t="s">
        <v>367</v>
      </c>
      <c r="E12" s="4" t="s">
        <v>368</v>
      </c>
      <c r="F12" s="100"/>
      <c r="G12" s="111"/>
      <c r="I12" s="100"/>
      <c r="J12" s="112" t="s">
        <v>372</v>
      </c>
      <c r="K12" s="183"/>
    </row>
    <row r="13" spans="2:17" x14ac:dyDescent="0.25">
      <c r="B13" s="184" t="e">
        <f ca="1">+F10</f>
        <v>#NAME?</v>
      </c>
      <c r="C13" s="100">
        <f>+F6</f>
        <v>350</v>
      </c>
      <c r="D13" s="105" t="e">
        <f ca="1">+H6</f>
        <v>#NAME?</v>
      </c>
      <c r="E13" s="4" t="e">
        <f ca="1">B13/(C13*D13)</f>
        <v>#NAME?</v>
      </c>
      <c r="F13" s="100"/>
      <c r="G13" s="111"/>
      <c r="I13" s="100"/>
      <c r="J13" s="113" t="e">
        <f ca="1">0.053*E13^0.23*(C6+18)</f>
        <v>#NAME?</v>
      </c>
      <c r="K13" s="183"/>
    </row>
    <row r="14" spans="2:17" x14ac:dyDescent="0.25">
      <c r="B14" s="184"/>
      <c r="C14" s="100"/>
      <c r="D14" s="105"/>
      <c r="F14" s="100"/>
      <c r="G14" s="111"/>
      <c r="H14" s="103"/>
      <c r="I14" s="100"/>
      <c r="J14" s="112"/>
      <c r="K14" s="183"/>
    </row>
    <row r="15" spans="2:17" x14ac:dyDescent="0.25">
      <c r="B15" s="184" t="s">
        <v>373</v>
      </c>
      <c r="C15" s="100" t="s">
        <v>374</v>
      </c>
      <c r="D15" s="16" t="s">
        <v>375</v>
      </c>
      <c r="E15" s="16"/>
      <c r="F15" s="100"/>
      <c r="G15" s="111"/>
      <c r="H15" s="103"/>
      <c r="I15" s="100"/>
      <c r="J15" s="112"/>
      <c r="K15" s="183"/>
    </row>
    <row r="16" spans="2:17" x14ac:dyDescent="0.25">
      <c r="B16" s="184">
        <v>556</v>
      </c>
      <c r="C16" s="100">
        <v>403</v>
      </c>
      <c r="D16" s="113" t="e">
        <f ca="1">+H6/1000</f>
        <v>#NAME?</v>
      </c>
      <c r="E16" s="185" t="e">
        <f ca="1">+B16/C16/D16</f>
        <v>#NAME?</v>
      </c>
      <c r="F16" s="100"/>
      <c r="G16" s="111"/>
      <c r="H16" s="103"/>
      <c r="I16" s="100"/>
      <c r="J16" s="112"/>
      <c r="K16" s="183"/>
    </row>
    <row r="17" spans="2:11" x14ac:dyDescent="0.25">
      <c r="B17" s="184"/>
      <c r="C17" s="100"/>
      <c r="D17" s="100"/>
      <c r="E17" s="105"/>
      <c r="F17" s="100"/>
      <c r="G17" s="111"/>
      <c r="H17" s="103"/>
      <c r="I17" s="100"/>
      <c r="J17" s="112"/>
      <c r="K17" s="183"/>
    </row>
    <row r="18" spans="2:11" x14ac:dyDescent="0.25">
      <c r="B18" s="184"/>
      <c r="C18" s="100" t="s">
        <v>369</v>
      </c>
      <c r="D18" s="100" t="s">
        <v>366</v>
      </c>
      <c r="E18" s="105" t="s">
        <v>370</v>
      </c>
      <c r="F18" s="100"/>
      <c r="G18" s="111"/>
      <c r="H18" s="103"/>
      <c r="I18" s="100"/>
      <c r="J18" s="112"/>
      <c r="K18" s="183"/>
    </row>
    <row r="19" spans="2:11" x14ac:dyDescent="0.25">
      <c r="B19" s="102" t="s">
        <v>364</v>
      </c>
      <c r="C19" s="16"/>
      <c r="D19" s="100" t="str">
        <f>+G9</f>
        <v>(mm)</v>
      </c>
      <c r="E19" s="100" t="str">
        <f>+H9</f>
        <v>(mm)</v>
      </c>
      <c r="F19" s="16" t="s">
        <v>371</v>
      </c>
      <c r="G19" s="111"/>
      <c r="H19" s="103"/>
      <c r="I19" s="100"/>
      <c r="J19" s="112"/>
      <c r="K19" s="183"/>
    </row>
    <row r="20" spans="2:11" ht="11.7" x14ac:dyDescent="0.25">
      <c r="B20" s="102" t="s">
        <v>363</v>
      </c>
      <c r="C20" s="75" t="e">
        <f ca="1">[1]!Bar(B20,11)*100</f>
        <v>#NAME?</v>
      </c>
      <c r="D20" s="186">
        <v>450</v>
      </c>
      <c r="E20" s="105">
        <v>100</v>
      </c>
      <c r="F20" s="16" t="e">
        <f ca="1">+C20/(D20*E20)</f>
        <v>#NAME?</v>
      </c>
      <c r="G20" s="111"/>
      <c r="H20" s="103"/>
      <c r="I20" s="100"/>
      <c r="J20" s="112"/>
      <c r="K20" s="183"/>
    </row>
    <row r="21" spans="2:11" x14ac:dyDescent="0.25">
      <c r="B21" s="184"/>
      <c r="C21" s="100"/>
      <c r="D21" s="105"/>
      <c r="F21" s="100"/>
      <c r="G21" s="111"/>
      <c r="H21" s="103"/>
      <c r="I21" s="100"/>
      <c r="J21" s="112"/>
      <c r="K21" s="183"/>
    </row>
    <row r="22" spans="2:11" x14ac:dyDescent="0.25">
      <c r="B22" s="184"/>
      <c r="C22" s="100"/>
      <c r="D22" s="105"/>
      <c r="F22" s="100"/>
      <c r="G22" s="111"/>
      <c r="H22" s="103"/>
      <c r="I22" s="100"/>
      <c r="J22" s="112"/>
      <c r="K22" s="183"/>
    </row>
    <row r="23" spans="2:11" x14ac:dyDescent="0.25">
      <c r="B23" s="184"/>
      <c r="C23" s="100"/>
      <c r="D23" s="105"/>
      <c r="F23" s="100"/>
      <c r="G23" s="111"/>
      <c r="H23" s="103"/>
      <c r="I23" s="100"/>
      <c r="J23" s="112"/>
      <c r="K23" s="183"/>
    </row>
    <row r="24" spans="2:11" ht="11.7" x14ac:dyDescent="0.25">
      <c r="B24" s="102"/>
      <c r="C24" s="100"/>
      <c r="D24" s="103"/>
      <c r="E24" s="182"/>
      <c r="F24" s="100"/>
      <c r="G24" s="111"/>
      <c r="H24" s="103"/>
      <c r="I24" s="100"/>
      <c r="J24" s="112"/>
      <c r="K24" s="183"/>
    </row>
    <row r="25" spans="2:11" ht="11.7" x14ac:dyDescent="0.25">
      <c r="B25" s="209" t="s">
        <v>90</v>
      </c>
      <c r="C25" s="210"/>
      <c r="D25" s="210"/>
      <c r="E25" s="210"/>
      <c r="F25" s="210"/>
      <c r="G25" s="210"/>
      <c r="H25" s="210"/>
      <c r="I25" s="210"/>
      <c r="J25" s="210"/>
      <c r="K25" s="211"/>
    </row>
    <row r="26" spans="2:11" x14ac:dyDescent="0.25">
      <c r="B26" s="203" t="s">
        <v>2</v>
      </c>
      <c r="C26" s="204"/>
      <c r="D26" s="204" t="s">
        <v>3</v>
      </c>
      <c r="E26" s="204"/>
      <c r="F26" s="80" t="s">
        <v>213</v>
      </c>
      <c r="G26" s="80" t="s">
        <v>214</v>
      </c>
      <c r="H26" s="80" t="s">
        <v>215</v>
      </c>
      <c r="I26" s="80" t="s">
        <v>216</v>
      </c>
      <c r="J26" s="80" t="s">
        <v>217</v>
      </c>
      <c r="K26" s="81" t="s">
        <v>93</v>
      </c>
    </row>
    <row r="27" spans="2:11" ht="12.35" x14ac:dyDescent="0.25">
      <c r="B27" s="61" t="s">
        <v>197</v>
      </c>
      <c r="C27" s="62" t="s">
        <v>211</v>
      </c>
      <c r="D27" s="62" t="s">
        <v>197</v>
      </c>
      <c r="E27" s="62" t="s">
        <v>212</v>
      </c>
      <c r="F27" s="71" t="s">
        <v>200</v>
      </c>
      <c r="G27" s="71" t="s">
        <v>175</v>
      </c>
      <c r="H27" s="71" t="s">
        <v>175</v>
      </c>
      <c r="I27" s="71" t="s">
        <v>175</v>
      </c>
      <c r="J27" s="71" t="s">
        <v>175</v>
      </c>
      <c r="K27" s="72" t="s">
        <v>175</v>
      </c>
    </row>
    <row r="28" spans="2:11" ht="11.7" x14ac:dyDescent="0.25">
      <c r="B28" s="73" t="s">
        <v>335</v>
      </c>
      <c r="C28" s="65" t="e">
        <f ca="1">[1]!Bar(B28,11)*100</f>
        <v>#NAME?</v>
      </c>
      <c r="D28" s="74" t="s">
        <v>336</v>
      </c>
      <c r="E28" s="75" t="e">
        <f ca="1">[1]!Bar(D28,11)*100</f>
        <v>#NAME?</v>
      </c>
      <c r="F28" s="65" t="e">
        <f ca="1">+C28+E28</f>
        <v>#NAME?</v>
      </c>
      <c r="G28" s="76">
        <v>50</v>
      </c>
      <c r="H28" s="74">
        <v>13</v>
      </c>
      <c r="I28" s="65" t="e">
        <f ca="1">[1]!Bar(B28,1)*10/2</f>
        <v>#NAME?</v>
      </c>
      <c r="J28" s="77" t="e">
        <f ca="1">(MAX(25,[1]!Bar(B28,1)*10*1.5)+[1]!Bar(B28,1)*10)*E28/F28</f>
        <v>#NAME?</v>
      </c>
      <c r="K28" s="67" t="e">
        <f ca="1">IF(E28=0,0,MAX(25,[1]!Bar(B28,1)*10*1.5))+G28+H28+I28</f>
        <v>#NAME?</v>
      </c>
    </row>
    <row r="29" spans="2:11" x14ac:dyDescent="0.25">
      <c r="B29" s="194" t="s">
        <v>229</v>
      </c>
      <c r="C29" s="196" t="s">
        <v>207</v>
      </c>
      <c r="D29" s="59" t="s">
        <v>208</v>
      </c>
      <c r="E29" s="59" t="s">
        <v>4</v>
      </c>
      <c r="F29" s="59" t="s">
        <v>96</v>
      </c>
      <c r="G29" s="59" t="s">
        <v>242</v>
      </c>
      <c r="H29" s="59" t="s">
        <v>243</v>
      </c>
      <c r="I29" s="59" t="s">
        <v>244</v>
      </c>
      <c r="J29" s="59"/>
      <c r="K29" s="60" t="s">
        <v>146</v>
      </c>
    </row>
    <row r="30" spans="2:11" ht="12.35" x14ac:dyDescent="0.25">
      <c r="B30" s="195"/>
      <c r="C30" s="197"/>
      <c r="D30" s="68" t="s">
        <v>133</v>
      </c>
      <c r="E30" s="68" t="s">
        <v>26</v>
      </c>
      <c r="F30" s="68" t="s">
        <v>26</v>
      </c>
      <c r="G30" s="68" t="s">
        <v>203</v>
      </c>
      <c r="H30" s="68" t="s">
        <v>203</v>
      </c>
      <c r="I30" s="68" t="s">
        <v>203</v>
      </c>
      <c r="J30" s="68"/>
      <c r="K30" s="69" t="s">
        <v>204</v>
      </c>
    </row>
    <row r="31" spans="2:11" x14ac:dyDescent="0.25">
      <c r="B31" s="63" t="e">
        <f ca="1">F28/F10</f>
        <v>#NAME?</v>
      </c>
      <c r="C31" s="64" t="e">
        <f ca="1">[1]!RcGMa($F6/10, $G6/10, $K10/10, $K28/10, $F10/100, $F28/100, $C6*10, $B6*10, $D6, 3)</f>
        <v>#NAME?</v>
      </c>
      <c r="D31" s="65" t="e">
        <f ca="1">H6*C31</f>
        <v>#NAME?</v>
      </c>
      <c r="E31" s="64" t="e">
        <f ca="1">F10/(F6*H6)*100</f>
        <v>#NAME?</v>
      </c>
      <c r="F31" s="64" t="e">
        <f ca="1">[1]!RcGMa($F6/10, $G6/10, $K10/10, $K28/10, $F10/100, $F28/100, $C6*10, $B6*10, $D6, 4)*100</f>
        <v>#NAME?</v>
      </c>
      <c r="G31" s="66" t="e">
        <f ca="1">[1]!RcGMa($F6/10, $G6/10, $K10/10, $K28/10, $F10/100, $F28/100, $C6*10, $B6*10, $D6, 1)*10/100</f>
        <v>#NAME?</v>
      </c>
      <c r="H31" s="66" t="e">
        <f ca="1">[1]!RcGMa($F6/10, $G6/10, $K10/10, $K28/10, $F10/100, $F28/100, $C6*10, $B6*10, $D6, 2)*10/100</f>
        <v>#NAME?</v>
      </c>
      <c r="I31" s="66" t="e">
        <f ca="1">MIN(G31:H31)</f>
        <v>#NAME?</v>
      </c>
      <c r="J31" s="65" t="e">
        <f ca="1">#REF!*I31/1000/1000</f>
        <v>#REF!</v>
      </c>
      <c r="K31" s="67" t="e">
        <f ca="1">[1]!RcGMa($F6/10, $G6/10, $K10/10, $K28/10, $F10/100, $F28/100, $C6*10, $B6*10, $D6, 11)*10</f>
        <v>#NAME?</v>
      </c>
    </row>
    <row r="33" spans="3:10" ht="11.7" x14ac:dyDescent="0.25">
      <c r="C33" s="21" t="s">
        <v>180</v>
      </c>
      <c r="D33" t="s">
        <v>128</v>
      </c>
      <c r="E33"/>
      <c r="F33"/>
      <c r="G33"/>
      <c r="H33"/>
    </row>
    <row r="34" spans="3:10" ht="11.7" x14ac:dyDescent="0.25">
      <c r="C34" s="21" t="s">
        <v>179</v>
      </c>
      <c r="D34" t="s">
        <v>127</v>
      </c>
      <c r="E34"/>
      <c r="F34"/>
      <c r="G34"/>
      <c r="H34"/>
      <c r="J34" s="5"/>
    </row>
    <row r="35" spans="3:10" ht="11.7" x14ac:dyDescent="0.25">
      <c r="C35" s="21" t="s">
        <v>183</v>
      </c>
      <c r="D35" t="s">
        <v>130</v>
      </c>
    </row>
    <row r="36" spans="3:10" x14ac:dyDescent="0.25">
      <c r="C36" s="12" t="s">
        <v>59</v>
      </c>
      <c r="D36" s="4" t="s">
        <v>37</v>
      </c>
    </row>
    <row r="37" spans="3:10" x14ac:dyDescent="0.25">
      <c r="C37" s="12" t="s">
        <v>196</v>
      </c>
      <c r="D37" s="4" t="s">
        <v>38</v>
      </c>
      <c r="I37" s="4" t="s">
        <v>61</v>
      </c>
    </row>
    <row r="38" spans="3:10" x14ac:dyDescent="0.25">
      <c r="C38" s="12" t="s">
        <v>62</v>
      </c>
      <c r="D38" s="4" t="s">
        <v>63</v>
      </c>
    </row>
    <row r="39" spans="3:10" x14ac:dyDescent="0.25">
      <c r="C39" s="12" t="s">
        <v>80</v>
      </c>
      <c r="D39" s="4" t="s">
        <v>219</v>
      </c>
    </row>
    <row r="40" spans="3:10" x14ac:dyDescent="0.25">
      <c r="C40" s="12" t="s">
        <v>218</v>
      </c>
      <c r="D40" s="4" t="s">
        <v>220</v>
      </c>
    </row>
    <row r="41" spans="3:10" x14ac:dyDescent="0.25">
      <c r="C41" s="12" t="s">
        <v>221</v>
      </c>
      <c r="D41" s="4" t="s">
        <v>223</v>
      </c>
    </row>
    <row r="42" spans="3:10" x14ac:dyDescent="0.25">
      <c r="C42" s="12" t="s">
        <v>222</v>
      </c>
      <c r="D42" s="4" t="s">
        <v>224</v>
      </c>
    </row>
    <row r="43" spans="3:10" x14ac:dyDescent="0.25">
      <c r="C43" s="12" t="s">
        <v>57</v>
      </c>
      <c r="D43" s="4" t="s">
        <v>226</v>
      </c>
      <c r="I43" s="4" t="s">
        <v>58</v>
      </c>
    </row>
    <row r="44" spans="3:10" x14ac:dyDescent="0.25">
      <c r="C44" s="12" t="s">
        <v>225</v>
      </c>
      <c r="D44" s="4" t="s">
        <v>227</v>
      </c>
      <c r="I44" s="4" t="s">
        <v>228</v>
      </c>
    </row>
    <row r="45" spans="3:10" x14ac:dyDescent="0.25">
      <c r="C45" s="12" t="s">
        <v>230</v>
      </c>
      <c r="D45" s="4" t="s">
        <v>231</v>
      </c>
    </row>
    <row r="46" spans="3:10" x14ac:dyDescent="0.25">
      <c r="C46" s="12" t="s">
        <v>232</v>
      </c>
      <c r="D46" s="4" t="s">
        <v>233</v>
      </c>
    </row>
    <row r="47" spans="3:10" x14ac:dyDescent="0.25">
      <c r="C47" s="12" t="s">
        <v>234</v>
      </c>
      <c r="D47" s="4" t="s">
        <v>235</v>
      </c>
    </row>
    <row r="48" spans="3:10" x14ac:dyDescent="0.25">
      <c r="C48" s="12" t="s">
        <v>236</v>
      </c>
      <c r="D48" s="4" t="s">
        <v>11</v>
      </c>
      <c r="F48" s="13" t="s">
        <v>237</v>
      </c>
    </row>
    <row r="49" spans="3:4" x14ac:dyDescent="0.25">
      <c r="C49" s="12" t="s">
        <v>238</v>
      </c>
      <c r="D49" s="4" t="s">
        <v>239</v>
      </c>
    </row>
    <row r="50" spans="3:4" x14ac:dyDescent="0.25">
      <c r="C50" s="12" t="s">
        <v>240</v>
      </c>
      <c r="D50" s="4" t="s">
        <v>241</v>
      </c>
    </row>
    <row r="51" spans="3:4" x14ac:dyDescent="0.25">
      <c r="C51" s="12"/>
    </row>
    <row r="52" spans="3:4" x14ac:dyDescent="0.25">
      <c r="C52" s="12"/>
    </row>
    <row r="53" spans="3:4" x14ac:dyDescent="0.25">
      <c r="C53" s="12"/>
    </row>
    <row r="54" spans="3:4" x14ac:dyDescent="0.25">
      <c r="C54" s="12"/>
    </row>
  </sheetData>
  <mergeCells count="12">
    <mergeCell ref="B29:B30"/>
    <mergeCell ref="C29:C30"/>
    <mergeCell ref="B25:K25"/>
    <mergeCell ref="D4:D5"/>
    <mergeCell ref="B26:C26"/>
    <mergeCell ref="D26:E26"/>
    <mergeCell ref="B8:C8"/>
    <mergeCell ref="D8:E8"/>
    <mergeCell ref="B7:K7"/>
    <mergeCell ref="J4:K4"/>
    <mergeCell ref="J5:K5"/>
    <mergeCell ref="J6:K6"/>
  </mergeCells>
  <phoneticPr fontId="3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E71"/>
  <sheetViews>
    <sheetView workbookViewId="0">
      <selection activeCell="G49" sqref="G49"/>
    </sheetView>
  </sheetViews>
  <sheetFormatPr defaultColWidth="9.1328125" defaultRowHeight="10.7" x14ac:dyDescent="0.25"/>
  <cols>
    <col min="1" max="1" width="2.6640625" style="4" customWidth="1"/>
    <col min="2" max="14" width="8.33203125" style="4" customWidth="1"/>
    <col min="15" max="16384" width="9.1328125" style="4"/>
  </cols>
  <sheetData>
    <row r="2" spans="2:31" x14ac:dyDescent="0.25">
      <c r="B2" s="4" t="s">
        <v>241</v>
      </c>
    </row>
    <row r="3" spans="2:31" x14ac:dyDescent="0.25">
      <c r="H3" s="15"/>
      <c r="I3" s="15"/>
      <c r="J3" s="15"/>
      <c r="O3" s="5"/>
      <c r="Q3" s="5"/>
    </row>
    <row r="4" spans="2:31" ht="12.35" x14ac:dyDescent="0.25">
      <c r="B4" s="70" t="s">
        <v>246</v>
      </c>
      <c r="C4" s="59" t="s">
        <v>329</v>
      </c>
      <c r="D4" s="191" t="s">
        <v>400</v>
      </c>
      <c r="E4" s="207" t="s">
        <v>250</v>
      </c>
      <c r="F4" s="207"/>
      <c r="G4" s="59" t="s">
        <v>251</v>
      </c>
      <c r="H4" s="59" t="s">
        <v>245</v>
      </c>
      <c r="I4" s="59" t="s">
        <v>252</v>
      </c>
      <c r="J4" s="83" t="s">
        <v>253</v>
      </c>
      <c r="K4" s="59" t="s">
        <v>254</v>
      </c>
      <c r="L4" s="60" t="s">
        <v>255</v>
      </c>
      <c r="P4" s="5"/>
      <c r="R4" s="5"/>
      <c r="T4" s="4">
        <v>20</v>
      </c>
      <c r="U4" s="4">
        <v>20</v>
      </c>
    </row>
    <row r="5" spans="2:31" ht="12.35" x14ac:dyDescent="0.25">
      <c r="B5" s="84" t="s">
        <v>256</v>
      </c>
      <c r="C5" s="85" t="s">
        <v>256</v>
      </c>
      <c r="D5" s="85"/>
      <c r="E5" s="208"/>
      <c r="F5" s="208"/>
      <c r="G5" s="85" t="s">
        <v>257</v>
      </c>
      <c r="H5" s="85" t="s">
        <v>257</v>
      </c>
      <c r="I5" s="85" t="s">
        <v>257</v>
      </c>
      <c r="J5" s="85" t="s">
        <v>257</v>
      </c>
      <c r="K5" s="85" t="s">
        <v>258</v>
      </c>
      <c r="L5" s="87" t="s">
        <v>259</v>
      </c>
      <c r="P5" s="5"/>
      <c r="Q5" s="4">
        <v>2</v>
      </c>
      <c r="R5" s="5" t="s">
        <v>387</v>
      </c>
      <c r="S5" s="4">
        <f>RIGHT(R5,2)*1.5</f>
        <v>15</v>
      </c>
      <c r="T5" s="4">
        <f>T4*1.25</f>
        <v>25</v>
      </c>
      <c r="U5" s="4">
        <f>U4*1.25</f>
        <v>25</v>
      </c>
      <c r="V5" s="4">
        <v>25</v>
      </c>
      <c r="X5" s="4">
        <f>MAX(S5:V5)</f>
        <v>25</v>
      </c>
      <c r="Y5" s="4">
        <f>S5-X5</f>
        <v>-10</v>
      </c>
      <c r="Z5" s="4">
        <f>bar_1(R5,3)</f>
        <v>10</v>
      </c>
      <c r="AA5" s="4">
        <f>X5+Z5</f>
        <v>35</v>
      </c>
      <c r="AB5" s="4">
        <f>AA5/Z5</f>
        <v>3.5</v>
      </c>
    </row>
    <row r="6" spans="2:31" x14ac:dyDescent="0.25">
      <c r="B6" s="73">
        <v>345</v>
      </c>
      <c r="C6" s="74">
        <v>21</v>
      </c>
      <c r="D6" s="74"/>
      <c r="E6" s="74">
        <v>15</v>
      </c>
      <c r="F6" s="74"/>
      <c r="G6" s="89">
        <v>350</v>
      </c>
      <c r="H6" s="89">
        <v>600</v>
      </c>
      <c r="I6" s="65">
        <f>H6-F10</f>
        <v>486.5</v>
      </c>
      <c r="J6" s="65">
        <f>I6*7/8</f>
        <v>425.6875</v>
      </c>
      <c r="K6" s="90">
        <f>G6*I6^2</f>
        <v>82838787.5</v>
      </c>
      <c r="L6" s="67" t="e">
        <f>B6*#REF!*J6/1000/1000</f>
        <v>#REF!</v>
      </c>
      <c r="P6" s="5"/>
      <c r="R6" s="5" t="s">
        <v>388</v>
      </c>
      <c r="S6" s="4">
        <f t="shared" ref="R6:T15" si="0">RIGHT(R6,2)*1.5</f>
        <v>19.5</v>
      </c>
      <c r="T6" s="4">
        <f>T5</f>
        <v>25</v>
      </c>
      <c r="U6" s="4">
        <f>U5</f>
        <v>25</v>
      </c>
      <c r="V6" s="4">
        <v>25</v>
      </c>
      <c r="X6" s="4">
        <f t="shared" ref="W6:Y15" si="1">MAX(S6:V6)</f>
        <v>25</v>
      </c>
      <c r="Y6" s="4">
        <f t="shared" ref="X6:Z15" si="2">S6-X6</f>
        <v>-5.5</v>
      </c>
      <c r="Z6" s="4">
        <f t="shared" ref="Y6:AA15" si="3">bar_1(R6,3)</f>
        <v>13</v>
      </c>
      <c r="AA6" s="4">
        <f t="shared" ref="Z6:AB15" si="4">X6+Z6</f>
        <v>38</v>
      </c>
      <c r="AB6" s="4">
        <f t="shared" ref="AA6:AC15" si="5">AA6/Z6</f>
        <v>2.9230769230769229</v>
      </c>
    </row>
    <row r="7" spans="2:31" ht="11.7" x14ac:dyDescent="0.25">
      <c r="B7" s="95" t="s">
        <v>315</v>
      </c>
      <c r="C7" s="96"/>
      <c r="D7" s="96"/>
      <c r="E7" s="12"/>
      <c r="F7" s="99"/>
      <c r="G7" s="96"/>
      <c r="H7" s="96"/>
      <c r="I7" s="96"/>
      <c r="J7" s="96"/>
      <c r="K7" s="91"/>
      <c r="O7" s="5"/>
      <c r="Q7" s="5" t="s">
        <v>389</v>
      </c>
      <c r="R7" s="4">
        <f t="shared" si="0"/>
        <v>24</v>
      </c>
      <c r="S7" s="4">
        <f>T6</f>
        <v>25</v>
      </c>
      <c r="T7" s="4">
        <f>U6</f>
        <v>25</v>
      </c>
      <c r="U7" s="4">
        <v>25</v>
      </c>
      <c r="W7" s="4">
        <f t="shared" si="1"/>
        <v>25</v>
      </c>
      <c r="X7" s="4">
        <f t="shared" si="2"/>
        <v>-1</v>
      </c>
      <c r="Y7" s="4">
        <f t="shared" si="3"/>
        <v>16</v>
      </c>
      <c r="Z7" s="4">
        <f t="shared" si="4"/>
        <v>41</v>
      </c>
      <c r="AA7" s="4">
        <f t="shared" si="5"/>
        <v>2.5625</v>
      </c>
    </row>
    <row r="8" spans="2:31" ht="13.35" x14ac:dyDescent="0.25">
      <c r="B8" s="203" t="s">
        <v>2</v>
      </c>
      <c r="C8" s="204"/>
      <c r="D8" s="80" t="s">
        <v>43</v>
      </c>
      <c r="E8" s="80" t="s">
        <v>30</v>
      </c>
      <c r="F8" s="81" t="s">
        <v>260</v>
      </c>
      <c r="G8" s="16" t="s">
        <v>206</v>
      </c>
      <c r="H8" s="16" t="s">
        <v>317</v>
      </c>
      <c r="I8" s="193"/>
      <c r="K8" s="80"/>
      <c r="L8" s="80"/>
      <c r="S8" s="4" t="s">
        <v>390</v>
      </c>
      <c r="T8" s="4">
        <f t="shared" si="0"/>
        <v>28.5</v>
      </c>
      <c r="U8" s="4">
        <f>S7</f>
        <v>25</v>
      </c>
      <c r="V8" s="4">
        <f>T7</f>
        <v>25</v>
      </c>
      <c r="W8" s="4">
        <v>25</v>
      </c>
      <c r="Y8" s="4">
        <f t="shared" si="1"/>
        <v>28.5</v>
      </c>
      <c r="Z8" s="4">
        <f t="shared" si="2"/>
        <v>0</v>
      </c>
      <c r="AA8" s="4">
        <f t="shared" si="3"/>
        <v>19</v>
      </c>
      <c r="AB8" s="4">
        <f t="shared" si="4"/>
        <v>47.5</v>
      </c>
      <c r="AC8" s="4">
        <f>AB8/AA8</f>
        <v>2.5</v>
      </c>
      <c r="AD8" s="4">
        <f>AA8*2.7</f>
        <v>51.300000000000004</v>
      </c>
      <c r="AE8" s="4">
        <f>AD8-AB8</f>
        <v>3.8000000000000043</v>
      </c>
    </row>
    <row r="9" spans="2:31" ht="12.35" x14ac:dyDescent="0.25">
      <c r="B9" s="78" t="s">
        <v>197</v>
      </c>
      <c r="C9" s="79" t="s">
        <v>198</v>
      </c>
      <c r="D9" s="71" t="s">
        <v>175</v>
      </c>
      <c r="E9" s="71" t="s">
        <v>175</v>
      </c>
      <c r="F9" s="72" t="s">
        <v>175</v>
      </c>
      <c r="G9" s="72" t="s">
        <v>175</v>
      </c>
      <c r="I9" s="79"/>
      <c r="K9" s="71"/>
      <c r="L9" s="71"/>
      <c r="S9" s="4" t="s">
        <v>391</v>
      </c>
      <c r="T9" s="4">
        <f t="shared" si="0"/>
        <v>33</v>
      </c>
      <c r="U9" s="4">
        <f t="shared" ref="S9:U15" si="6">U8</f>
        <v>25</v>
      </c>
      <c r="V9" s="4">
        <f t="shared" ref="T9:V15" si="7">V8</f>
        <v>25</v>
      </c>
      <c r="W9" s="4">
        <v>25</v>
      </c>
      <c r="Y9" s="4">
        <f t="shared" si="1"/>
        <v>33</v>
      </c>
      <c r="Z9" s="4">
        <f t="shared" si="2"/>
        <v>0</v>
      </c>
      <c r="AA9" s="4">
        <f t="shared" si="3"/>
        <v>22</v>
      </c>
      <c r="AB9" s="4">
        <f t="shared" si="4"/>
        <v>55</v>
      </c>
      <c r="AC9" s="4">
        <f t="shared" si="5"/>
        <v>2.5</v>
      </c>
      <c r="AD9" s="4">
        <f t="shared" ref="AB9:AD15" si="8">AA9*2.7</f>
        <v>59.400000000000006</v>
      </c>
      <c r="AE9" s="4">
        <f t="shared" ref="AC9:AE15" si="9">AD9-AB9</f>
        <v>4.4000000000000057</v>
      </c>
    </row>
    <row r="10" spans="2:31" ht="11.7" x14ac:dyDescent="0.25">
      <c r="B10" s="73" t="s">
        <v>399</v>
      </c>
      <c r="C10" s="65">
        <f>at_beem(B10)</f>
        <v>1148</v>
      </c>
      <c r="D10" s="74">
        <v>50</v>
      </c>
      <c r="E10" s="74" t="s">
        <v>388</v>
      </c>
      <c r="F10" s="67">
        <f>dt_beem(B10,D10,E10)</f>
        <v>113.5</v>
      </c>
      <c r="G10" s="5">
        <f>+H6-F10</f>
        <v>486.5</v>
      </c>
      <c r="H10" s="5">
        <f>0.9*B6*1.1*C10*G10/1000/1000</f>
        <v>190.7563581</v>
      </c>
      <c r="I10" s="192"/>
      <c r="K10" s="77"/>
      <c r="L10" s="77"/>
      <c r="S10" s="4" t="s">
        <v>392</v>
      </c>
      <c r="T10" s="4">
        <f t="shared" si="0"/>
        <v>37.5</v>
      </c>
      <c r="U10" s="4">
        <f t="shared" si="6"/>
        <v>25</v>
      </c>
      <c r="V10" s="4">
        <f t="shared" si="7"/>
        <v>25</v>
      </c>
      <c r="W10" s="4">
        <v>25</v>
      </c>
      <c r="Y10" s="4">
        <f t="shared" si="1"/>
        <v>37.5</v>
      </c>
      <c r="Z10" s="4">
        <f t="shared" si="2"/>
        <v>0</v>
      </c>
      <c r="AA10" s="4">
        <f t="shared" si="3"/>
        <v>25</v>
      </c>
      <c r="AB10" s="4">
        <f t="shared" si="4"/>
        <v>62.5</v>
      </c>
      <c r="AC10" s="4">
        <f t="shared" si="5"/>
        <v>2.5</v>
      </c>
      <c r="AD10" s="4">
        <f t="shared" si="8"/>
        <v>67.5</v>
      </c>
      <c r="AE10" s="4">
        <f t="shared" si="9"/>
        <v>5</v>
      </c>
    </row>
    <row r="11" spans="2:31" ht="11.7" x14ac:dyDescent="0.25">
      <c r="B11" s="92" t="s">
        <v>316</v>
      </c>
      <c r="C11" s="93"/>
      <c r="D11" s="93"/>
      <c r="E11" s="93"/>
      <c r="F11" s="93"/>
      <c r="G11" s="93"/>
      <c r="H11" s="93"/>
      <c r="I11" s="93"/>
      <c r="J11" s="93"/>
      <c r="K11" s="94"/>
      <c r="Q11" s="4" t="s">
        <v>393</v>
      </c>
      <c r="R11" s="4">
        <f t="shared" si="0"/>
        <v>43.5</v>
      </c>
      <c r="S11" s="4">
        <f>U10</f>
        <v>25</v>
      </c>
      <c r="T11" s="4">
        <f>V10</f>
        <v>25</v>
      </c>
      <c r="U11" s="4">
        <v>25</v>
      </c>
      <c r="W11" s="4">
        <f t="shared" si="1"/>
        <v>43.5</v>
      </c>
      <c r="X11" s="4">
        <f t="shared" si="2"/>
        <v>0</v>
      </c>
      <c r="Y11" s="4">
        <f t="shared" si="3"/>
        <v>29</v>
      </c>
      <c r="Z11" s="4">
        <f t="shared" si="4"/>
        <v>72.5</v>
      </c>
      <c r="AA11" s="4">
        <f t="shared" si="5"/>
        <v>2.5</v>
      </c>
      <c r="AB11" s="4">
        <f t="shared" si="8"/>
        <v>78.300000000000011</v>
      </c>
      <c r="AC11" s="4">
        <f t="shared" si="9"/>
        <v>5.8000000000000114</v>
      </c>
    </row>
    <row r="12" spans="2:31" ht="13.35" x14ac:dyDescent="0.25">
      <c r="B12" s="203" t="s">
        <v>2</v>
      </c>
      <c r="C12" s="204"/>
      <c r="D12" s="80" t="s">
        <v>43</v>
      </c>
      <c r="E12" s="80" t="s">
        <v>30</v>
      </c>
      <c r="F12" s="81" t="s">
        <v>210</v>
      </c>
      <c r="G12" s="16" t="s">
        <v>17</v>
      </c>
      <c r="H12" s="16" t="s">
        <v>317</v>
      </c>
      <c r="I12" s="80"/>
      <c r="J12" s="80"/>
      <c r="K12" s="81"/>
      <c r="L12" s="16"/>
      <c r="M12" s="16"/>
      <c r="Q12" s="4" t="s">
        <v>394</v>
      </c>
      <c r="R12" s="4">
        <f t="shared" si="0"/>
        <v>48</v>
      </c>
      <c r="S12" s="4">
        <f t="shared" si="6"/>
        <v>25</v>
      </c>
      <c r="T12" s="4">
        <f t="shared" si="7"/>
        <v>25</v>
      </c>
      <c r="U12" s="4">
        <v>25</v>
      </c>
      <c r="W12" s="4">
        <f t="shared" si="1"/>
        <v>48</v>
      </c>
      <c r="X12" s="4">
        <f t="shared" si="2"/>
        <v>0</v>
      </c>
      <c r="Y12" s="4">
        <f t="shared" si="3"/>
        <v>32</v>
      </c>
      <c r="Z12" s="4">
        <f t="shared" si="4"/>
        <v>80</v>
      </c>
      <c r="AA12" s="4">
        <f t="shared" si="5"/>
        <v>2.5</v>
      </c>
      <c r="AB12" s="4">
        <f t="shared" si="8"/>
        <v>86.4</v>
      </c>
      <c r="AC12" s="4">
        <f t="shared" si="9"/>
        <v>6.4000000000000057</v>
      </c>
    </row>
    <row r="13" spans="2:31" ht="12.35" x14ac:dyDescent="0.25">
      <c r="B13" s="189" t="s">
        <v>12</v>
      </c>
      <c r="C13" s="190" t="s">
        <v>45</v>
      </c>
      <c r="D13" s="71" t="s">
        <v>14</v>
      </c>
      <c r="E13" s="71" t="s">
        <v>14</v>
      </c>
      <c r="F13" s="72" t="s">
        <v>14</v>
      </c>
      <c r="G13" s="72" t="s">
        <v>14</v>
      </c>
      <c r="I13" s="71"/>
      <c r="J13" s="71"/>
      <c r="K13" s="72"/>
      <c r="L13" s="72"/>
      <c r="Q13" s="4" t="s">
        <v>395</v>
      </c>
      <c r="R13" s="4">
        <f t="shared" si="0"/>
        <v>52.5</v>
      </c>
      <c r="S13" s="4">
        <f t="shared" si="6"/>
        <v>25</v>
      </c>
      <c r="T13" s="4">
        <f t="shared" si="7"/>
        <v>25</v>
      </c>
      <c r="U13" s="4">
        <v>25</v>
      </c>
      <c r="W13" s="4">
        <f t="shared" si="1"/>
        <v>52.5</v>
      </c>
      <c r="X13" s="4">
        <f t="shared" si="2"/>
        <v>0</v>
      </c>
      <c r="Y13" s="4">
        <f t="shared" si="3"/>
        <v>35</v>
      </c>
      <c r="Z13" s="4">
        <f t="shared" si="4"/>
        <v>87.5</v>
      </c>
      <c r="AA13" s="4">
        <f t="shared" si="5"/>
        <v>2.5</v>
      </c>
      <c r="AB13" s="4">
        <f t="shared" si="8"/>
        <v>94.5</v>
      </c>
      <c r="AC13" s="4">
        <f t="shared" si="9"/>
        <v>7</v>
      </c>
    </row>
    <row r="14" spans="2:31" x14ac:dyDescent="0.25">
      <c r="B14" s="73" t="s">
        <v>399</v>
      </c>
      <c r="C14" s="65">
        <f>at_beem(B14)</f>
        <v>1148</v>
      </c>
      <c r="D14" s="74">
        <v>50</v>
      </c>
      <c r="E14" s="74" t="s">
        <v>388</v>
      </c>
      <c r="F14" s="67">
        <f>dt_beem(B14,D14,E14)</f>
        <v>113.5</v>
      </c>
      <c r="G14" s="5">
        <f>+H6-F14</f>
        <v>486.5</v>
      </c>
      <c r="H14" s="5">
        <f>0.9*B6*1.1*C14*G14/1000/1000</f>
        <v>190.7563581</v>
      </c>
      <c r="I14" s="65"/>
      <c r="J14" s="77"/>
      <c r="K14" s="67"/>
      <c r="L14" s="5"/>
      <c r="M14" s="5"/>
      <c r="Q14" s="4" t="s">
        <v>396</v>
      </c>
      <c r="R14" s="4">
        <f t="shared" si="0"/>
        <v>57</v>
      </c>
      <c r="S14" s="4">
        <f t="shared" si="6"/>
        <v>25</v>
      </c>
      <c r="T14" s="4">
        <f t="shared" si="7"/>
        <v>25</v>
      </c>
      <c r="U14" s="4">
        <v>25</v>
      </c>
      <c r="W14" s="4">
        <f t="shared" si="1"/>
        <v>57</v>
      </c>
      <c r="X14" s="4">
        <f t="shared" si="2"/>
        <v>0</v>
      </c>
      <c r="Y14" s="4">
        <f t="shared" si="3"/>
        <v>38</v>
      </c>
      <c r="Z14" s="4">
        <f t="shared" si="4"/>
        <v>95</v>
      </c>
      <c r="AA14" s="4">
        <f t="shared" si="5"/>
        <v>2.5</v>
      </c>
      <c r="AB14" s="4">
        <f t="shared" si="8"/>
        <v>102.60000000000001</v>
      </c>
      <c r="AC14" s="4">
        <f t="shared" si="9"/>
        <v>7.6000000000000085</v>
      </c>
    </row>
    <row r="15" spans="2:31" x14ac:dyDescent="0.25">
      <c r="B15" s="194" t="s">
        <v>266</v>
      </c>
      <c r="C15" s="196" t="s">
        <v>267</v>
      </c>
      <c r="D15" s="59" t="s">
        <v>268</v>
      </c>
      <c r="E15" s="59" t="s">
        <v>269</v>
      </c>
      <c r="F15" s="59" t="s">
        <v>270</v>
      </c>
      <c r="G15" s="59" t="s">
        <v>271</v>
      </c>
      <c r="H15" s="59" t="s">
        <v>272</v>
      </c>
      <c r="I15" s="59"/>
      <c r="J15" s="59"/>
      <c r="K15" s="60"/>
      <c r="Q15" s="4" t="s">
        <v>397</v>
      </c>
      <c r="R15" s="4">
        <f t="shared" si="0"/>
        <v>61.5</v>
      </c>
      <c r="S15" s="4">
        <f t="shared" si="6"/>
        <v>25</v>
      </c>
      <c r="T15" s="4">
        <f t="shared" si="7"/>
        <v>25</v>
      </c>
      <c r="U15" s="4">
        <v>25</v>
      </c>
      <c r="W15" s="4">
        <f t="shared" si="1"/>
        <v>61.5</v>
      </c>
      <c r="X15" s="4">
        <f t="shared" si="2"/>
        <v>0</v>
      </c>
      <c r="Y15" s="4">
        <f t="shared" si="3"/>
        <v>41</v>
      </c>
      <c r="Z15" s="4">
        <f t="shared" si="4"/>
        <v>102.5</v>
      </c>
      <c r="AA15" s="4">
        <f t="shared" si="5"/>
        <v>2.5</v>
      </c>
      <c r="AB15" s="4">
        <f t="shared" si="8"/>
        <v>110.7</v>
      </c>
      <c r="AC15" s="4">
        <f t="shared" si="9"/>
        <v>8.2000000000000028</v>
      </c>
    </row>
    <row r="16" spans="2:31" ht="12.35" x14ac:dyDescent="0.25">
      <c r="B16" s="195"/>
      <c r="C16" s="197"/>
      <c r="D16" s="68" t="s">
        <v>175</v>
      </c>
      <c r="E16" s="68" t="s">
        <v>275</v>
      </c>
      <c r="F16" s="68" t="s">
        <v>275</v>
      </c>
      <c r="G16" s="68" t="s">
        <v>203</v>
      </c>
      <c r="H16" s="68" t="s">
        <v>203</v>
      </c>
      <c r="I16" s="68" t="s">
        <v>203</v>
      </c>
      <c r="J16" s="68"/>
      <c r="K16" s="69" t="s">
        <v>204</v>
      </c>
    </row>
    <row r="17" spans="2:11" x14ac:dyDescent="0.25">
      <c r="B17" s="63" t="e">
        <f>F14/#REF!</f>
        <v>#REF!</v>
      </c>
      <c r="C17" s="64" t="e">
        <f ca="1">[1]!RcGMa($G6/10, $H6/10, $F10/10, $K14/10,#REF!/ 100, $F14/100, $C6*10, $B6*10, $E6, 3)</f>
        <v>#NAME?</v>
      </c>
      <c r="D17" s="65" t="e">
        <f ca="1">I6*C17</f>
        <v>#NAME?</v>
      </c>
      <c r="E17" s="64" t="e">
        <f>#REF!/(G6*I6)*100</f>
        <v>#REF!</v>
      </c>
      <c r="F17" s="64" t="e">
        <f ca="1">[1]!RcGMa($G6/10, $H6/10, $F10/10, $K14/10,#REF!/ 100, $F14/100, $C6*10, $B6*10, $E6, 4)*100</f>
        <v>#NAME?</v>
      </c>
      <c r="G17" s="66" t="e">
        <f ca="1">[1]!RcGMa($G6/10, $H6/10, $F10/10, $K14/10,#REF!/ 100, $F14/100, $C6*10, $B6*10, $E6, 1)*10/100</f>
        <v>#NAME?</v>
      </c>
      <c r="H17" s="66" t="e">
        <f ca="1">[1]!RcGMa($G6/10, $H6/10, $F10/10, $K14/10,#REF!/ 100, $F14/100, $C6*10, $B6*10, $E6, 2)*10/100</f>
        <v>#NAME?</v>
      </c>
      <c r="I17" s="66" t="e">
        <f ca="1">MIN(G17:H17)</f>
        <v>#NAME?</v>
      </c>
      <c r="J17" s="65" t="e">
        <f ca="1">K6*I17/1000/1000</f>
        <v>#NAME?</v>
      </c>
      <c r="K17" s="67" t="e">
        <f ca="1">[1]!RcGMa($G6/10, $H6/10, $F10/10, $K14/10,#REF!/ 100, $F14/100, $C6*10, $B6*10, $E6, 11)*10</f>
        <v>#NAME?</v>
      </c>
    </row>
    <row r="19" spans="2:11" ht="13.35" x14ac:dyDescent="0.25">
      <c r="B19" s="16" t="s">
        <v>317</v>
      </c>
      <c r="C19" s="16" t="s">
        <v>320</v>
      </c>
      <c r="D19" s="4" t="s">
        <v>321</v>
      </c>
      <c r="E19" s="4" t="s">
        <v>322</v>
      </c>
      <c r="F19" s="4" t="s">
        <v>323</v>
      </c>
      <c r="G19" s="4" t="s">
        <v>324</v>
      </c>
      <c r="H19" s="4" t="s">
        <v>206</v>
      </c>
      <c r="I19" s="4" t="s">
        <v>325</v>
      </c>
      <c r="J19" s="4" t="s">
        <v>328</v>
      </c>
    </row>
    <row r="20" spans="2:11" x14ac:dyDescent="0.25">
      <c r="B20" s="5">
        <f>+H10</f>
        <v>190.7563581</v>
      </c>
      <c r="C20" s="5">
        <f>+M14</f>
        <v>0</v>
      </c>
      <c r="D20" s="4">
        <v>5.4</v>
      </c>
      <c r="E20" s="5">
        <f>(B20+C20)/D20</f>
        <v>35.3252515</v>
      </c>
      <c r="F20" s="4">
        <v>70</v>
      </c>
      <c r="G20" s="5">
        <f>+E20+F20</f>
        <v>105.32525150000001</v>
      </c>
      <c r="H20" s="5">
        <f>MAX(L14,G10)</f>
        <v>486.5</v>
      </c>
      <c r="I20" s="4">
        <f>IF(MAX(B20,C20)*1000/E20/H20&gt;3,3,MAX(B20,C20)*1000/E20/H20)</f>
        <v>3</v>
      </c>
      <c r="J20" s="4">
        <f>+I20+0.12</f>
        <v>3.12</v>
      </c>
    </row>
    <row r="22" spans="2:11" x14ac:dyDescent="0.25">
      <c r="E22" s="4" t="s">
        <v>318</v>
      </c>
      <c r="F22" s="4" t="s">
        <v>326</v>
      </c>
      <c r="G22" s="4" t="s">
        <v>327</v>
      </c>
      <c r="H22" s="4" t="s">
        <v>319</v>
      </c>
      <c r="I22" s="4" t="s">
        <v>329</v>
      </c>
    </row>
    <row r="23" spans="2:11" x14ac:dyDescent="0.25">
      <c r="E23" s="4">
        <v>0.72</v>
      </c>
      <c r="F23" s="4">
        <f>F14/(G6*G10)</f>
        <v>6.6656878578769639E-4</v>
      </c>
      <c r="G23" s="4" t="e">
        <f>+F14/(G6*L14)</f>
        <v>#DIV/0!</v>
      </c>
      <c r="H23" s="4" t="e">
        <f>2.36*(MIN(F23,G23))^0.23</f>
        <v>#DIV/0!</v>
      </c>
      <c r="I23" s="4">
        <f>+C6</f>
        <v>21</v>
      </c>
      <c r="J23" s="4" t="e">
        <f>0.092*E23*H23*(I23+18)</f>
        <v>#DIV/0!</v>
      </c>
    </row>
    <row r="25" spans="2:11" x14ac:dyDescent="0.25">
      <c r="H25" s="4" t="s">
        <v>330</v>
      </c>
      <c r="I25" s="4" t="s">
        <v>101</v>
      </c>
    </row>
    <row r="26" spans="2:11" x14ac:dyDescent="0.25">
      <c r="H26" s="4">
        <v>150</v>
      </c>
      <c r="I26" s="5">
        <f>+H6</f>
        <v>600</v>
      </c>
      <c r="J26" s="4">
        <f>(1-1.61*H26/I26)</f>
        <v>0.59749999999999992</v>
      </c>
    </row>
    <row r="28" spans="2:11" x14ac:dyDescent="0.25">
      <c r="C28" s="4" t="s">
        <v>332</v>
      </c>
      <c r="E28" s="12" t="s">
        <v>334</v>
      </c>
    </row>
    <row r="29" spans="2:11" x14ac:dyDescent="0.25">
      <c r="C29" s="4" t="s">
        <v>333</v>
      </c>
      <c r="D29" s="65" t="e">
        <f ca="1">[1]!Bar(C29,11)*100</f>
        <v>#NAME?</v>
      </c>
      <c r="E29" s="4">
        <v>90</v>
      </c>
      <c r="F29" s="4" t="e">
        <f ca="1">SIN(degree(E29))</f>
        <v>#NAME?</v>
      </c>
      <c r="H29" s="4" t="s">
        <v>398</v>
      </c>
      <c r="J29" s="4">
        <f>dt_beem(H29,D10,E10)</f>
        <v>113.5</v>
      </c>
    </row>
    <row r="30" spans="2:11" x14ac:dyDescent="0.25">
      <c r="D30" s="100"/>
      <c r="F30" s="4" t="s">
        <v>247</v>
      </c>
      <c r="G30" s="4" t="s">
        <v>248</v>
      </c>
      <c r="H30" s="4" t="s">
        <v>331</v>
      </c>
    </row>
    <row r="31" spans="2:11" x14ac:dyDescent="0.25">
      <c r="D31" s="100"/>
      <c r="F31" s="5">
        <f>+G6</f>
        <v>350</v>
      </c>
      <c r="G31" s="5">
        <f>(H6-D10-G14)/2</f>
        <v>31.75</v>
      </c>
    </row>
    <row r="32" spans="2:11" x14ac:dyDescent="0.25">
      <c r="D32" s="100"/>
      <c r="F32" s="5"/>
      <c r="G32" s="5"/>
    </row>
    <row r="34" spans="3:9" ht="11.7" x14ac:dyDescent="0.25">
      <c r="C34" s="21" t="s">
        <v>293</v>
      </c>
      <c r="D34" s="4" t="s">
        <v>297</v>
      </c>
      <c r="E34"/>
      <c r="F34"/>
      <c r="G34"/>
      <c r="H34"/>
      <c r="I34" s="98" t="s">
        <v>103</v>
      </c>
    </row>
    <row r="35" spans="3:9" ht="11.7" x14ac:dyDescent="0.25">
      <c r="C35" s="21"/>
      <c r="D35" s="4" t="s">
        <v>294</v>
      </c>
      <c r="E35"/>
      <c r="F35"/>
      <c r="G35"/>
      <c r="H35"/>
    </row>
    <row r="36" spans="3:9" ht="11.7" x14ac:dyDescent="0.25">
      <c r="C36" s="21" t="s">
        <v>295</v>
      </c>
      <c r="D36" s="4" t="s">
        <v>296</v>
      </c>
      <c r="E36"/>
      <c r="F36"/>
      <c r="G36"/>
      <c r="H36"/>
    </row>
    <row r="37" spans="3:9" ht="12.35" x14ac:dyDescent="0.25">
      <c r="C37" s="21" t="s">
        <v>298</v>
      </c>
      <c r="D37" s="4" t="s">
        <v>299</v>
      </c>
      <c r="E37"/>
      <c r="F37"/>
      <c r="G37"/>
      <c r="H37"/>
    </row>
    <row r="38" spans="3:9" ht="11.7" x14ac:dyDescent="0.25">
      <c r="C38" s="21" t="s">
        <v>300</v>
      </c>
      <c r="D38" s="4" t="s">
        <v>301</v>
      </c>
      <c r="E38"/>
      <c r="F38"/>
      <c r="G38"/>
      <c r="H38"/>
    </row>
    <row r="39" spans="3:9" ht="11.7" x14ac:dyDescent="0.25">
      <c r="C39" s="21" t="s">
        <v>9</v>
      </c>
      <c r="D39" s="4" t="s">
        <v>302</v>
      </c>
      <c r="E39"/>
      <c r="F39"/>
      <c r="G39"/>
      <c r="H39"/>
    </row>
    <row r="40" spans="3:9" ht="11.7" x14ac:dyDescent="0.25">
      <c r="C40" s="21" t="s">
        <v>40</v>
      </c>
      <c r="D40" s="4" t="s">
        <v>303</v>
      </c>
      <c r="E40"/>
      <c r="F40"/>
      <c r="G40"/>
      <c r="H40"/>
    </row>
    <row r="41" spans="3:9" ht="11.7" x14ac:dyDescent="0.25">
      <c r="C41" s="21" t="s">
        <v>304</v>
      </c>
      <c r="D41" t="s">
        <v>305</v>
      </c>
      <c r="E41"/>
      <c r="F41"/>
      <c r="G41"/>
      <c r="H41"/>
    </row>
    <row r="42" spans="3:9" ht="11.7" x14ac:dyDescent="0.25">
      <c r="C42" s="21" t="s">
        <v>306</v>
      </c>
      <c r="D42" s="4" t="s">
        <v>307</v>
      </c>
      <c r="E42"/>
      <c r="F42"/>
      <c r="G42"/>
      <c r="H42"/>
    </row>
    <row r="43" spans="3:9" ht="11.7" x14ac:dyDescent="0.25">
      <c r="C43" s="21"/>
      <c r="D43" s="4" t="s">
        <v>308</v>
      </c>
      <c r="E43"/>
      <c r="F43"/>
      <c r="G43"/>
      <c r="H43"/>
    </row>
    <row r="44" spans="3:9" ht="11.7" x14ac:dyDescent="0.25">
      <c r="C44" s="21" t="s">
        <v>309</v>
      </c>
      <c r="D44" s="4" t="s">
        <v>310</v>
      </c>
      <c r="E44"/>
      <c r="F44"/>
      <c r="G44"/>
      <c r="H44"/>
    </row>
    <row r="45" spans="3:9" ht="11.7" x14ac:dyDescent="0.25">
      <c r="C45" s="21"/>
      <c r="D45" s="4" t="s">
        <v>311</v>
      </c>
      <c r="E45"/>
      <c r="F45"/>
      <c r="G45"/>
      <c r="H45"/>
    </row>
    <row r="46" spans="3:9" ht="11.7" x14ac:dyDescent="0.25">
      <c r="C46" s="21" t="s">
        <v>312</v>
      </c>
      <c r="D46" s="4" t="s">
        <v>313</v>
      </c>
      <c r="E46"/>
      <c r="F46"/>
      <c r="G46"/>
      <c r="H46"/>
    </row>
    <row r="47" spans="3:9" x14ac:dyDescent="0.25">
      <c r="C47" s="12" t="s">
        <v>138</v>
      </c>
      <c r="D47" s="4" t="s">
        <v>314</v>
      </c>
    </row>
    <row r="48" spans="3:9" x14ac:dyDescent="0.25">
      <c r="C48" s="12" t="s">
        <v>290</v>
      </c>
      <c r="D48" s="4" t="s">
        <v>11</v>
      </c>
    </row>
    <row r="49" spans="3:10" x14ac:dyDescent="0.25">
      <c r="C49" s="12"/>
    </row>
    <row r="50" spans="3:10" x14ac:dyDescent="0.25">
      <c r="C50" s="12"/>
    </row>
    <row r="51" spans="3:10" x14ac:dyDescent="0.25">
      <c r="C51" s="12"/>
    </row>
    <row r="52" spans="3:10" ht="11.7" x14ac:dyDescent="0.25">
      <c r="C52" s="21" t="s">
        <v>276</v>
      </c>
      <c r="D52" t="s">
        <v>127</v>
      </c>
      <c r="E52"/>
      <c r="F52"/>
      <c r="G52"/>
      <c r="H52"/>
      <c r="J52" s="5"/>
    </row>
    <row r="53" spans="3:10" ht="11.7" x14ac:dyDescent="0.25">
      <c r="C53" s="21" t="s">
        <v>277</v>
      </c>
      <c r="D53" t="s">
        <v>130</v>
      </c>
    </row>
    <row r="54" spans="3:10" x14ac:dyDescent="0.25">
      <c r="C54" s="12" t="s">
        <v>278</v>
      </c>
      <c r="D54" s="4" t="s">
        <v>37</v>
      </c>
    </row>
    <row r="55" spans="3:10" x14ac:dyDescent="0.25">
      <c r="C55" s="12" t="s">
        <v>279</v>
      </c>
      <c r="D55" s="4" t="s">
        <v>38</v>
      </c>
      <c r="I55" s="4" t="s">
        <v>61</v>
      </c>
    </row>
    <row r="56" spans="3:10" x14ac:dyDescent="0.25">
      <c r="C56" s="12" t="s">
        <v>62</v>
      </c>
      <c r="D56" s="4" t="s">
        <v>63</v>
      </c>
    </row>
    <row r="57" spans="3:10" x14ac:dyDescent="0.25">
      <c r="C57" s="12" t="s">
        <v>280</v>
      </c>
      <c r="D57" s="4" t="s">
        <v>219</v>
      </c>
    </row>
    <row r="58" spans="3:10" x14ac:dyDescent="0.25">
      <c r="C58" s="12" t="s">
        <v>281</v>
      </c>
      <c r="D58" s="4" t="s">
        <v>220</v>
      </c>
    </row>
    <row r="59" spans="3:10" x14ac:dyDescent="0.25">
      <c r="C59" s="12" t="s">
        <v>282</v>
      </c>
      <c r="D59" s="4" t="s">
        <v>223</v>
      </c>
    </row>
    <row r="60" spans="3:10" x14ac:dyDescent="0.25">
      <c r="C60" s="12" t="s">
        <v>283</v>
      </c>
      <c r="D60" s="4" t="s">
        <v>224</v>
      </c>
    </row>
    <row r="61" spans="3:10" x14ac:dyDescent="0.25">
      <c r="C61" s="12" t="s">
        <v>284</v>
      </c>
      <c r="D61" s="4" t="s">
        <v>226</v>
      </c>
      <c r="I61" s="4" t="s">
        <v>285</v>
      </c>
    </row>
    <row r="62" spans="3:10" x14ac:dyDescent="0.25">
      <c r="C62" s="12" t="s">
        <v>286</v>
      </c>
      <c r="D62" s="4" t="s">
        <v>227</v>
      </c>
      <c r="I62" s="4" t="s">
        <v>287</v>
      </c>
    </row>
    <row r="63" spans="3:10" x14ac:dyDescent="0.25">
      <c r="C63" s="12" t="s">
        <v>288</v>
      </c>
      <c r="D63" s="4" t="s">
        <v>231</v>
      </c>
    </row>
    <row r="64" spans="3:10" x14ac:dyDescent="0.25">
      <c r="C64" s="12" t="s">
        <v>232</v>
      </c>
      <c r="D64" s="4" t="s">
        <v>233</v>
      </c>
    </row>
    <row r="65" spans="3:6" x14ac:dyDescent="0.25">
      <c r="C65" s="12" t="s">
        <v>289</v>
      </c>
      <c r="D65" s="4" t="s">
        <v>235</v>
      </c>
    </row>
    <row r="66" spans="3:6" x14ac:dyDescent="0.25">
      <c r="C66" s="12" t="s">
        <v>290</v>
      </c>
      <c r="D66" s="4" t="s">
        <v>11</v>
      </c>
      <c r="F66" s="13" t="s">
        <v>291</v>
      </c>
    </row>
    <row r="67" spans="3:6" x14ac:dyDescent="0.25">
      <c r="C67" s="12" t="s">
        <v>292</v>
      </c>
      <c r="D67" s="4" t="s">
        <v>239</v>
      </c>
    </row>
    <row r="68" spans="3:6" x14ac:dyDescent="0.25">
      <c r="C68" s="12" t="s">
        <v>143</v>
      </c>
      <c r="D68" s="4" t="s">
        <v>241</v>
      </c>
    </row>
    <row r="69" spans="3:6" x14ac:dyDescent="0.25">
      <c r="C69" s="12"/>
    </row>
    <row r="70" spans="3:6" ht="11.7" x14ac:dyDescent="0.25">
      <c r="C70" s="12"/>
      <c r="D70" t="s">
        <v>128</v>
      </c>
    </row>
    <row r="71" spans="3:6" x14ac:dyDescent="0.25">
      <c r="C71" s="12"/>
    </row>
  </sheetData>
  <mergeCells count="6">
    <mergeCell ref="F4:F5"/>
    <mergeCell ref="B15:B16"/>
    <mergeCell ref="C15:C16"/>
    <mergeCell ref="E4:E5"/>
    <mergeCell ref="B12:C12"/>
    <mergeCell ref="B8:C8"/>
  </mergeCells>
  <phoneticPr fontId="3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V38"/>
  <sheetViews>
    <sheetView workbookViewId="0">
      <selection activeCell="J23" sqref="J23"/>
    </sheetView>
  </sheetViews>
  <sheetFormatPr defaultColWidth="9.1328125" defaultRowHeight="11.7" x14ac:dyDescent="0.25"/>
  <cols>
    <col min="1" max="1" width="2.6640625" style="139" customWidth="1"/>
    <col min="2" max="4" width="6.6640625" style="139" customWidth="1"/>
    <col min="5" max="5" width="8.6640625" style="139" customWidth="1"/>
    <col min="6" max="6" width="6.6640625" style="139" customWidth="1"/>
    <col min="7" max="7" width="5.6640625" style="139" customWidth="1"/>
    <col min="8" max="8" width="6.6640625" style="139" customWidth="1"/>
    <col min="9" max="9" width="8.6640625" style="139" customWidth="1"/>
    <col min="10" max="10" width="5.6640625" style="139" customWidth="1"/>
    <col min="11" max="11" width="6.6640625" style="140" customWidth="1"/>
    <col min="12" max="15" width="6.6640625" style="139" customWidth="1"/>
    <col min="16" max="16384" width="9.1328125" style="139"/>
  </cols>
  <sheetData>
    <row r="2" spans="2:15" x14ac:dyDescent="0.25">
      <c r="B2" s="139" t="s">
        <v>194</v>
      </c>
      <c r="M2" s="141" t="s">
        <v>195</v>
      </c>
    </row>
    <row r="4" spans="2:15" x14ac:dyDescent="0.25">
      <c r="B4" s="142" t="s">
        <v>148</v>
      </c>
      <c r="C4" s="143" t="s">
        <v>107</v>
      </c>
      <c r="D4" s="144" t="s">
        <v>101</v>
      </c>
      <c r="E4" s="144" t="s">
        <v>167</v>
      </c>
      <c r="F4" s="144" t="s">
        <v>168</v>
      </c>
      <c r="G4" s="144" t="s">
        <v>169</v>
      </c>
      <c r="H4" s="144" t="s">
        <v>170</v>
      </c>
      <c r="I4" s="144" t="s">
        <v>171</v>
      </c>
      <c r="J4" s="144" t="s">
        <v>172</v>
      </c>
      <c r="K4" s="144" t="s">
        <v>139</v>
      </c>
      <c r="L4" s="144" t="s">
        <v>141</v>
      </c>
      <c r="M4" s="144" t="s">
        <v>173</v>
      </c>
      <c r="N4" s="144" t="s">
        <v>174</v>
      </c>
      <c r="O4" s="145" t="s">
        <v>149</v>
      </c>
    </row>
    <row r="5" spans="2:15" x14ac:dyDescent="0.25">
      <c r="B5" s="146" t="s">
        <v>189</v>
      </c>
      <c r="C5" s="147">
        <v>500</v>
      </c>
      <c r="D5" s="148">
        <v>270</v>
      </c>
      <c r="E5" s="149" t="s">
        <v>190</v>
      </c>
      <c r="F5" s="149" t="e">
        <f ca="1">[1]!Bar(E5,11)*100</f>
        <v>#NAME?</v>
      </c>
      <c r="G5" s="150">
        <v>14</v>
      </c>
      <c r="H5" s="149">
        <v>295</v>
      </c>
      <c r="I5" s="150">
        <v>295</v>
      </c>
      <c r="J5" s="149">
        <v>15</v>
      </c>
      <c r="K5" s="151" t="e">
        <f ca="1">[1]!RcCMaC(C5/10,D5/10,E5,G5*10,H5*10, I5/10, J5,3)</f>
        <v>#NAME?</v>
      </c>
      <c r="L5" s="151" t="e">
        <f ca="1">[1]!RcCMaC(C5/10,D5/10,E5,G5*10,H5*10,I5/10,J5,4)</f>
        <v>#NAME?</v>
      </c>
      <c r="M5" s="152" t="e">
        <f ca="1">[1]!RcGMa(幅B, せいD, 鉄筋dt, 鉄筋dc, 鉄筋at, 鉄筋ac, コンfc, 鉄筋ft, ヤング比n, 計算値)</f>
        <v>#NAME?</v>
      </c>
      <c r="N5" s="153">
        <v>60.4</v>
      </c>
      <c r="O5" s="154" t="e">
        <f t="shared" ref="O5:O20" ca="1" si="0">IF(M5&gt;N5,"OK","NG")</f>
        <v>#NAME?</v>
      </c>
    </row>
    <row r="6" spans="2:15" x14ac:dyDescent="0.25">
      <c r="B6" s="155" t="s">
        <v>151</v>
      </c>
      <c r="C6" s="156">
        <v>500</v>
      </c>
      <c r="D6" s="157">
        <v>270</v>
      </c>
      <c r="E6" s="158" t="s">
        <v>190</v>
      </c>
      <c r="F6" s="158" t="e">
        <f ca="1">[1]!Bar(E6,11)*100</f>
        <v>#NAME?</v>
      </c>
      <c r="G6" s="159">
        <v>14</v>
      </c>
      <c r="H6" s="158">
        <v>295</v>
      </c>
      <c r="I6" s="159">
        <v>552</v>
      </c>
      <c r="J6" s="158">
        <v>15</v>
      </c>
      <c r="K6" s="160" t="e">
        <f ca="1">[1]!RcCMaC(C6/10,D6/10,E6,G6*10,H6*10, I6/10, J6,3)</f>
        <v>#NAME?</v>
      </c>
      <c r="L6" s="160" t="e">
        <f ca="1">[1]!RcCMaC(C6/10,D6/10,E6,G6*10,H6*10,I6/10,J6,4)</f>
        <v>#NAME?</v>
      </c>
      <c r="M6" s="161" t="e">
        <f ca="1">[1]!RcCMaC(C6/10,D6/10,E6,G6*10,H6*10, I6/10, J6,0)*10</f>
        <v>#NAME?</v>
      </c>
      <c r="N6" s="162">
        <v>60.4</v>
      </c>
      <c r="O6" s="163" t="e">
        <f t="shared" ca="1" si="0"/>
        <v>#NAME?</v>
      </c>
    </row>
    <row r="7" spans="2:15" x14ac:dyDescent="0.25">
      <c r="B7" s="155" t="s">
        <v>152</v>
      </c>
      <c r="C7" s="156">
        <v>500</v>
      </c>
      <c r="D7" s="157">
        <v>270</v>
      </c>
      <c r="E7" s="158" t="s">
        <v>190</v>
      </c>
      <c r="F7" s="158" t="e">
        <f ca="1">[1]!Bar(E7,11)*100</f>
        <v>#NAME?</v>
      </c>
      <c r="G7" s="159">
        <v>14</v>
      </c>
      <c r="H7" s="158">
        <v>295</v>
      </c>
      <c r="I7" s="159">
        <v>575</v>
      </c>
      <c r="J7" s="158">
        <v>15</v>
      </c>
      <c r="K7" s="160" t="e">
        <f ca="1">[1]!RcCMaC(C7/10,D7/10,E7,G7*10,H7*10, I7/10, J7,3)</f>
        <v>#NAME?</v>
      </c>
      <c r="L7" s="160" t="e">
        <f ca="1">[1]!RcCMaC(C7/10,D7/10,E7,G7*10,H7*10,I7/10,J7,4)</f>
        <v>#NAME?</v>
      </c>
      <c r="M7" s="161" t="e">
        <f ca="1">[1]!RcCMaC(C7/10,D7/10,E7,G7*10,H7*10, I7/10, J7,0)*10</f>
        <v>#NAME?</v>
      </c>
      <c r="N7" s="162">
        <v>60</v>
      </c>
      <c r="O7" s="163" t="e">
        <f t="shared" ca="1" si="0"/>
        <v>#NAME?</v>
      </c>
    </row>
    <row r="8" spans="2:15" x14ac:dyDescent="0.25">
      <c r="B8" s="155" t="s">
        <v>153</v>
      </c>
      <c r="C8" s="156">
        <v>500</v>
      </c>
      <c r="D8" s="157">
        <v>270</v>
      </c>
      <c r="E8" s="158" t="s">
        <v>190</v>
      </c>
      <c r="F8" s="158" t="e">
        <f ca="1">[1]!Bar(E8,11)*100</f>
        <v>#NAME?</v>
      </c>
      <c r="G8" s="159">
        <v>14</v>
      </c>
      <c r="H8" s="158">
        <v>295</v>
      </c>
      <c r="I8" s="159">
        <v>520</v>
      </c>
      <c r="J8" s="158">
        <v>15</v>
      </c>
      <c r="K8" s="160" t="e">
        <f ca="1">[1]!RcCMaC(C8/10,D8/10,E8,G8*10,H8*10, I8/10, J8,3)</f>
        <v>#NAME?</v>
      </c>
      <c r="L8" s="160" t="e">
        <f ca="1">[1]!RcCMaC(C8/10,D8/10,E8,G8*10,H8*10,I8/10,J8,4)</f>
        <v>#NAME?</v>
      </c>
      <c r="M8" s="161" t="e">
        <f ca="1">[1]!RcCMaC(C8/10,D8/10,E8,G8*10,H8*10, I8/10, J8,0)*10</f>
        <v>#NAME?</v>
      </c>
      <c r="N8" s="162">
        <v>60</v>
      </c>
      <c r="O8" s="163" t="e">
        <f t="shared" ca="1" si="0"/>
        <v>#NAME?</v>
      </c>
    </row>
    <row r="9" spans="2:15" x14ac:dyDescent="0.25">
      <c r="B9" s="155" t="s">
        <v>154</v>
      </c>
      <c r="C9" s="156">
        <v>500</v>
      </c>
      <c r="D9" s="157">
        <v>270</v>
      </c>
      <c r="E9" s="158" t="s">
        <v>190</v>
      </c>
      <c r="F9" s="158" t="e">
        <f ca="1">[1]!Bar(E9,11)*100</f>
        <v>#NAME?</v>
      </c>
      <c r="G9" s="159">
        <v>14</v>
      </c>
      <c r="H9" s="158">
        <v>295</v>
      </c>
      <c r="I9" s="159">
        <v>563</v>
      </c>
      <c r="J9" s="158">
        <v>15</v>
      </c>
      <c r="K9" s="160" t="e">
        <f ca="1">[1]!RcCMaC(C9/10,D9/10,E9,G9*10,H9*10, I9/10, J9,3)</f>
        <v>#NAME?</v>
      </c>
      <c r="L9" s="160" t="e">
        <f ca="1">[1]!RcCMaC(C9/10,D9/10,E9,G9*10,H9*10,I9/10,J9,4)</f>
        <v>#NAME?</v>
      </c>
      <c r="M9" s="161" t="e">
        <f ca="1">[1]!RcCMaC(C9/10,D9/10,E9,G9*10,H9*10, I9/10, J9,0)*10</f>
        <v>#NAME?</v>
      </c>
      <c r="N9" s="162">
        <v>60</v>
      </c>
      <c r="O9" s="163" t="e">
        <f t="shared" ca="1" si="0"/>
        <v>#NAME?</v>
      </c>
    </row>
    <row r="10" spans="2:15" x14ac:dyDescent="0.25">
      <c r="B10" s="155" t="s">
        <v>191</v>
      </c>
      <c r="C10" s="156">
        <v>500</v>
      </c>
      <c r="D10" s="157">
        <v>270</v>
      </c>
      <c r="E10" s="158" t="s">
        <v>190</v>
      </c>
      <c r="F10" s="158" t="e">
        <f ca="1">[1]!Bar(E10,11)*100</f>
        <v>#NAME?</v>
      </c>
      <c r="G10" s="159">
        <v>14</v>
      </c>
      <c r="H10" s="158">
        <v>295</v>
      </c>
      <c r="I10" s="159">
        <v>562</v>
      </c>
      <c r="J10" s="158">
        <v>15</v>
      </c>
      <c r="K10" s="160" t="e">
        <f ca="1">[1]!RcCMaC(C10/10,D10/10,E10,G10*10,H10*10, I10/10, J10,3)</f>
        <v>#NAME?</v>
      </c>
      <c r="L10" s="160" t="e">
        <f ca="1">[1]!RcCMaC(C10/10,D10/10,E10,G10*10,H10*10,I10/10,J10,4)</f>
        <v>#NAME?</v>
      </c>
      <c r="M10" s="161" t="e">
        <f ca="1">[1]!RcCMaC(C10/10,D10/10,E10,G10*10,H10*10, I10/10, J10,0)*10</f>
        <v>#NAME?</v>
      </c>
      <c r="N10" s="162">
        <v>60</v>
      </c>
      <c r="O10" s="163" t="e">
        <f t="shared" ca="1" si="0"/>
        <v>#NAME?</v>
      </c>
    </row>
    <row r="11" spans="2:15" x14ac:dyDescent="0.25">
      <c r="B11" s="155" t="s">
        <v>156</v>
      </c>
      <c r="C11" s="156">
        <v>500</v>
      </c>
      <c r="D11" s="157">
        <v>270</v>
      </c>
      <c r="E11" s="158" t="s">
        <v>190</v>
      </c>
      <c r="F11" s="158" t="e">
        <f ca="1">[1]!Bar(E11,11)*100</f>
        <v>#NAME?</v>
      </c>
      <c r="G11" s="159">
        <v>14</v>
      </c>
      <c r="H11" s="158">
        <v>295</v>
      </c>
      <c r="I11" s="159">
        <v>542</v>
      </c>
      <c r="J11" s="158">
        <v>15</v>
      </c>
      <c r="K11" s="160" t="e">
        <f ca="1">[1]!RcCMaC(C11/10,D11/10,E11,G11*10,H11*10, I11/10, J11,3)</f>
        <v>#NAME?</v>
      </c>
      <c r="L11" s="160" t="e">
        <f ca="1">[1]!RcCMaC(C11/10,D11/10,E11,G11*10,H11*10,I11/10,J11,4)</f>
        <v>#NAME?</v>
      </c>
      <c r="M11" s="161" t="e">
        <f ca="1">[1]!RcCMaC(C11/10,D11/10,E11,G11*10,H11*10, I11/10, J11,0)*10</f>
        <v>#NAME?</v>
      </c>
      <c r="N11" s="162">
        <v>60</v>
      </c>
      <c r="O11" s="163" t="e">
        <f t="shared" ca="1" si="0"/>
        <v>#NAME?</v>
      </c>
    </row>
    <row r="12" spans="2:15" x14ac:dyDescent="0.25">
      <c r="B12" s="155" t="s">
        <v>157</v>
      </c>
      <c r="C12" s="156">
        <v>500</v>
      </c>
      <c r="D12" s="157">
        <v>270</v>
      </c>
      <c r="E12" s="158" t="s">
        <v>190</v>
      </c>
      <c r="F12" s="158" t="e">
        <f ca="1">[1]!Bar(E12,11)*100</f>
        <v>#NAME?</v>
      </c>
      <c r="G12" s="159">
        <v>14</v>
      </c>
      <c r="H12" s="158">
        <v>295</v>
      </c>
      <c r="I12" s="159">
        <v>185</v>
      </c>
      <c r="J12" s="158">
        <v>15</v>
      </c>
      <c r="K12" s="160" t="e">
        <f ca="1">[1]!RcCMaC(C12/10,D12/10,E12,G12*10,H12*10, I12/10, J12,3)</f>
        <v>#NAME?</v>
      </c>
      <c r="L12" s="160" t="e">
        <f ca="1">[1]!RcCMaC(C12/10,D12/10,E12,G12*10,H12*10,I12/10,J12,4)</f>
        <v>#NAME?</v>
      </c>
      <c r="M12" s="161" t="e">
        <f ca="1">[1]!RcCMaC(C12/10,D12/10,E12,G12*10,H12*10, I12/10, J12,0)*10</f>
        <v>#NAME?</v>
      </c>
      <c r="N12" s="162">
        <v>60</v>
      </c>
      <c r="O12" s="163" t="e">
        <f t="shared" ca="1" si="0"/>
        <v>#NAME?</v>
      </c>
    </row>
    <row r="13" spans="2:15" x14ac:dyDescent="0.25">
      <c r="B13" s="155" t="s">
        <v>158</v>
      </c>
      <c r="C13" s="156">
        <v>500</v>
      </c>
      <c r="D13" s="157">
        <v>270</v>
      </c>
      <c r="E13" s="158" t="s">
        <v>190</v>
      </c>
      <c r="F13" s="158" t="e">
        <f ca="1">[1]!Bar(E13,11)*100</f>
        <v>#NAME?</v>
      </c>
      <c r="G13" s="159">
        <v>14</v>
      </c>
      <c r="H13" s="158">
        <v>295</v>
      </c>
      <c r="I13" s="159">
        <v>297</v>
      </c>
      <c r="J13" s="158">
        <v>15</v>
      </c>
      <c r="K13" s="160" t="e">
        <f ca="1">[1]!RcCMaC(C13/10,D13/10,E13,G13*10,H13*10, I13/10, J13,3)</f>
        <v>#NAME?</v>
      </c>
      <c r="L13" s="160" t="e">
        <f ca="1">[1]!RcCMaC(C13/10,D13/10,E13,G13*10,H13*10,I13/10,J13,4)</f>
        <v>#NAME?</v>
      </c>
      <c r="M13" s="161" t="e">
        <f ca="1">[1]!RcCMaC(C13/10,D13/10,E13,G13*10,H13*10, I13/10, J13,0)*10</f>
        <v>#NAME?</v>
      </c>
      <c r="N13" s="162">
        <v>60</v>
      </c>
      <c r="O13" s="163" t="e">
        <f t="shared" ca="1" si="0"/>
        <v>#NAME?</v>
      </c>
    </row>
    <row r="14" spans="2:15" x14ac:dyDescent="0.25">
      <c r="B14" s="155" t="s">
        <v>159</v>
      </c>
      <c r="C14" s="156">
        <v>500</v>
      </c>
      <c r="D14" s="157">
        <v>270</v>
      </c>
      <c r="E14" s="158" t="s">
        <v>190</v>
      </c>
      <c r="F14" s="158" t="e">
        <f ca="1">[1]!Bar(E14,11)*100</f>
        <v>#NAME?</v>
      </c>
      <c r="G14" s="159">
        <v>14</v>
      </c>
      <c r="H14" s="158">
        <v>295</v>
      </c>
      <c r="I14" s="159">
        <v>554</v>
      </c>
      <c r="J14" s="158">
        <v>15</v>
      </c>
      <c r="K14" s="160" t="e">
        <f ca="1">[1]!RcCMaC(C14/10,D14/10,E14,G14*10,H14*10, I14/10, J14,3)</f>
        <v>#NAME?</v>
      </c>
      <c r="L14" s="160" t="e">
        <f ca="1">[1]!RcCMaC(C14/10,D14/10,E14,G14*10,H14*10,I14/10,J14,4)</f>
        <v>#NAME?</v>
      </c>
      <c r="M14" s="161" t="e">
        <f ca="1">[1]!RcCMaC(C14/10,D14/10,E14,G14*10,H14*10, I14/10, J14,0)*10</f>
        <v>#NAME?</v>
      </c>
      <c r="N14" s="162">
        <v>60</v>
      </c>
      <c r="O14" s="163" t="e">
        <f t="shared" ca="1" si="0"/>
        <v>#NAME?</v>
      </c>
    </row>
    <row r="15" spans="2:15" x14ac:dyDescent="0.25">
      <c r="B15" s="155" t="s">
        <v>192</v>
      </c>
      <c r="C15" s="156">
        <v>500</v>
      </c>
      <c r="D15" s="157">
        <v>270</v>
      </c>
      <c r="E15" s="158" t="s">
        <v>190</v>
      </c>
      <c r="F15" s="158" t="e">
        <f ca="1">[1]!Bar(E15,11)*100</f>
        <v>#NAME?</v>
      </c>
      <c r="G15" s="159">
        <v>14</v>
      </c>
      <c r="H15" s="158">
        <v>295</v>
      </c>
      <c r="I15" s="159">
        <v>577</v>
      </c>
      <c r="J15" s="158">
        <v>15</v>
      </c>
      <c r="K15" s="160" t="e">
        <f ca="1">[1]!RcCMaC(C15/10,D15/10,E15,G15*10,H15*10, I15/10, J15,3)</f>
        <v>#NAME?</v>
      </c>
      <c r="L15" s="160" t="e">
        <f ca="1">[1]!RcCMaC(C15/10,D15/10,E15,G15*10,H15*10,I15/10,J15,4)</f>
        <v>#NAME?</v>
      </c>
      <c r="M15" s="161" t="e">
        <f ca="1">[1]!RcCMaC(C15/10,D15/10,E15,G15*10,H15*10, I15/10, J15,0)*10</f>
        <v>#NAME?</v>
      </c>
      <c r="N15" s="162">
        <v>60</v>
      </c>
      <c r="O15" s="163" t="e">
        <f t="shared" ca="1" si="0"/>
        <v>#NAME?</v>
      </c>
    </row>
    <row r="16" spans="2:15" x14ac:dyDescent="0.25">
      <c r="B16" s="155" t="s">
        <v>161</v>
      </c>
      <c r="C16" s="156">
        <v>500</v>
      </c>
      <c r="D16" s="157">
        <v>270</v>
      </c>
      <c r="E16" s="158" t="s">
        <v>190</v>
      </c>
      <c r="F16" s="158" t="e">
        <f ca="1">[1]!Bar(E16,11)*100</f>
        <v>#NAME?</v>
      </c>
      <c r="G16" s="159">
        <v>14</v>
      </c>
      <c r="H16" s="158">
        <v>295</v>
      </c>
      <c r="I16" s="159">
        <v>563</v>
      </c>
      <c r="J16" s="158">
        <v>15</v>
      </c>
      <c r="K16" s="160" t="e">
        <f ca="1">[1]!RcCMaC(C16/10,D16/10,E16,G16*10,H16*10, I16/10, J16,3)</f>
        <v>#NAME?</v>
      </c>
      <c r="L16" s="160" t="e">
        <f ca="1">[1]!RcCMaC(C16/10,D16/10,E16,G16*10,H16*10,I16/10,J16,4)</f>
        <v>#NAME?</v>
      </c>
      <c r="M16" s="161" t="e">
        <f ca="1">[1]!RcCMaC(C16/10,D16/10,E16,G16*10,H16*10, I16/10, J16,0)*10</f>
        <v>#NAME?</v>
      </c>
      <c r="N16" s="162">
        <v>60</v>
      </c>
      <c r="O16" s="163" t="e">
        <f t="shared" ca="1" si="0"/>
        <v>#NAME?</v>
      </c>
    </row>
    <row r="17" spans="2:22" x14ac:dyDescent="0.25">
      <c r="B17" s="155" t="s">
        <v>162</v>
      </c>
      <c r="C17" s="156">
        <v>500</v>
      </c>
      <c r="D17" s="157">
        <v>270</v>
      </c>
      <c r="E17" s="158" t="s">
        <v>190</v>
      </c>
      <c r="F17" s="158" t="e">
        <f ca="1">[1]!Bar(E17,11)*100</f>
        <v>#NAME?</v>
      </c>
      <c r="G17" s="159">
        <v>14</v>
      </c>
      <c r="H17" s="158">
        <v>295</v>
      </c>
      <c r="I17" s="159">
        <v>577</v>
      </c>
      <c r="J17" s="158">
        <v>15</v>
      </c>
      <c r="K17" s="160" t="e">
        <f ca="1">[1]!RcCMaC(C17/10,D17/10,E17,G17*10,H17*10, I17/10, J17,3)</f>
        <v>#NAME?</v>
      </c>
      <c r="L17" s="160" t="e">
        <f ca="1">[1]!RcCMaC(C17/10,D17/10,E17,G17*10,H17*10,I17/10,J17,4)</f>
        <v>#NAME?</v>
      </c>
      <c r="M17" s="161" t="e">
        <f ca="1">[1]!RcCMaC(C17/10,D17/10,E17,G17*10,H17*10, I17/10, J17,0)*10</f>
        <v>#NAME?</v>
      </c>
      <c r="N17" s="162">
        <v>60</v>
      </c>
      <c r="O17" s="163" t="e">
        <f t="shared" ca="1" si="0"/>
        <v>#NAME?</v>
      </c>
    </row>
    <row r="18" spans="2:22" x14ac:dyDescent="0.25">
      <c r="B18" s="155" t="s">
        <v>163</v>
      </c>
      <c r="C18" s="156">
        <v>500</v>
      </c>
      <c r="D18" s="157">
        <v>270</v>
      </c>
      <c r="E18" s="158" t="s">
        <v>190</v>
      </c>
      <c r="F18" s="158" t="e">
        <f ca="1">[1]!Bar(E18,11)*100</f>
        <v>#NAME?</v>
      </c>
      <c r="G18" s="159">
        <v>14</v>
      </c>
      <c r="H18" s="158">
        <v>295</v>
      </c>
      <c r="I18" s="159">
        <v>563</v>
      </c>
      <c r="J18" s="158">
        <v>15</v>
      </c>
      <c r="K18" s="160" t="e">
        <f ca="1">[1]!RcCMaC(C18/10,D18/10,E18,G18*10,H18*10, I18/10, J18,3)</f>
        <v>#NAME?</v>
      </c>
      <c r="L18" s="160" t="e">
        <f ca="1">[1]!RcCMaC(C18/10,D18/10,E18,G18*10,H18*10,I18/10,J18,4)</f>
        <v>#NAME?</v>
      </c>
      <c r="M18" s="161" t="e">
        <f ca="1">[1]!RcCMaC(C18/10,D18/10,E18,G18*10,H18*10, I18/10, J18,0)*10</f>
        <v>#NAME?</v>
      </c>
      <c r="N18" s="162">
        <v>60</v>
      </c>
      <c r="O18" s="163" t="e">
        <f t="shared" ca="1" si="0"/>
        <v>#NAME?</v>
      </c>
    </row>
    <row r="19" spans="2:22" x14ac:dyDescent="0.25">
      <c r="B19" s="155" t="s">
        <v>164</v>
      </c>
      <c r="C19" s="156">
        <v>500</v>
      </c>
      <c r="D19" s="157">
        <v>270</v>
      </c>
      <c r="E19" s="158" t="s">
        <v>190</v>
      </c>
      <c r="F19" s="158" t="e">
        <f ca="1">[1]!Bar(E19,11)*100</f>
        <v>#NAME?</v>
      </c>
      <c r="G19" s="159">
        <v>14</v>
      </c>
      <c r="H19" s="158">
        <v>345</v>
      </c>
      <c r="I19" s="159">
        <v>780</v>
      </c>
      <c r="J19" s="158">
        <v>15</v>
      </c>
      <c r="K19" s="160" t="e">
        <f ca="1">[1]!RcCMaC(C19/10,D19/10,E19,G19*10,H19*10, I19/10, J19,3)</f>
        <v>#NAME?</v>
      </c>
      <c r="L19" s="160" t="e">
        <f ca="1">[1]!RcCMaC(C19/10,D19/10,E19,G19*10,H19*10,I19/10,J19,4)</f>
        <v>#NAME?</v>
      </c>
      <c r="M19" s="161" t="e">
        <f ca="1">[1]!RcCMaC(C19/10,D19/10,E19,G19*10,H19*10, I19/10, J19,0)*10</f>
        <v>#NAME?</v>
      </c>
      <c r="N19" s="162">
        <v>60</v>
      </c>
      <c r="O19" s="163" t="e">
        <f t="shared" ca="1" si="0"/>
        <v>#NAME?</v>
      </c>
    </row>
    <row r="20" spans="2:22" x14ac:dyDescent="0.25">
      <c r="B20" s="164" t="s">
        <v>164</v>
      </c>
      <c r="C20" s="165">
        <v>500</v>
      </c>
      <c r="D20" s="166">
        <v>270</v>
      </c>
      <c r="E20" s="167" t="s">
        <v>190</v>
      </c>
      <c r="F20" s="167" t="e">
        <f ca="1">[1]!Bar(E20,11)*100</f>
        <v>#NAME?</v>
      </c>
      <c r="G20" s="168">
        <v>14</v>
      </c>
      <c r="H20" s="167">
        <v>345</v>
      </c>
      <c r="I20" s="168">
        <v>170</v>
      </c>
      <c r="J20" s="167">
        <v>15</v>
      </c>
      <c r="K20" s="169" t="e">
        <f ca="1">[1]!RcCMaC(C20/10,D20/10,E20,G20*10,H20*10, I20/10, J20,3)</f>
        <v>#NAME?</v>
      </c>
      <c r="L20" s="169" t="e">
        <f ca="1">[1]!RcCMaC(C20/10,D20/10,E20,G20*10,H20*10,I20/10,J20,4)</f>
        <v>#NAME?</v>
      </c>
      <c r="M20" s="170" t="e">
        <f ca="1">[1]!RcCMaC(C20/10,D20/10,E20,G20*10,H20*10, I20/10, J20,0)*10</f>
        <v>#NAME?</v>
      </c>
      <c r="N20" s="171">
        <v>60</v>
      </c>
      <c r="O20" s="172" t="e">
        <f t="shared" ca="1" si="0"/>
        <v>#NAME?</v>
      </c>
    </row>
    <row r="22" spans="2:22" x14ac:dyDescent="0.25">
      <c r="L22" s="140"/>
    </row>
    <row r="23" spans="2:22" x14ac:dyDescent="0.25">
      <c r="L23" s="140"/>
      <c r="N23" s="222" t="s">
        <v>90</v>
      </c>
      <c r="O23" s="222"/>
      <c r="P23" s="222"/>
      <c r="Q23" s="222"/>
      <c r="R23" s="222"/>
      <c r="S23" s="222"/>
      <c r="T23" s="222"/>
      <c r="U23" s="222"/>
      <c r="V23" s="222"/>
    </row>
    <row r="24" spans="2:22" x14ac:dyDescent="0.25">
      <c r="K24" s="173"/>
      <c r="N24" s="221" t="s">
        <v>2</v>
      </c>
      <c r="O24" s="221"/>
      <c r="P24" s="221" t="s">
        <v>3</v>
      </c>
      <c r="Q24" s="221"/>
      <c r="R24" s="174" t="s">
        <v>42</v>
      </c>
      <c r="S24" s="174" t="s">
        <v>43</v>
      </c>
      <c r="T24" s="174" t="s">
        <v>30</v>
      </c>
      <c r="U24" s="174" t="s">
        <v>31</v>
      </c>
      <c r="V24" s="174" t="s">
        <v>89</v>
      </c>
    </row>
    <row r="25" spans="2:22" ht="13.7" x14ac:dyDescent="0.25">
      <c r="K25" s="175"/>
      <c r="N25" s="142" t="s">
        <v>44</v>
      </c>
      <c r="O25" s="142" t="s">
        <v>354</v>
      </c>
      <c r="P25" s="142" t="s">
        <v>44</v>
      </c>
      <c r="Q25" s="142" t="s">
        <v>355</v>
      </c>
      <c r="R25" s="176" t="s">
        <v>356</v>
      </c>
      <c r="S25" s="176" t="s">
        <v>48</v>
      </c>
      <c r="T25" s="176" t="s">
        <v>48</v>
      </c>
      <c r="U25" s="176" t="s">
        <v>48</v>
      </c>
      <c r="V25" s="176" t="s">
        <v>48</v>
      </c>
    </row>
    <row r="26" spans="2:22" x14ac:dyDescent="0.25">
      <c r="K26" s="175"/>
      <c r="N26" s="142" t="s">
        <v>100</v>
      </c>
      <c r="O26" s="177" t="e">
        <f ca="1">[1]!Bar(N26,11)*100</f>
        <v>#NAME?</v>
      </c>
      <c r="P26" s="142" t="s">
        <v>99</v>
      </c>
      <c r="Q26" s="177" t="e">
        <f ca="1">[1]!Bar(P26,11)*100</f>
        <v>#NAME?</v>
      </c>
      <c r="R26" s="177" t="e">
        <f ca="1">+O26+Q26</f>
        <v>#NAME?</v>
      </c>
      <c r="S26" s="142">
        <v>50</v>
      </c>
      <c r="T26" s="142">
        <v>10</v>
      </c>
      <c r="U26" s="177" t="e">
        <f ca="1">[1]!Bar(N26,1)*10/2</f>
        <v>#NAME?</v>
      </c>
      <c r="V26" s="177" t="e">
        <f ca="1">IF(Q26=0,0,MAX(25,[1]!Bar(N26,1)*10*1.5))+S26+T26+U26</f>
        <v>#NAME?</v>
      </c>
    </row>
    <row r="27" spans="2:22" x14ac:dyDescent="0.25">
      <c r="K27" s="178"/>
      <c r="N27" s="223" t="s">
        <v>91</v>
      </c>
      <c r="O27" s="224"/>
      <c r="P27" s="224"/>
      <c r="Q27" s="224"/>
      <c r="R27" s="224"/>
      <c r="S27" s="224"/>
      <c r="T27" s="224"/>
      <c r="U27" s="224"/>
      <c r="V27" s="225"/>
    </row>
    <row r="28" spans="2:22" x14ac:dyDescent="0.25">
      <c r="D28" s="140" t="s">
        <v>193</v>
      </c>
      <c r="E28" s="139" t="s">
        <v>124</v>
      </c>
      <c r="I28" s="139" t="s">
        <v>175</v>
      </c>
      <c r="K28" s="175"/>
      <c r="N28" s="221" t="s">
        <v>2</v>
      </c>
      <c r="O28" s="221"/>
      <c r="P28" s="221" t="s">
        <v>3</v>
      </c>
      <c r="Q28" s="221"/>
      <c r="R28" s="174" t="s">
        <v>42</v>
      </c>
      <c r="S28" s="174" t="s">
        <v>43</v>
      </c>
      <c r="T28" s="174" t="s">
        <v>30</v>
      </c>
      <c r="U28" s="174" t="s">
        <v>31</v>
      </c>
      <c r="V28" s="174" t="s">
        <v>92</v>
      </c>
    </row>
    <row r="29" spans="2:22" ht="13.7" x14ac:dyDescent="0.25">
      <c r="D29" s="140" t="s">
        <v>176</v>
      </c>
      <c r="E29" s="139" t="s">
        <v>125</v>
      </c>
      <c r="I29" s="139" t="s">
        <v>177</v>
      </c>
      <c r="K29" s="175"/>
      <c r="N29" s="142" t="s">
        <v>44</v>
      </c>
      <c r="O29" s="142" t="s">
        <v>357</v>
      </c>
      <c r="P29" s="142" t="s">
        <v>44</v>
      </c>
      <c r="Q29" s="142" t="s">
        <v>358</v>
      </c>
      <c r="R29" s="176" t="s">
        <v>359</v>
      </c>
      <c r="S29" s="176" t="s">
        <v>48</v>
      </c>
      <c r="T29" s="176" t="s">
        <v>48</v>
      </c>
      <c r="U29" s="176" t="s">
        <v>48</v>
      </c>
      <c r="V29" s="176" t="s">
        <v>48</v>
      </c>
    </row>
    <row r="30" spans="2:22" ht="13.7" x14ac:dyDescent="0.25">
      <c r="D30" s="140" t="s">
        <v>178</v>
      </c>
      <c r="E30" s="139" t="s">
        <v>126</v>
      </c>
      <c r="I30" s="139" t="s">
        <v>359</v>
      </c>
      <c r="K30" s="175"/>
      <c r="N30" s="142" t="s">
        <v>100</v>
      </c>
      <c r="O30" s="177" t="e">
        <f ca="1">[1]!Bar(N30,11)*100</f>
        <v>#NAME?</v>
      </c>
      <c r="P30" s="142" t="s">
        <v>99</v>
      </c>
      <c r="Q30" s="177" t="e">
        <f ca="1">[1]!Bar(P30,11)*100</f>
        <v>#NAME?</v>
      </c>
      <c r="R30" s="177" t="e">
        <f ca="1">+O30+Q30</f>
        <v>#NAME?</v>
      </c>
      <c r="S30" s="142">
        <v>56</v>
      </c>
      <c r="T30" s="142">
        <v>10</v>
      </c>
      <c r="U30" s="177" t="e">
        <f ca="1">[1]!Bar(N30,1)*10/2</f>
        <v>#NAME?</v>
      </c>
      <c r="V30" s="177" t="e">
        <f ca="1">IF(Q30=0,0,MAX(25,[1]!Bar(N30,1)*10*1.5))+S30+T30+U30</f>
        <v>#NAME?</v>
      </c>
    </row>
    <row r="31" spans="2:22" ht="13.7" x14ac:dyDescent="0.25">
      <c r="D31" s="140" t="s">
        <v>179</v>
      </c>
      <c r="E31" s="139" t="s">
        <v>127</v>
      </c>
      <c r="I31" s="139" t="s">
        <v>360</v>
      </c>
      <c r="K31" s="175"/>
    </row>
    <row r="32" spans="2:22" ht="13.7" x14ac:dyDescent="0.25">
      <c r="D32" s="140" t="s">
        <v>180</v>
      </c>
      <c r="E32" s="139" t="s">
        <v>128</v>
      </c>
      <c r="I32" s="139" t="s">
        <v>360</v>
      </c>
      <c r="K32" s="179"/>
    </row>
    <row r="33" spans="4:11" x14ac:dyDescent="0.25">
      <c r="D33" s="140" t="s">
        <v>181</v>
      </c>
      <c r="E33" s="139" t="s">
        <v>129</v>
      </c>
      <c r="I33" s="139" t="s">
        <v>182</v>
      </c>
      <c r="K33" s="179"/>
    </row>
    <row r="34" spans="4:11" x14ac:dyDescent="0.25">
      <c r="D34" s="140" t="s">
        <v>183</v>
      </c>
      <c r="E34" s="139" t="s">
        <v>130</v>
      </c>
    </row>
    <row r="35" spans="4:11" x14ac:dyDescent="0.25">
      <c r="D35" s="140" t="s">
        <v>184</v>
      </c>
      <c r="E35" s="139" t="s">
        <v>131</v>
      </c>
    </row>
    <row r="36" spans="4:11" x14ac:dyDescent="0.25">
      <c r="D36" s="140" t="s">
        <v>185</v>
      </c>
      <c r="E36" s="139" t="s">
        <v>132</v>
      </c>
    </row>
    <row r="37" spans="4:11" x14ac:dyDescent="0.25">
      <c r="D37" s="140" t="s">
        <v>186</v>
      </c>
      <c r="E37" s="139" t="s">
        <v>144</v>
      </c>
      <c r="I37" s="139" t="s">
        <v>187</v>
      </c>
    </row>
    <row r="38" spans="4:11" x14ac:dyDescent="0.25">
      <c r="D38" s="140" t="s">
        <v>188</v>
      </c>
      <c r="E38" s="139" t="s">
        <v>166</v>
      </c>
      <c r="I38" s="139" t="s">
        <v>187</v>
      </c>
    </row>
  </sheetData>
  <mergeCells count="6">
    <mergeCell ref="N28:O28"/>
    <mergeCell ref="P28:Q28"/>
    <mergeCell ref="N23:V23"/>
    <mergeCell ref="N24:O24"/>
    <mergeCell ref="P24:Q24"/>
    <mergeCell ref="N27:V27"/>
  </mergeCells>
  <phoneticPr fontId="3"/>
  <pageMargins left="0.78740157480314965" right="0.53" top="0.98425196850393704" bottom="0.98425196850393704" header="0.51181102362204722" footer="0.51181102362204722"/>
  <pageSetup paperSize="9" orientation="landscape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P28"/>
  <sheetViews>
    <sheetView tabSelected="1" topLeftCell="A25" workbookViewId="0">
      <selection activeCell="C27" sqref="C27"/>
    </sheetView>
  </sheetViews>
  <sheetFormatPr defaultColWidth="9.1328125" defaultRowHeight="10.7" x14ac:dyDescent="0.25"/>
  <cols>
    <col min="1" max="1" width="2.6640625" style="4" customWidth="1"/>
    <col min="2" max="10" width="9.6640625" style="4" customWidth="1"/>
    <col min="11" max="16384" width="9.1328125" style="4"/>
  </cols>
  <sheetData>
    <row r="2" spans="2:16" x14ac:dyDescent="0.25">
      <c r="B2" s="4" t="s">
        <v>29</v>
      </c>
    </row>
    <row r="6" spans="2:16" x14ac:dyDescent="0.25">
      <c r="B6" s="4" t="s">
        <v>381</v>
      </c>
    </row>
    <row r="7" spans="2:16" x14ac:dyDescent="0.25">
      <c r="B7" s="4" t="s">
        <v>376</v>
      </c>
      <c r="C7" s="4" t="s">
        <v>377</v>
      </c>
      <c r="D7" s="4" t="s">
        <v>378</v>
      </c>
      <c r="E7" s="4" t="s">
        <v>379</v>
      </c>
      <c r="F7" s="4" t="s">
        <v>380</v>
      </c>
    </row>
    <row r="8" spans="2:16" x14ac:dyDescent="0.25">
      <c r="B8" s="4">
        <v>1</v>
      </c>
      <c r="C8" s="4">
        <v>6</v>
      </c>
      <c r="D8" s="4">
        <v>1.5</v>
      </c>
      <c r="E8" s="4">
        <f>C8*B8*D8/2</f>
        <v>4.5</v>
      </c>
      <c r="F8" s="4">
        <f>1/8*B8*C8*D8^2</f>
        <v>1.6875</v>
      </c>
    </row>
    <row r="11" spans="2:16" x14ac:dyDescent="0.25">
      <c r="B11" s="2" t="s">
        <v>23</v>
      </c>
      <c r="C11" s="188"/>
      <c r="D11" s="180" t="s">
        <v>386</v>
      </c>
      <c r="E11" s="2" t="s">
        <v>15</v>
      </c>
      <c r="F11" s="2" t="s">
        <v>16</v>
      </c>
      <c r="G11" s="2" t="s">
        <v>17</v>
      </c>
      <c r="H11" s="2" t="s">
        <v>18</v>
      </c>
      <c r="I11" s="2" t="s">
        <v>19</v>
      </c>
      <c r="J11" s="2" t="s">
        <v>20</v>
      </c>
      <c r="N11" s="5"/>
      <c r="P11" s="5"/>
    </row>
    <row r="12" spans="2:16" ht="12.35" x14ac:dyDescent="0.25">
      <c r="B12" s="6" t="s">
        <v>21</v>
      </c>
      <c r="C12" s="138" t="s">
        <v>12</v>
      </c>
      <c r="D12" s="6" t="s">
        <v>13</v>
      </c>
      <c r="E12" s="6" t="s">
        <v>14</v>
      </c>
      <c r="F12" s="6" t="s">
        <v>14</v>
      </c>
      <c r="G12" s="6" t="s">
        <v>14</v>
      </c>
      <c r="H12" s="6" t="s">
        <v>14</v>
      </c>
      <c r="I12" s="6" t="s">
        <v>21</v>
      </c>
      <c r="J12" s="6" t="s">
        <v>22</v>
      </c>
      <c r="N12" s="5"/>
      <c r="P12" s="5"/>
    </row>
    <row r="13" spans="2:16" x14ac:dyDescent="0.25">
      <c r="B13" s="1">
        <v>7</v>
      </c>
      <c r="C13" s="1" t="s">
        <v>350</v>
      </c>
      <c r="D13" s="7" t="e">
        <f ca="1">[1]!Bar(C13,11)*100</f>
        <v>#NAME?</v>
      </c>
      <c r="E13" s="7">
        <v>40</v>
      </c>
      <c r="F13" s="1">
        <v>80</v>
      </c>
      <c r="G13" s="7">
        <f>F13-E13</f>
        <v>40</v>
      </c>
      <c r="H13" s="7">
        <f>G13*7/8</f>
        <v>35</v>
      </c>
      <c r="I13" s="1">
        <v>200</v>
      </c>
      <c r="J13" s="187" t="e">
        <f ca="1">D13*I13*H13/1000/1000</f>
        <v>#NAME?</v>
      </c>
      <c r="N13" s="5"/>
      <c r="P13" s="5"/>
    </row>
    <row r="14" spans="2:16" x14ac:dyDescent="0.25">
      <c r="N14" s="5"/>
      <c r="P14" s="5"/>
    </row>
    <row r="15" spans="2:16" x14ac:dyDescent="0.25">
      <c r="B15" s="12" t="s">
        <v>33</v>
      </c>
      <c r="C15" s="4" t="s">
        <v>34</v>
      </c>
      <c r="H15" s="4" t="s">
        <v>35</v>
      </c>
      <c r="N15" s="5"/>
      <c r="P15" s="5"/>
    </row>
    <row r="16" spans="2:16" x14ac:dyDescent="0.25">
      <c r="B16" s="12" t="s">
        <v>36</v>
      </c>
      <c r="C16" s="4" t="s">
        <v>37</v>
      </c>
      <c r="N16" s="5"/>
      <c r="P16" s="5"/>
    </row>
    <row r="17" spans="2:16" x14ac:dyDescent="0.25">
      <c r="B17" s="12" t="s">
        <v>9</v>
      </c>
      <c r="C17" s="4" t="s">
        <v>38</v>
      </c>
      <c r="H17" s="4" t="s">
        <v>39</v>
      </c>
      <c r="N17" s="5"/>
      <c r="P17" s="5"/>
    </row>
    <row r="18" spans="2:16" x14ac:dyDescent="0.25">
      <c r="B18" s="12" t="s">
        <v>40</v>
      </c>
      <c r="C18" s="4" t="s">
        <v>41</v>
      </c>
      <c r="N18" s="5"/>
      <c r="P18" s="5"/>
    </row>
    <row r="19" spans="2:16" x14ac:dyDescent="0.25">
      <c r="N19" s="5"/>
      <c r="P19" s="5"/>
    </row>
    <row r="20" spans="2:16" x14ac:dyDescent="0.25">
      <c r="B20" s="4" t="s">
        <v>382</v>
      </c>
      <c r="N20" s="5"/>
      <c r="P20" s="5"/>
    </row>
    <row r="21" spans="2:16" x14ac:dyDescent="0.25">
      <c r="B21" s="4" t="s">
        <v>383</v>
      </c>
      <c r="C21" s="4" t="s">
        <v>384</v>
      </c>
      <c r="D21" s="4" t="s">
        <v>385</v>
      </c>
      <c r="E21" s="4" t="s">
        <v>378</v>
      </c>
      <c r="G21" s="4" t="s">
        <v>379</v>
      </c>
      <c r="H21" s="4" t="s">
        <v>380</v>
      </c>
      <c r="I21" s="15"/>
      <c r="N21" s="5"/>
      <c r="P21" s="5"/>
    </row>
    <row r="22" spans="2:16" x14ac:dyDescent="0.25">
      <c r="B22" s="4">
        <v>4.5</v>
      </c>
      <c r="C22" s="4">
        <v>0.5</v>
      </c>
      <c r="D22" s="4">
        <v>1.5</v>
      </c>
      <c r="E22" s="4">
        <v>2</v>
      </c>
      <c r="F22" s="4">
        <f>B22*D22/E22</f>
        <v>3.375</v>
      </c>
      <c r="G22" s="4">
        <f>B22*C22/E22</f>
        <v>1.125</v>
      </c>
      <c r="H22" s="4">
        <f>B22*C22*D22/E22</f>
        <v>1.6875</v>
      </c>
      <c r="I22" s="15"/>
      <c r="N22" s="5"/>
      <c r="P22" s="5"/>
    </row>
    <row r="23" spans="2:16" x14ac:dyDescent="0.25">
      <c r="E23" s="5"/>
      <c r="F23" s="14"/>
      <c r="G23" s="4">
        <f>F22+G22</f>
        <v>4.5</v>
      </c>
      <c r="H23" s="15"/>
      <c r="I23" s="15"/>
      <c r="N23" s="5"/>
      <c r="P23" s="5"/>
    </row>
    <row r="24" spans="2:16" x14ac:dyDescent="0.25">
      <c r="B24" s="180" t="s">
        <v>23</v>
      </c>
      <c r="C24" s="188"/>
      <c r="D24" s="180" t="s">
        <v>386</v>
      </c>
      <c r="E24" s="180" t="s">
        <v>15</v>
      </c>
      <c r="F24" s="180" t="s">
        <v>16</v>
      </c>
      <c r="G24" s="180" t="s">
        <v>17</v>
      </c>
      <c r="H24" s="180" t="s">
        <v>18</v>
      </c>
      <c r="I24" s="180" t="s">
        <v>19</v>
      </c>
      <c r="J24" s="180" t="s">
        <v>20</v>
      </c>
      <c r="N24" s="5"/>
      <c r="P24" s="5"/>
    </row>
    <row r="25" spans="2:16" ht="12.35" x14ac:dyDescent="0.25">
      <c r="B25" s="6" t="s">
        <v>21</v>
      </c>
      <c r="C25" s="138" t="s">
        <v>12</v>
      </c>
      <c r="D25" s="6" t="s">
        <v>13</v>
      </c>
      <c r="E25" s="6" t="s">
        <v>14</v>
      </c>
      <c r="F25" s="6" t="s">
        <v>14</v>
      </c>
      <c r="G25" s="6" t="s">
        <v>14</v>
      </c>
      <c r="H25" s="6" t="s">
        <v>14</v>
      </c>
      <c r="I25" s="6" t="s">
        <v>21</v>
      </c>
      <c r="J25" s="6" t="s">
        <v>22</v>
      </c>
      <c r="N25" s="5"/>
      <c r="P25" s="5"/>
    </row>
    <row r="26" spans="2:16" x14ac:dyDescent="0.25">
      <c r="B26" s="181">
        <v>7</v>
      </c>
      <c r="C26" s="181" t="s">
        <v>333</v>
      </c>
      <c r="D26" s="7" t="e">
        <f ca="1">[1]!Bar(C26,11)*100</f>
        <v>#NAME?</v>
      </c>
      <c r="E26" s="7">
        <v>40</v>
      </c>
      <c r="F26" s="181">
        <v>80</v>
      </c>
      <c r="G26" s="7">
        <f>F26-E26</f>
        <v>40</v>
      </c>
      <c r="H26" s="7">
        <f>G26*7/8</f>
        <v>35</v>
      </c>
      <c r="I26" s="181">
        <v>200</v>
      </c>
      <c r="J26" s="187" t="e">
        <f ca="1">D26*I26*H26/1000/1000</f>
        <v>#NAME?</v>
      </c>
    </row>
    <row r="28" spans="2:16" x14ac:dyDescent="0.25">
      <c r="N28" s="5"/>
      <c r="P28" s="5"/>
    </row>
  </sheetData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2"/>
  <sheetViews>
    <sheetView topLeftCell="A61" workbookViewId="0">
      <selection activeCell="C65" sqref="C65"/>
    </sheetView>
  </sheetViews>
  <sheetFormatPr defaultColWidth="9.1328125" defaultRowHeight="10.7" x14ac:dyDescent="0.25"/>
  <cols>
    <col min="1" max="1" width="2.6640625" style="4" customWidth="1"/>
    <col min="2" max="10" width="9.6640625" style="4" customWidth="1"/>
    <col min="11" max="16384" width="9.1328125" style="4"/>
  </cols>
  <sheetData>
    <row r="2" spans="2:16" x14ac:dyDescent="0.25">
      <c r="B2" s="4" t="s">
        <v>29</v>
      </c>
    </row>
    <row r="4" spans="2:16" x14ac:dyDescent="0.25">
      <c r="B4" s="230" t="s">
        <v>2</v>
      </c>
      <c r="C4" s="230"/>
      <c r="D4" s="230" t="s">
        <v>3</v>
      </c>
      <c r="E4" s="230"/>
      <c r="F4" s="3" t="s">
        <v>42</v>
      </c>
      <c r="G4" s="3" t="s">
        <v>43</v>
      </c>
      <c r="H4" s="3" t="s">
        <v>30</v>
      </c>
      <c r="I4" s="3" t="s">
        <v>31</v>
      </c>
      <c r="J4" s="3" t="s">
        <v>32</v>
      </c>
      <c r="N4" s="5"/>
      <c r="P4" s="5"/>
    </row>
    <row r="5" spans="2:16" ht="12" customHeight="1" x14ac:dyDescent="0.25">
      <c r="B5" s="1" t="s">
        <v>44</v>
      </c>
      <c r="C5" s="1" t="s">
        <v>45</v>
      </c>
      <c r="D5" s="1" t="s">
        <v>44</v>
      </c>
      <c r="E5" s="1" t="s">
        <v>46</v>
      </c>
      <c r="F5" s="18" t="s">
        <v>47</v>
      </c>
      <c r="G5" s="18" t="s">
        <v>48</v>
      </c>
      <c r="H5" s="18" t="s">
        <v>48</v>
      </c>
      <c r="I5" s="18" t="s">
        <v>48</v>
      </c>
      <c r="J5" s="18" t="s">
        <v>48</v>
      </c>
      <c r="N5" s="5"/>
      <c r="P5" s="5"/>
    </row>
    <row r="6" spans="2:16" ht="11.7" x14ac:dyDescent="0.25">
      <c r="B6" s="1" t="s">
        <v>97</v>
      </c>
      <c r="C6" s="7" t="e">
        <f ca="1">[1]!Bar(B6,11)*100</f>
        <v>#NAME?</v>
      </c>
      <c r="D6" s="1" t="s">
        <v>249</v>
      </c>
      <c r="E6" s="19" t="e">
        <f ca="1">[1]!Bar(D6,11)*100</f>
        <v>#NAME?</v>
      </c>
      <c r="F6" s="7" t="e">
        <f ca="1">+C6+E6</f>
        <v>#NAME?</v>
      </c>
      <c r="G6" s="1">
        <v>50</v>
      </c>
      <c r="H6" s="1">
        <v>13</v>
      </c>
      <c r="I6" s="7" t="e">
        <f ca="1">[1]!Bar(B6,1)*10/2</f>
        <v>#NAME?</v>
      </c>
      <c r="J6" s="7" t="e">
        <f ca="1">IF(E6=0,0,MAX(25,[1]!Bar(B6,1)*10*1.5))</f>
        <v>#NAME?</v>
      </c>
      <c r="N6" s="5"/>
      <c r="P6" s="5"/>
    </row>
    <row r="7" spans="2:16" x14ac:dyDescent="0.25">
      <c r="B7" s="2" t="s">
        <v>49</v>
      </c>
      <c r="C7" s="2" t="s">
        <v>50</v>
      </c>
      <c r="D7" s="2" t="s">
        <v>87</v>
      </c>
      <c r="E7" s="2" t="s">
        <v>51</v>
      </c>
      <c r="F7" s="2" t="s">
        <v>52</v>
      </c>
      <c r="G7" s="2" t="s">
        <v>53</v>
      </c>
      <c r="H7" s="2" t="s">
        <v>54</v>
      </c>
      <c r="I7" s="8"/>
      <c r="J7" s="8"/>
      <c r="N7" s="5"/>
      <c r="P7" s="5"/>
    </row>
    <row r="8" spans="2:16" ht="12.35" x14ac:dyDescent="0.25">
      <c r="B8" s="6" t="s">
        <v>55</v>
      </c>
      <c r="C8" s="6" t="s">
        <v>48</v>
      </c>
      <c r="D8" s="6" t="s">
        <v>48</v>
      </c>
      <c r="E8" s="6" t="s">
        <v>48</v>
      </c>
      <c r="F8" s="6" t="s">
        <v>48</v>
      </c>
      <c r="G8" s="6" t="s">
        <v>55</v>
      </c>
      <c r="H8" s="6" t="s">
        <v>56</v>
      </c>
      <c r="I8" s="9"/>
      <c r="J8" s="9"/>
      <c r="N8" s="5"/>
      <c r="P8" s="5"/>
    </row>
    <row r="9" spans="2:16" x14ac:dyDescent="0.25">
      <c r="B9" s="1">
        <v>7</v>
      </c>
      <c r="C9" s="7" t="e">
        <f ca="1">SUM(G6:J6)</f>
        <v>#NAME?</v>
      </c>
      <c r="D9" s="1">
        <v>600</v>
      </c>
      <c r="E9" s="7" t="e">
        <f ca="1">D9-C9</f>
        <v>#NAME?</v>
      </c>
      <c r="F9" s="7" t="e">
        <f ca="1">E9*7/8</f>
        <v>#NAME?</v>
      </c>
      <c r="G9" s="1">
        <v>220</v>
      </c>
      <c r="H9" s="7" t="e">
        <f ca="1">F6*G9*F9/1000/1000</f>
        <v>#NAME?</v>
      </c>
      <c r="I9" s="10"/>
      <c r="J9" s="10"/>
      <c r="N9" s="5"/>
      <c r="P9" s="5"/>
    </row>
    <row r="10" spans="2:16" x14ac:dyDescent="0.25">
      <c r="N10" s="5"/>
      <c r="P10" s="5"/>
    </row>
    <row r="11" spans="2:16" x14ac:dyDescent="0.25">
      <c r="B11" s="12" t="s">
        <v>57</v>
      </c>
      <c r="C11" s="4" t="s">
        <v>34</v>
      </c>
      <c r="H11" s="4" t="s">
        <v>58</v>
      </c>
      <c r="N11" s="5"/>
      <c r="P11" s="5"/>
    </row>
    <row r="12" spans="2:16" x14ac:dyDescent="0.25">
      <c r="B12" s="12" t="s">
        <v>59</v>
      </c>
      <c r="C12" s="4" t="s">
        <v>37</v>
      </c>
      <c r="N12" s="5"/>
      <c r="P12" s="5"/>
    </row>
    <row r="13" spans="2:16" x14ac:dyDescent="0.25">
      <c r="B13" s="12" t="s">
        <v>60</v>
      </c>
      <c r="C13" s="4" t="s">
        <v>38</v>
      </c>
      <c r="H13" s="4" t="s">
        <v>61</v>
      </c>
      <c r="N13" s="5"/>
      <c r="P13" s="5"/>
    </row>
    <row r="14" spans="2:16" x14ac:dyDescent="0.25">
      <c r="B14" s="12" t="s">
        <v>62</v>
      </c>
      <c r="C14" s="4" t="s">
        <v>63</v>
      </c>
      <c r="N14" s="5"/>
      <c r="P14" s="5"/>
    </row>
    <row r="15" spans="2:16" x14ac:dyDescent="0.25">
      <c r="N15" s="5"/>
      <c r="P15" s="5"/>
    </row>
    <row r="16" spans="2:16" x14ac:dyDescent="0.25">
      <c r="B16" s="4" t="s">
        <v>5</v>
      </c>
      <c r="N16" s="5"/>
      <c r="P16" s="5"/>
    </row>
    <row r="17" spans="2:16" x14ac:dyDescent="0.25">
      <c r="N17" s="5"/>
      <c r="P17" s="5"/>
    </row>
    <row r="18" spans="2:16" x14ac:dyDescent="0.25">
      <c r="B18" s="2" t="s">
        <v>64</v>
      </c>
      <c r="C18" s="2" t="s">
        <v>65</v>
      </c>
      <c r="D18" s="2" t="s">
        <v>66</v>
      </c>
      <c r="E18" s="2" t="s">
        <v>67</v>
      </c>
      <c r="F18" s="2" t="s">
        <v>68</v>
      </c>
      <c r="G18" s="201" t="s">
        <v>69</v>
      </c>
      <c r="H18" s="236" t="s">
        <v>70</v>
      </c>
      <c r="I18" s="2" t="s">
        <v>71</v>
      </c>
      <c r="J18" s="2" t="s">
        <v>72</v>
      </c>
      <c r="N18" s="5"/>
      <c r="P18" s="5"/>
    </row>
    <row r="19" spans="2:16" ht="12.35" x14ac:dyDescent="0.25">
      <c r="B19" s="6" t="s">
        <v>73</v>
      </c>
      <c r="C19" s="6" t="s">
        <v>73</v>
      </c>
      <c r="D19" s="6" t="s">
        <v>73</v>
      </c>
      <c r="E19" s="6" t="s">
        <v>74</v>
      </c>
      <c r="F19" s="6" t="s">
        <v>75</v>
      </c>
      <c r="G19" s="202"/>
      <c r="H19" s="202"/>
      <c r="I19" s="6" t="s">
        <v>75</v>
      </c>
      <c r="J19" s="6" t="s">
        <v>75</v>
      </c>
      <c r="N19" s="5"/>
      <c r="P19" s="5"/>
    </row>
    <row r="20" spans="2:16" x14ac:dyDescent="0.25">
      <c r="B20" s="1">
        <v>1800</v>
      </c>
      <c r="C20" s="7" t="e">
        <f ca="1">E9</f>
        <v>#NAME?</v>
      </c>
      <c r="D20" s="1">
        <v>250</v>
      </c>
      <c r="E20" s="7" t="e">
        <f ca="1">F6</f>
        <v>#NAME?</v>
      </c>
      <c r="F20" s="11" t="e">
        <f ca="1">E20/B20/C20*100</f>
        <v>#NAME?</v>
      </c>
      <c r="G20" s="1">
        <v>15</v>
      </c>
      <c r="H20" s="11" t="e">
        <f ca="1">D20/C20</f>
        <v>#NAME?</v>
      </c>
      <c r="I20" s="11" t="e">
        <f ca="1">H20^2/(2*G20*(1-H20))*100</f>
        <v>#NAME?</v>
      </c>
      <c r="J20" s="11" t="e">
        <f ca="1">0.5*(H20*(2-H20)*B9/G9-H20^2/G20)*100</f>
        <v>#NAME?</v>
      </c>
      <c r="N20" s="5"/>
      <c r="P20" s="5"/>
    </row>
    <row r="21" spans="2:16" x14ac:dyDescent="0.25">
      <c r="N21" s="5"/>
      <c r="P21" s="5"/>
    </row>
    <row r="22" spans="2:16" x14ac:dyDescent="0.25">
      <c r="C22" s="12" t="s">
        <v>68</v>
      </c>
      <c r="D22" s="16" t="e">
        <f ca="1">IF(F20&lt;I20,"&lt;","-")</f>
        <v>#NAME?</v>
      </c>
      <c r="E22" s="17" t="s">
        <v>76</v>
      </c>
      <c r="F22" s="4" t="s">
        <v>27</v>
      </c>
      <c r="N22" s="5"/>
      <c r="P22" s="5"/>
    </row>
    <row r="23" spans="2:16" x14ac:dyDescent="0.25">
      <c r="C23" s="12" t="s">
        <v>77</v>
      </c>
      <c r="D23" s="16" t="e">
        <f ca="1">IF(F20&lt;I20,"&lt;","-")</f>
        <v>#NAME?</v>
      </c>
      <c r="E23" s="17" t="s">
        <v>28</v>
      </c>
      <c r="F23" s="4" t="s">
        <v>27</v>
      </c>
      <c r="N23" s="5"/>
      <c r="P23" s="5"/>
    </row>
    <row r="24" spans="2:16" x14ac:dyDescent="0.25">
      <c r="N24" s="5"/>
      <c r="P24" s="5"/>
    </row>
    <row r="25" spans="2:16" x14ac:dyDescent="0.25">
      <c r="B25" s="12" t="s">
        <v>78</v>
      </c>
      <c r="C25" s="4" t="s">
        <v>6</v>
      </c>
      <c r="N25" s="5"/>
      <c r="P25" s="5"/>
    </row>
    <row r="26" spans="2:16" x14ac:dyDescent="0.25">
      <c r="B26" s="12" t="s">
        <v>9</v>
      </c>
      <c r="C26" s="4" t="s">
        <v>10</v>
      </c>
      <c r="N26" s="5"/>
      <c r="P26" s="5"/>
    </row>
    <row r="27" spans="2:16" x14ac:dyDescent="0.25">
      <c r="B27" s="12" t="s">
        <v>79</v>
      </c>
      <c r="C27" s="4" t="s">
        <v>7</v>
      </c>
      <c r="N27" s="5"/>
      <c r="P27" s="5"/>
    </row>
    <row r="28" spans="2:16" x14ac:dyDescent="0.25">
      <c r="B28" s="12" t="s">
        <v>80</v>
      </c>
      <c r="C28" s="4" t="s">
        <v>8</v>
      </c>
      <c r="N28" s="5"/>
      <c r="P28" s="5"/>
    </row>
    <row r="29" spans="2:16" x14ac:dyDescent="0.25">
      <c r="B29" s="12" t="s">
        <v>81</v>
      </c>
      <c r="C29" s="4" t="s">
        <v>11</v>
      </c>
      <c r="E29" s="13" t="s">
        <v>82</v>
      </c>
      <c r="N29" s="5"/>
      <c r="P29" s="5"/>
    </row>
    <row r="30" spans="2:16" x14ac:dyDescent="0.25">
      <c r="B30" s="12" t="s">
        <v>83</v>
      </c>
      <c r="C30" s="4" t="s">
        <v>25</v>
      </c>
      <c r="H30" s="4" t="s">
        <v>84</v>
      </c>
      <c r="N30" s="5"/>
      <c r="P30" s="5"/>
    </row>
    <row r="31" spans="2:16" x14ac:dyDescent="0.25">
      <c r="B31" s="12" t="s">
        <v>85</v>
      </c>
      <c r="C31" s="4" t="s">
        <v>24</v>
      </c>
      <c r="H31" s="4" t="s">
        <v>86</v>
      </c>
      <c r="N31" s="5"/>
      <c r="P31" s="5"/>
    </row>
    <row r="32" spans="2:16" x14ac:dyDescent="0.25">
      <c r="N32" s="5"/>
      <c r="P32" s="5"/>
    </row>
    <row r="33" spans="2:16" x14ac:dyDescent="0.25">
      <c r="N33" s="5"/>
      <c r="P33" s="5"/>
    </row>
    <row r="34" spans="2:16" x14ac:dyDescent="0.25">
      <c r="N34" s="5"/>
      <c r="P34" s="5"/>
    </row>
    <row r="35" spans="2:16" x14ac:dyDescent="0.25">
      <c r="H35" s="15"/>
      <c r="I35" s="15"/>
      <c r="N35" s="5"/>
      <c r="P35" s="5"/>
    </row>
    <row r="36" spans="2:16" x14ac:dyDescent="0.25">
      <c r="H36" s="15"/>
      <c r="I36" s="15"/>
      <c r="N36" s="5"/>
      <c r="P36" s="5"/>
    </row>
    <row r="37" spans="2:16" x14ac:dyDescent="0.25">
      <c r="H37" s="15"/>
      <c r="I37" s="15"/>
      <c r="N37" s="5"/>
      <c r="P37" s="5"/>
    </row>
    <row r="38" spans="2:16" x14ac:dyDescent="0.25">
      <c r="E38" s="5"/>
      <c r="F38" s="14"/>
      <c r="H38" s="15"/>
      <c r="I38" s="15"/>
      <c r="N38" s="5"/>
      <c r="P38" s="5"/>
    </row>
    <row r="39" spans="2:16" ht="11.7" x14ac:dyDescent="0.25">
      <c r="B39" s="231" t="s">
        <v>90</v>
      </c>
      <c r="C39" s="232"/>
      <c r="D39" s="232"/>
      <c r="E39" s="232"/>
      <c r="F39" s="232"/>
      <c r="G39" s="232"/>
      <c r="H39" s="232"/>
      <c r="I39" s="232"/>
      <c r="J39" s="232"/>
      <c r="N39" s="5"/>
      <c r="P39" s="5"/>
    </row>
    <row r="40" spans="2:16" x14ac:dyDescent="0.25">
      <c r="B40" s="230" t="s">
        <v>2</v>
      </c>
      <c r="C40" s="230"/>
      <c r="D40" s="230" t="s">
        <v>3</v>
      </c>
      <c r="E40" s="230"/>
      <c r="F40" s="3" t="s">
        <v>42</v>
      </c>
      <c r="G40" s="3" t="s">
        <v>43</v>
      </c>
      <c r="H40" s="3" t="s">
        <v>30</v>
      </c>
      <c r="I40" s="3" t="s">
        <v>31</v>
      </c>
      <c r="J40" s="3" t="s">
        <v>89</v>
      </c>
    </row>
    <row r="41" spans="2:16" ht="12.35" x14ac:dyDescent="0.25">
      <c r="B41" s="1" t="s">
        <v>44</v>
      </c>
      <c r="C41" s="1" t="s">
        <v>45</v>
      </c>
      <c r="D41" s="1" t="s">
        <v>44</v>
      </c>
      <c r="E41" s="1" t="s">
        <v>46</v>
      </c>
      <c r="F41" s="18" t="s">
        <v>47</v>
      </c>
      <c r="G41" s="18" t="s">
        <v>48</v>
      </c>
      <c r="H41" s="18" t="s">
        <v>48</v>
      </c>
      <c r="I41" s="18" t="s">
        <v>48</v>
      </c>
      <c r="J41" s="18" t="s">
        <v>48</v>
      </c>
    </row>
    <row r="42" spans="2:16" ht="11.7" x14ac:dyDescent="0.25">
      <c r="B42" s="1" t="s">
        <v>100</v>
      </c>
      <c r="C42" s="7" t="e">
        <f ca="1">[1]!Bar(B42,11)*100</f>
        <v>#NAME?</v>
      </c>
      <c r="D42" s="1" t="s">
        <v>99</v>
      </c>
      <c r="E42" s="19" t="e">
        <f ca="1">[1]!Bar(D42,11)*100</f>
        <v>#NAME?</v>
      </c>
      <c r="F42" s="7" t="e">
        <f ca="1">+C42+E42</f>
        <v>#NAME?</v>
      </c>
      <c r="G42" s="1">
        <v>50</v>
      </c>
      <c r="H42" s="1">
        <v>10</v>
      </c>
      <c r="I42" s="7" t="e">
        <f ca="1">[1]!Bar(B42,1)*10/2</f>
        <v>#NAME?</v>
      </c>
      <c r="J42" s="7" t="e">
        <f ca="1">IF(E42=0,0,MAX(25,[1]!Bar(B42,1)*10*1.5))+G42+H42+I42</f>
        <v>#NAME?</v>
      </c>
      <c r="N42" s="5"/>
      <c r="P42" s="5"/>
    </row>
    <row r="43" spans="2:16" ht="11.7" x14ac:dyDescent="0.25">
      <c r="B43" s="233" t="s">
        <v>91</v>
      </c>
      <c r="C43" s="234"/>
      <c r="D43" s="234"/>
      <c r="E43" s="234"/>
      <c r="F43" s="234"/>
      <c r="G43" s="234"/>
      <c r="H43" s="234"/>
      <c r="I43" s="234"/>
      <c r="J43" s="235"/>
      <c r="N43" s="5"/>
      <c r="P43" s="5"/>
    </row>
    <row r="44" spans="2:16" x14ac:dyDescent="0.25">
      <c r="B44" s="230" t="s">
        <v>2</v>
      </c>
      <c r="C44" s="230"/>
      <c r="D44" s="230" t="s">
        <v>3</v>
      </c>
      <c r="E44" s="230"/>
      <c r="F44" s="3" t="s">
        <v>42</v>
      </c>
      <c r="G44" s="3" t="s">
        <v>43</v>
      </c>
      <c r="H44" s="3" t="s">
        <v>30</v>
      </c>
      <c r="I44" s="3" t="s">
        <v>31</v>
      </c>
      <c r="J44" s="3" t="s">
        <v>92</v>
      </c>
    </row>
    <row r="45" spans="2:16" ht="12.35" x14ac:dyDescent="0.25">
      <c r="B45" s="1" t="s">
        <v>44</v>
      </c>
      <c r="C45" s="1" t="s">
        <v>45</v>
      </c>
      <c r="D45" s="1" t="s">
        <v>44</v>
      </c>
      <c r="E45" s="1" t="s">
        <v>46</v>
      </c>
      <c r="F45" s="18" t="s">
        <v>47</v>
      </c>
      <c r="G45" s="18" t="s">
        <v>48</v>
      </c>
      <c r="H45" s="18" t="s">
        <v>48</v>
      </c>
      <c r="I45" s="18" t="s">
        <v>48</v>
      </c>
      <c r="J45" s="18" t="s">
        <v>48</v>
      </c>
    </row>
    <row r="46" spans="2:16" ht="11.7" x14ac:dyDescent="0.25">
      <c r="B46" s="1" t="s">
        <v>100</v>
      </c>
      <c r="C46" s="7" t="e">
        <f ca="1">[1]!Bar(B46,11)*100</f>
        <v>#NAME?</v>
      </c>
      <c r="D46" s="1" t="s">
        <v>99</v>
      </c>
      <c r="E46" s="19" t="e">
        <f ca="1">[1]!Bar(D46,11)*100</f>
        <v>#NAME?</v>
      </c>
      <c r="F46" s="7" t="e">
        <f ca="1">+C46+E46</f>
        <v>#NAME?</v>
      </c>
      <c r="G46" s="1">
        <v>56</v>
      </c>
      <c r="H46" s="1">
        <v>10</v>
      </c>
      <c r="I46" s="7" t="e">
        <f ca="1">[1]!Bar(B46,1)*10/2</f>
        <v>#NAME?</v>
      </c>
      <c r="J46" s="7" t="e">
        <f ca="1">IF(E46=0,0,MAX(25,[1]!Bar(B46,1)*10*1.5))+G46+H46+I46</f>
        <v>#NAME?</v>
      </c>
    </row>
    <row r="49" spans="2:10" x14ac:dyDescent="0.25">
      <c r="B49" s="2" t="s">
        <v>53</v>
      </c>
      <c r="C49" s="2" t="s">
        <v>49</v>
      </c>
      <c r="D49" s="201" t="s">
        <v>69</v>
      </c>
      <c r="E49" s="5" t="s">
        <v>88</v>
      </c>
      <c r="F49" s="2" t="s">
        <v>87</v>
      </c>
      <c r="G49" s="2" t="s">
        <v>51</v>
      </c>
      <c r="H49" s="3" t="s">
        <v>93</v>
      </c>
      <c r="I49" s="2" t="s">
        <v>94</v>
      </c>
      <c r="J49" s="4" t="s">
        <v>95</v>
      </c>
    </row>
    <row r="50" spans="2:10" ht="12.35" x14ac:dyDescent="0.25">
      <c r="B50" s="6" t="s">
        <v>55</v>
      </c>
      <c r="C50" s="6" t="s">
        <v>55</v>
      </c>
      <c r="D50" s="202"/>
      <c r="E50" s="5"/>
      <c r="F50" s="6" t="s">
        <v>48</v>
      </c>
      <c r="G50" s="6" t="s">
        <v>48</v>
      </c>
      <c r="H50" s="18" t="s">
        <v>48</v>
      </c>
      <c r="I50" s="6"/>
    </row>
    <row r="51" spans="2:10" x14ac:dyDescent="0.25">
      <c r="B51" s="1">
        <v>345</v>
      </c>
      <c r="C51" s="1">
        <v>14</v>
      </c>
      <c r="D51" s="1">
        <v>15</v>
      </c>
      <c r="E51" s="15">
        <f>+B51/(C51*D51)</f>
        <v>1.6428571428571428</v>
      </c>
      <c r="F51" s="1">
        <v>550</v>
      </c>
      <c r="G51" s="7" t="e">
        <f ca="1">F51-J46</f>
        <v>#NAME?</v>
      </c>
      <c r="H51" s="7" t="e">
        <f ca="1">+J42</f>
        <v>#NAME?</v>
      </c>
      <c r="I51" s="11" t="e">
        <f ca="1">+H51/G51</f>
        <v>#NAME?</v>
      </c>
      <c r="J51" s="4" t="e">
        <f ca="1">F42/F46</f>
        <v>#NAME?</v>
      </c>
    </row>
    <row r="54" spans="2:10" x14ac:dyDescent="0.25">
      <c r="F54" s="4" t="s">
        <v>96</v>
      </c>
    </row>
    <row r="55" spans="2:10" x14ac:dyDescent="0.25">
      <c r="B55" s="4">
        <f>2*(1+E51)</f>
        <v>5.2857142857142856</v>
      </c>
      <c r="C55" s="4" t="e">
        <f ca="1">E51*(D51+(D51-1)*J51*I51)</f>
        <v>#NAME?</v>
      </c>
      <c r="D55" s="4" t="e">
        <f ca="1">(D51-1)*J51*(1-I51)</f>
        <v>#NAME?</v>
      </c>
      <c r="F55" s="15" t="e">
        <f ca="1">1/(B55*(C55-D55))*100</f>
        <v>#NAME?</v>
      </c>
    </row>
    <row r="57" spans="2:10" x14ac:dyDescent="0.25">
      <c r="B57" s="2" t="s">
        <v>64</v>
      </c>
      <c r="C57" s="2" t="s">
        <v>65</v>
      </c>
      <c r="D57" s="2" t="s">
        <v>67</v>
      </c>
      <c r="E57" s="2" t="s">
        <v>68</v>
      </c>
      <c r="G57" s="2" t="s">
        <v>52</v>
      </c>
      <c r="H57" s="2" t="s">
        <v>53</v>
      </c>
      <c r="I57" s="2" t="s">
        <v>54</v>
      </c>
    </row>
    <row r="58" spans="2:10" ht="12.35" x14ac:dyDescent="0.25">
      <c r="B58" s="6" t="s">
        <v>73</v>
      </c>
      <c r="C58" s="6" t="s">
        <v>73</v>
      </c>
      <c r="D58" s="6" t="s">
        <v>74</v>
      </c>
      <c r="E58" s="6" t="s">
        <v>75</v>
      </c>
      <c r="G58" s="6" t="s">
        <v>48</v>
      </c>
      <c r="H58" s="6" t="s">
        <v>55</v>
      </c>
      <c r="I58" s="6" t="s">
        <v>56</v>
      </c>
    </row>
    <row r="59" spans="2:10" x14ac:dyDescent="0.25">
      <c r="B59" s="1">
        <v>450</v>
      </c>
      <c r="C59" s="7" t="e">
        <f ca="1">+G51</f>
        <v>#NAME?</v>
      </c>
      <c r="D59" s="7" t="e">
        <f ca="1">+F46</f>
        <v>#NAME?</v>
      </c>
      <c r="E59" s="11" t="e">
        <f ca="1">D59/(B59*C59)*100</f>
        <v>#NAME?</v>
      </c>
      <c r="G59" s="7" t="e">
        <f ca="1">0.875*C59</f>
        <v>#NAME?</v>
      </c>
      <c r="H59" s="1">
        <v>345</v>
      </c>
      <c r="I59" s="7" t="e">
        <f ca="1">D59*H59*G59/1000/1000</f>
        <v>#NAME?</v>
      </c>
    </row>
    <row r="62" spans="2:10" ht="11.7" x14ac:dyDescent="0.25">
      <c r="B62" s="233" t="s">
        <v>91</v>
      </c>
      <c r="C62" s="234"/>
      <c r="D62" s="234"/>
      <c r="E62" s="234"/>
      <c r="F62" s="234"/>
      <c r="G62" s="234"/>
      <c r="H62" s="234"/>
      <c r="I62" s="234"/>
      <c r="J62" s="235"/>
    </row>
    <row r="63" spans="2:10" x14ac:dyDescent="0.25">
      <c r="B63" s="230" t="s">
        <v>2</v>
      </c>
      <c r="C63" s="230"/>
      <c r="D63" s="230" t="s">
        <v>3</v>
      </c>
      <c r="E63" s="230"/>
      <c r="F63" s="3" t="s">
        <v>42</v>
      </c>
      <c r="G63" s="3" t="s">
        <v>43</v>
      </c>
      <c r="H63" s="3" t="s">
        <v>30</v>
      </c>
      <c r="I63" s="3" t="s">
        <v>31</v>
      </c>
      <c r="J63" s="3" t="s">
        <v>92</v>
      </c>
    </row>
    <row r="64" spans="2:10" ht="12.35" x14ac:dyDescent="0.25">
      <c r="B64" s="1" t="s">
        <v>44</v>
      </c>
      <c r="C64" s="1" t="s">
        <v>45</v>
      </c>
      <c r="D64" s="1" t="s">
        <v>44</v>
      </c>
      <c r="E64" s="1" t="s">
        <v>46</v>
      </c>
      <c r="F64" s="18" t="s">
        <v>47</v>
      </c>
      <c r="G64" s="18" t="s">
        <v>48</v>
      </c>
      <c r="H64" s="18" t="s">
        <v>48</v>
      </c>
      <c r="I64" s="18" t="s">
        <v>48</v>
      </c>
      <c r="J64" s="18" t="s">
        <v>48</v>
      </c>
    </row>
    <row r="65" spans="2:13" ht="11.7" x14ac:dyDescent="0.25">
      <c r="B65" s="1" t="s">
        <v>97</v>
      </c>
      <c r="C65" s="7" t="e">
        <f ca="1">[1]!Bar(B65,11)*100</f>
        <v>#NAME?</v>
      </c>
      <c r="D65" s="1" t="s">
        <v>1</v>
      </c>
      <c r="E65" s="19" t="e">
        <f ca="1">[1]!Bar(D65,11)*100</f>
        <v>#NAME?</v>
      </c>
      <c r="F65" s="7" t="e">
        <f ca="1">+C65+E65</f>
        <v>#NAME?</v>
      </c>
      <c r="G65" s="1">
        <v>50</v>
      </c>
      <c r="H65" s="1">
        <v>13</v>
      </c>
      <c r="I65" s="7" t="e">
        <f ca="1">[1]!Bar(B65,1)*10/2</f>
        <v>#NAME?</v>
      </c>
      <c r="J65" s="7" t="e">
        <f ca="1">IF(E65=0,0,MAX(25,[1]!Bar(B65,1)*10*1.5))+G65+H65+I65</f>
        <v>#NAME?</v>
      </c>
    </row>
    <row r="66" spans="2:13" ht="11.7" x14ac:dyDescent="0.25">
      <c r="B66" s="231" t="s">
        <v>90</v>
      </c>
      <c r="C66" s="232"/>
      <c r="D66" s="232"/>
      <c r="E66" s="232"/>
      <c r="F66" s="232"/>
      <c r="G66" s="232"/>
      <c r="H66" s="232"/>
      <c r="I66" s="232"/>
      <c r="J66" s="232"/>
    </row>
    <row r="67" spans="2:13" x14ac:dyDescent="0.25">
      <c r="B67" s="230" t="s">
        <v>2</v>
      </c>
      <c r="C67" s="230"/>
      <c r="D67" s="230" t="s">
        <v>3</v>
      </c>
      <c r="E67" s="230"/>
      <c r="F67" s="3" t="s">
        <v>42</v>
      </c>
      <c r="G67" s="3" t="s">
        <v>43</v>
      </c>
      <c r="H67" s="3" t="s">
        <v>30</v>
      </c>
      <c r="I67" s="3" t="s">
        <v>31</v>
      </c>
      <c r="J67" s="3" t="s">
        <v>89</v>
      </c>
    </row>
    <row r="68" spans="2:13" ht="12.35" x14ac:dyDescent="0.25">
      <c r="B68" s="1" t="s">
        <v>44</v>
      </c>
      <c r="C68" s="1" t="s">
        <v>45</v>
      </c>
      <c r="D68" s="1" t="s">
        <v>44</v>
      </c>
      <c r="E68" s="1" t="s">
        <v>46</v>
      </c>
      <c r="F68" s="18" t="s">
        <v>47</v>
      </c>
      <c r="G68" s="18" t="s">
        <v>48</v>
      </c>
      <c r="H68" s="18" t="s">
        <v>48</v>
      </c>
      <c r="I68" s="18" t="s">
        <v>48</v>
      </c>
      <c r="J68" s="18" t="s">
        <v>48</v>
      </c>
    </row>
    <row r="69" spans="2:13" ht="11.7" x14ac:dyDescent="0.25">
      <c r="B69" s="1" t="s">
        <v>97</v>
      </c>
      <c r="C69" s="7" t="e">
        <f ca="1">[1]!Bar(B69,11)*100</f>
        <v>#NAME?</v>
      </c>
      <c r="D69" s="1" t="s">
        <v>98</v>
      </c>
      <c r="E69" s="19" t="e">
        <f ca="1">[1]!Bar(D69,11)*100</f>
        <v>#NAME?</v>
      </c>
      <c r="F69" s="7" t="e">
        <f ca="1">+C69+E69</f>
        <v>#NAME?</v>
      </c>
      <c r="G69" s="1">
        <v>50</v>
      </c>
      <c r="H69" s="1">
        <v>13</v>
      </c>
      <c r="I69" s="7" t="e">
        <f ca="1">[1]!Bar(B69,1)*10/2</f>
        <v>#NAME?</v>
      </c>
      <c r="J69" s="7" t="e">
        <f ca="1">IF(E69=0,0,MAX(25,[1]!Bar(B69,1)*10*1.5))+G69+H69+I69</f>
        <v>#NAME?</v>
      </c>
    </row>
    <row r="72" spans="2:13" x14ac:dyDescent="0.25">
      <c r="B72" s="2" t="s">
        <v>53</v>
      </c>
      <c r="C72" s="2" t="s">
        <v>49</v>
      </c>
      <c r="D72" s="201" t="s">
        <v>69</v>
      </c>
      <c r="E72" s="226" t="s">
        <v>88</v>
      </c>
      <c r="F72" s="20" t="s">
        <v>107</v>
      </c>
      <c r="G72" s="2" t="s">
        <v>87</v>
      </c>
      <c r="H72" s="2" t="s">
        <v>51</v>
      </c>
      <c r="I72" s="3" t="s">
        <v>93</v>
      </c>
      <c r="J72" s="201" t="s">
        <v>94</v>
      </c>
      <c r="K72" s="228" t="s">
        <v>95</v>
      </c>
    </row>
    <row r="73" spans="2:13" ht="12.35" x14ac:dyDescent="0.25">
      <c r="B73" s="6" t="s">
        <v>55</v>
      </c>
      <c r="C73" s="6" t="s">
        <v>55</v>
      </c>
      <c r="D73" s="202"/>
      <c r="E73" s="227"/>
      <c r="F73" s="6" t="s">
        <v>48</v>
      </c>
      <c r="G73" s="6" t="s">
        <v>48</v>
      </c>
      <c r="H73" s="6" t="s">
        <v>48</v>
      </c>
      <c r="I73" s="18" t="s">
        <v>48</v>
      </c>
      <c r="J73" s="202"/>
      <c r="K73" s="229"/>
    </row>
    <row r="74" spans="2:13" x14ac:dyDescent="0.25">
      <c r="B74" s="1">
        <v>345</v>
      </c>
      <c r="C74" s="1">
        <v>14</v>
      </c>
      <c r="D74" s="1">
        <v>15</v>
      </c>
      <c r="E74" s="11">
        <f>+B74/(C74*D74)</f>
        <v>1.6428571428571428</v>
      </c>
      <c r="F74" s="7">
        <v>350</v>
      </c>
      <c r="G74" s="1">
        <v>700</v>
      </c>
      <c r="H74" s="7" t="e">
        <f ca="1">G74-J65</f>
        <v>#NAME?</v>
      </c>
      <c r="I74" s="7" t="e">
        <f ca="1">+J69</f>
        <v>#NAME?</v>
      </c>
      <c r="J74" s="11" t="e">
        <f ca="1">+I74/H74</f>
        <v>#NAME?</v>
      </c>
      <c r="K74" s="27" t="e">
        <f ca="1">F69/F65</f>
        <v>#NAME?</v>
      </c>
      <c r="L74" s="5" t="e">
        <f ca="1">[1]!RcGMa(F74/10,G74/10, J65/10, J69/10, F65/100, F69/100, C74*10, B74*10, 15, 11)*10</f>
        <v>#NAME?</v>
      </c>
      <c r="M74" s="14" t="e">
        <f ca="1">[1]!RcGMa(F74/10,G74/10, J65/10, J69/10, F65/100, F69/100, C74*10, B74*10, 15, 4)*100</f>
        <v>#NAME?</v>
      </c>
    </row>
    <row r="77" spans="2:13" x14ac:dyDescent="0.25">
      <c r="F77" s="4" t="s">
        <v>96</v>
      </c>
    </row>
    <row r="78" spans="2:13" x14ac:dyDescent="0.25">
      <c r="B78" s="4">
        <f>2*(1+E74)</f>
        <v>5.2857142857142856</v>
      </c>
      <c r="C78" s="4" t="e">
        <f ca="1">E74*(D74+(D74-1)*K74*J74)</f>
        <v>#NAME?</v>
      </c>
      <c r="D78" s="4" t="e">
        <f ca="1">(D74-1)*K74*(1-J74)</f>
        <v>#NAME?</v>
      </c>
      <c r="F78" s="15" t="e">
        <f ca="1">1/(B78*(C78-D78))*100</f>
        <v>#NAME?</v>
      </c>
    </row>
    <row r="80" spans="2:13" x14ac:dyDescent="0.25">
      <c r="B80" s="2" t="s">
        <v>64</v>
      </c>
      <c r="C80" s="2" t="s">
        <v>65</v>
      </c>
      <c r="D80" s="2" t="s">
        <v>67</v>
      </c>
      <c r="E80" s="2" t="s">
        <v>68</v>
      </c>
      <c r="G80" s="2" t="s">
        <v>52</v>
      </c>
      <c r="H80" s="2" t="s">
        <v>53</v>
      </c>
      <c r="I80" s="2" t="s">
        <v>54</v>
      </c>
    </row>
    <row r="81" spans="2:12" ht="12.35" x14ac:dyDescent="0.25">
      <c r="B81" s="6" t="s">
        <v>73</v>
      </c>
      <c r="C81" s="6" t="s">
        <v>73</v>
      </c>
      <c r="D81" s="6" t="s">
        <v>74</v>
      </c>
      <c r="E81" s="6" t="s">
        <v>75</v>
      </c>
      <c r="G81" s="6" t="s">
        <v>48</v>
      </c>
      <c r="H81" s="6" t="s">
        <v>55</v>
      </c>
      <c r="I81" s="6" t="s">
        <v>56</v>
      </c>
    </row>
    <row r="82" spans="2:12" ht="11.7" x14ac:dyDescent="0.25">
      <c r="B82" s="1">
        <v>350</v>
      </c>
      <c r="C82" s="7" t="e">
        <f ca="1">+H74</f>
        <v>#NAME?</v>
      </c>
      <c r="D82" s="7" t="e">
        <f ca="1">F65</f>
        <v>#NAME?</v>
      </c>
      <c r="E82" s="11" t="e">
        <f ca="1">D82/(B82*C82)*100</f>
        <v>#NAME?</v>
      </c>
      <c r="G82" s="7" t="e">
        <f ca="1">0.875*C82</f>
        <v>#NAME?</v>
      </c>
      <c r="H82" s="1">
        <v>345</v>
      </c>
      <c r="I82" s="7" t="e">
        <f ca="1">D82*H82*G82/1000/1000</f>
        <v>#NAME?</v>
      </c>
      <c r="K82" s="24" t="s">
        <v>106</v>
      </c>
    </row>
    <row r="83" spans="2:12" ht="11.7" x14ac:dyDescent="0.25">
      <c r="K83" s="23" t="e">
        <f ca="1">[1]!RcGMa(B87/10, C87/10, D87/10,E87/10, F87, G87, H87*10,I87*10, J87, 11)*10</f>
        <v>#NAME?</v>
      </c>
    </row>
    <row r="84" spans="2:12" ht="11.7" x14ac:dyDescent="0.25">
      <c r="K84" s="23" t="e">
        <f ca="1">[1]!RcGMa(B88/10, C88/10, D88/10,E88/10, F88, G88, H88*10,I88*10, J88, 11)*10</f>
        <v>#NAME?</v>
      </c>
    </row>
    <row r="85" spans="2:12" ht="11.7" x14ac:dyDescent="0.25">
      <c r="K85" s="23" t="e">
        <f ca="1">[1]!RcGMa(B89/10, C89/10, D89/10,E89/10, F89, G89, H89*10,I89*10, J89, 11)*10</f>
        <v>#NAME?</v>
      </c>
      <c r="L85" s="26" t="e">
        <f ca="1">+K85-K84</f>
        <v>#NAME?</v>
      </c>
    </row>
    <row r="86" spans="2:12" ht="11.7" x14ac:dyDescent="0.25">
      <c r="B86" t="s">
        <v>107</v>
      </c>
      <c r="C86" t="s">
        <v>101</v>
      </c>
      <c r="D86" t="s">
        <v>108</v>
      </c>
      <c r="E86" t="s">
        <v>93</v>
      </c>
      <c r="F86" t="s">
        <v>109</v>
      </c>
      <c r="G86" t="s">
        <v>110</v>
      </c>
      <c r="H86" t="s">
        <v>23</v>
      </c>
      <c r="I86" t="s">
        <v>102</v>
      </c>
      <c r="J86" t="s">
        <v>104</v>
      </c>
      <c r="K86" s="23" t="e">
        <f ca="1">[1]!RcGMa(B90/10, C90/10, D90/10,E90/10, F90, G90, H90*10,I90*10, J90, 11)*10</f>
        <v>#NAME?</v>
      </c>
      <c r="L86" s="26" t="e">
        <f ca="1">+K86-K85</f>
        <v>#NAME?</v>
      </c>
    </row>
    <row r="87" spans="2:12" ht="11.7" x14ac:dyDescent="0.25">
      <c r="B87">
        <f>B82</f>
        <v>350</v>
      </c>
      <c r="C87">
        <f>G74</f>
        <v>700</v>
      </c>
      <c r="D87" s="25" t="e">
        <f ca="1">J69</f>
        <v>#NAME?</v>
      </c>
      <c r="E87" s="25" t="e">
        <f>#REF!</f>
        <v>#REF!</v>
      </c>
      <c r="F87" s="25" t="s">
        <v>112</v>
      </c>
      <c r="G87" s="25" t="s">
        <v>111</v>
      </c>
      <c r="H87">
        <v>14</v>
      </c>
      <c r="I87">
        <v>345</v>
      </c>
      <c r="J87">
        <v>15</v>
      </c>
      <c r="K87" s="23" t="e">
        <f ca="1">[1]!RcGMa(幅B, せいD, 鉄筋dt, 鉄筋dc, 鉄筋at, 鉄筋ac, コンfc, 鉄筋ft, ヤング比n, 計算値)</f>
        <v>#NAME?</v>
      </c>
      <c r="L87" s="26" t="e">
        <f ca="1">+K87-K86</f>
        <v>#NAME?</v>
      </c>
    </row>
    <row r="88" spans="2:12" ht="11.7" x14ac:dyDescent="0.25">
      <c r="B88">
        <v>350</v>
      </c>
      <c r="C88">
        <v>700</v>
      </c>
      <c r="D88" s="25">
        <v>107</v>
      </c>
      <c r="E88" s="25">
        <v>107</v>
      </c>
      <c r="F88" s="25" t="s">
        <v>113</v>
      </c>
      <c r="G88" s="25" t="s">
        <v>113</v>
      </c>
      <c r="H88">
        <v>14</v>
      </c>
      <c r="I88">
        <v>345</v>
      </c>
      <c r="J88">
        <v>15</v>
      </c>
      <c r="K88" s="23" t="e">
        <f ca="1">[1]!RcGMa(B92/10, C92/10, D92/10,E92/10, F92, G92, H92*10,I92*10, J92, 11)*10</f>
        <v>#NAME?</v>
      </c>
      <c r="L88" s="26" t="e">
        <f ca="1">+K88-K87</f>
        <v>#NAME?</v>
      </c>
    </row>
    <row r="89" spans="2:12" ht="11.7" x14ac:dyDescent="0.25">
      <c r="B89">
        <v>350</v>
      </c>
      <c r="C89">
        <v>700</v>
      </c>
      <c r="D89" s="25">
        <v>107</v>
      </c>
      <c r="E89" s="25">
        <v>107</v>
      </c>
      <c r="F89" s="25" t="s">
        <v>0</v>
      </c>
      <c r="G89" s="25" t="s">
        <v>113</v>
      </c>
      <c r="H89">
        <v>14</v>
      </c>
      <c r="I89">
        <v>345</v>
      </c>
      <c r="J89">
        <v>15</v>
      </c>
    </row>
    <row r="90" spans="2:12" ht="11.7" x14ac:dyDescent="0.25">
      <c r="B90">
        <v>350</v>
      </c>
      <c r="C90">
        <v>700</v>
      </c>
      <c r="D90" s="25">
        <v>107</v>
      </c>
      <c r="E90" s="25">
        <v>107</v>
      </c>
      <c r="F90" s="25" t="s">
        <v>114</v>
      </c>
      <c r="G90" s="25" t="s">
        <v>113</v>
      </c>
      <c r="H90">
        <v>14</v>
      </c>
      <c r="I90">
        <v>345</v>
      </c>
      <c r="J90">
        <v>15</v>
      </c>
    </row>
    <row r="91" spans="2:12" ht="11.7" x14ac:dyDescent="0.25">
      <c r="B91">
        <v>350</v>
      </c>
      <c r="C91">
        <v>700</v>
      </c>
      <c r="D91" s="25">
        <v>107</v>
      </c>
      <c r="E91" s="25">
        <v>107</v>
      </c>
      <c r="F91" s="25" t="s">
        <v>115</v>
      </c>
      <c r="G91" s="25" t="s">
        <v>113</v>
      </c>
      <c r="H91">
        <v>14</v>
      </c>
      <c r="I91">
        <v>345</v>
      </c>
      <c r="J91">
        <v>15</v>
      </c>
    </row>
    <row r="92" spans="2:12" ht="11.7" x14ac:dyDescent="0.25">
      <c r="B92">
        <v>350</v>
      </c>
      <c r="C92">
        <v>700</v>
      </c>
      <c r="D92" s="25">
        <v>107</v>
      </c>
      <c r="E92" s="25">
        <v>107</v>
      </c>
      <c r="F92" s="25" t="s">
        <v>116</v>
      </c>
      <c r="G92" s="25" t="s">
        <v>113</v>
      </c>
      <c r="H92">
        <v>14</v>
      </c>
      <c r="I92">
        <v>345</v>
      </c>
      <c r="J92">
        <v>15</v>
      </c>
    </row>
  </sheetData>
  <mergeCells count="21">
    <mergeCell ref="B4:C4"/>
    <mergeCell ref="D4:E4"/>
    <mergeCell ref="B39:J39"/>
    <mergeCell ref="B66:J66"/>
    <mergeCell ref="B62:J62"/>
    <mergeCell ref="B63:C63"/>
    <mergeCell ref="D63:E63"/>
    <mergeCell ref="G18:G19"/>
    <mergeCell ref="H18:H19"/>
    <mergeCell ref="D49:D50"/>
    <mergeCell ref="B40:C40"/>
    <mergeCell ref="D40:E40"/>
    <mergeCell ref="B44:C44"/>
    <mergeCell ref="D44:E44"/>
    <mergeCell ref="B43:J43"/>
    <mergeCell ref="D72:D73"/>
    <mergeCell ref="E72:E73"/>
    <mergeCell ref="K72:K73"/>
    <mergeCell ref="J72:J73"/>
    <mergeCell ref="B67:C67"/>
    <mergeCell ref="D67:E67"/>
  </mergeCells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O37"/>
  <sheetViews>
    <sheetView workbookViewId="0">
      <selection activeCell="Q29" sqref="Q29"/>
    </sheetView>
  </sheetViews>
  <sheetFormatPr defaultRowHeight="11.7" x14ac:dyDescent="0.25"/>
  <cols>
    <col min="1" max="1" width="2.6640625" customWidth="1"/>
    <col min="2" max="4" width="6.6640625" customWidth="1"/>
    <col min="5" max="5" width="8.6640625" customWidth="1"/>
    <col min="6" max="6" width="6.6640625" customWidth="1"/>
    <col min="7" max="7" width="5.6640625" customWidth="1"/>
    <col min="8" max="8" width="6.6640625" customWidth="1"/>
    <col min="9" max="9" width="8.6640625" customWidth="1"/>
    <col min="10" max="10" width="5.6640625" customWidth="1"/>
    <col min="11" max="11" width="6.6640625" style="21" customWidth="1"/>
    <col min="12" max="15" width="6.6640625" customWidth="1"/>
  </cols>
  <sheetData>
    <row r="2" spans="2:15" x14ac:dyDescent="0.25">
      <c r="B2" t="s">
        <v>144</v>
      </c>
    </row>
    <row r="4" spans="2:15" x14ac:dyDescent="0.25">
      <c r="B4" s="55" t="s">
        <v>148</v>
      </c>
      <c r="C4" s="51" t="s">
        <v>101</v>
      </c>
      <c r="D4" s="40" t="s">
        <v>93</v>
      </c>
      <c r="E4" s="40" t="s">
        <v>137</v>
      </c>
      <c r="F4" s="40" t="s">
        <v>105</v>
      </c>
      <c r="G4" s="40" t="s">
        <v>23</v>
      </c>
      <c r="H4" s="40" t="s">
        <v>102</v>
      </c>
      <c r="I4" s="40" t="s">
        <v>103</v>
      </c>
      <c r="J4" s="40" t="s">
        <v>104</v>
      </c>
      <c r="K4" s="40" t="s">
        <v>139</v>
      </c>
      <c r="L4" s="40" t="s">
        <v>141</v>
      </c>
      <c r="M4" s="40" t="s">
        <v>146</v>
      </c>
      <c r="N4" s="40" t="s">
        <v>147</v>
      </c>
      <c r="O4" s="41" t="s">
        <v>149</v>
      </c>
    </row>
    <row r="5" spans="2:15" x14ac:dyDescent="0.25">
      <c r="B5" s="56" t="s">
        <v>150</v>
      </c>
      <c r="C5" s="52">
        <f>240+111*2</f>
        <v>462</v>
      </c>
      <c r="D5" s="35">
        <v>111</v>
      </c>
      <c r="E5" s="34" t="s">
        <v>142</v>
      </c>
      <c r="F5" s="34" t="e">
        <f ca="1">[1]!Bar(E5,11)*100</f>
        <v>#NAME?</v>
      </c>
      <c r="G5" s="36">
        <v>14</v>
      </c>
      <c r="H5" s="34">
        <v>295</v>
      </c>
      <c r="I5" s="36">
        <v>51</v>
      </c>
      <c r="J5" s="34">
        <v>15</v>
      </c>
      <c r="K5" s="37" t="e">
        <f ca="1">[1]!RcCMaC(C5/10,D5/10,E5,G5*10,H5*10, I5/10, J5,3)</f>
        <v>#NAME?</v>
      </c>
      <c r="L5" s="37" t="e">
        <f ca="1">[1]!RcCMaC(C5/10,D5/10,E5,G5*10,H5*10,I5/10,J5,4)</f>
        <v>#NAME?</v>
      </c>
      <c r="M5" s="38" t="e">
        <f ca="1">[1]!RcCMaC(C5/10,D5/10,E5,G5*10,H5*10, I5/10, J5,0)*10</f>
        <v>#NAME?</v>
      </c>
      <c r="N5" s="39">
        <v>64.81</v>
      </c>
      <c r="O5" s="42" t="e">
        <f ca="1">IF(M5&gt;N5,"OK","NG")</f>
        <v>#NAME?</v>
      </c>
    </row>
    <row r="6" spans="2:15" x14ac:dyDescent="0.25">
      <c r="B6" s="57" t="s">
        <v>151</v>
      </c>
      <c r="C6" s="53">
        <v>500</v>
      </c>
      <c r="D6" s="29">
        <v>130</v>
      </c>
      <c r="E6" s="28" t="s">
        <v>113</v>
      </c>
      <c r="F6" s="28" t="e">
        <f ca="1">[1]!Bar(E6,11)*100</f>
        <v>#NAME?</v>
      </c>
      <c r="G6" s="30">
        <v>14</v>
      </c>
      <c r="H6" s="28">
        <v>345</v>
      </c>
      <c r="I6" s="30">
        <v>761</v>
      </c>
      <c r="J6" s="28">
        <v>15</v>
      </c>
      <c r="K6" s="31" t="e">
        <f ca="1">[1]!RcCMaC(C6/10,D6/10,E6,G6*10,H6*10, I6/10, J6,3)</f>
        <v>#NAME?</v>
      </c>
      <c r="L6" s="31" t="e">
        <f ca="1">[1]!RcCMaC(C6/10,D6/10,E6,G6*10,H6*10,I6/10,J6,4)</f>
        <v>#NAME?</v>
      </c>
      <c r="M6" s="32" t="e">
        <f ca="1">[1]!RcCMaC(C6/10,D6/10,E6,G6*10,H6*10, I6/10, J6,0)*10</f>
        <v>#NAME?</v>
      </c>
      <c r="N6" s="33">
        <v>64.81</v>
      </c>
      <c r="O6" s="43" t="e">
        <f t="shared" ref="O6:O19" ca="1" si="0">IF(M6&gt;N6,"OK","NG")</f>
        <v>#NAME?</v>
      </c>
    </row>
    <row r="7" spans="2:15" x14ac:dyDescent="0.25">
      <c r="B7" s="57" t="s">
        <v>152</v>
      </c>
      <c r="C7" s="53">
        <v>500</v>
      </c>
      <c r="D7" s="29">
        <v>130</v>
      </c>
      <c r="E7" s="28" t="s">
        <v>113</v>
      </c>
      <c r="F7" s="28" t="e">
        <f ca="1">[1]!Bar(E7,11)*100</f>
        <v>#NAME?</v>
      </c>
      <c r="G7" s="30">
        <v>14</v>
      </c>
      <c r="H7" s="28">
        <v>345</v>
      </c>
      <c r="I7" s="30">
        <v>168</v>
      </c>
      <c r="J7" s="28">
        <v>15</v>
      </c>
      <c r="K7" s="31" t="e">
        <f ca="1">[1]!RcCMaC(C7/10,D7/10,E7,G7*10,H7*10, I7/10, J7,3)</f>
        <v>#NAME?</v>
      </c>
      <c r="L7" s="31" t="e">
        <f ca="1">[1]!RcCMaC(C7/10,D7/10,E7,G7*10,H7*10,I7/10,J7,4)</f>
        <v>#NAME?</v>
      </c>
      <c r="M7" s="32" t="e">
        <f ca="1">[1]!RcCMaC(C7/10,D7/10,E7,G7*10,H7*10, I7/10, J7,0)*10</f>
        <v>#NAME?</v>
      </c>
      <c r="N7" s="33">
        <v>64.81</v>
      </c>
      <c r="O7" s="43" t="e">
        <f t="shared" ca="1" si="0"/>
        <v>#NAME?</v>
      </c>
    </row>
    <row r="8" spans="2:15" x14ac:dyDescent="0.25">
      <c r="B8" s="57" t="s">
        <v>153</v>
      </c>
      <c r="C8" s="53">
        <v>462</v>
      </c>
      <c r="D8" s="29">
        <v>111</v>
      </c>
      <c r="E8" s="28" t="s">
        <v>113</v>
      </c>
      <c r="F8" s="28" t="e">
        <f ca="1">[1]!Bar(E8,11)*100</f>
        <v>#NAME?</v>
      </c>
      <c r="G8" s="30">
        <v>14</v>
      </c>
      <c r="H8" s="28">
        <v>345</v>
      </c>
      <c r="I8" s="30">
        <v>111</v>
      </c>
      <c r="J8" s="28">
        <v>15</v>
      </c>
      <c r="K8" s="31" t="e">
        <f ca="1">[1]!RcCMaC(C8/10,D8/10,E8,G8*10,H8*10, I8/10, J8,3)</f>
        <v>#NAME?</v>
      </c>
      <c r="L8" s="31" t="e">
        <f ca="1">[1]!RcCMaC(C8/10,D8/10,E8,G8*10,H8*10,I8/10,J8,4)</f>
        <v>#NAME?</v>
      </c>
      <c r="M8" s="32" t="e">
        <f ca="1">[1]!RcCMaC(C8/10,D8/10,E8,G8*10,H8*10, I8/10, J8,0)*10</f>
        <v>#NAME?</v>
      </c>
      <c r="N8" s="33">
        <v>7.66</v>
      </c>
      <c r="O8" s="43" t="e">
        <f t="shared" ca="1" si="0"/>
        <v>#NAME?</v>
      </c>
    </row>
    <row r="9" spans="2:15" x14ac:dyDescent="0.25">
      <c r="B9" s="57" t="s">
        <v>154</v>
      </c>
      <c r="C9" s="53">
        <v>462</v>
      </c>
      <c r="D9" s="29">
        <v>111</v>
      </c>
      <c r="E9" s="28" t="s">
        <v>113</v>
      </c>
      <c r="F9" s="28" t="e">
        <f ca="1">[1]!Bar(E9,11)*100</f>
        <v>#NAME?</v>
      </c>
      <c r="G9" s="30">
        <v>14</v>
      </c>
      <c r="H9" s="28">
        <v>345</v>
      </c>
      <c r="I9" s="30">
        <v>111</v>
      </c>
      <c r="J9" s="28">
        <v>15</v>
      </c>
      <c r="K9" s="31" t="e">
        <f ca="1">[1]!RcCMaC(C9/10,D9/10,E9,G9*10,H9*10, I9/10, J9,3)</f>
        <v>#NAME?</v>
      </c>
      <c r="L9" s="31" t="e">
        <f ca="1">[1]!RcCMaC(C9/10,D9/10,E9,G9*10,H9*10,I9/10,J9,4)</f>
        <v>#NAME?</v>
      </c>
      <c r="M9" s="32" t="e">
        <f ca="1">[1]!RcCMaC(C9/10,D9/10,E9,G9*10,H9*10, I9/10, J9,0)*10</f>
        <v>#NAME?</v>
      </c>
      <c r="N9" s="33">
        <v>7.66</v>
      </c>
      <c r="O9" s="43" t="e">
        <f t="shared" ca="1" si="0"/>
        <v>#NAME?</v>
      </c>
    </row>
    <row r="10" spans="2:15" x14ac:dyDescent="0.25">
      <c r="B10" s="57" t="s">
        <v>155</v>
      </c>
      <c r="C10" s="53">
        <v>500</v>
      </c>
      <c r="D10" s="29">
        <v>270</v>
      </c>
      <c r="E10" s="28" t="s">
        <v>142</v>
      </c>
      <c r="F10" s="28" t="e">
        <f ca="1">[1]!Bar(E10,11)*100</f>
        <v>#NAME?</v>
      </c>
      <c r="G10" s="30">
        <v>14</v>
      </c>
      <c r="H10" s="28">
        <v>295</v>
      </c>
      <c r="I10" s="30">
        <v>67</v>
      </c>
      <c r="J10" s="28">
        <v>15</v>
      </c>
      <c r="K10" s="31" t="e">
        <f ca="1">[1]!RcCMaC(C10/10,D10/10,E10,G10*10,H10*10, I10/10, J10,3)</f>
        <v>#NAME?</v>
      </c>
      <c r="L10" s="31" t="e">
        <f ca="1">[1]!RcCMaC(C10/10,D10/10,E10,G10*10,H10*10,I10/10,J10,4)</f>
        <v>#NAME?</v>
      </c>
      <c r="M10" s="32" t="e">
        <f ca="1">[1]!RcCMaC(C10/10,D10/10,E10,G10*10,H10*10, I10/10, J10,0)*10</f>
        <v>#NAME?</v>
      </c>
      <c r="N10" s="33">
        <v>7.66</v>
      </c>
      <c r="O10" s="43" t="e">
        <f t="shared" ca="1" si="0"/>
        <v>#NAME?</v>
      </c>
    </row>
    <row r="11" spans="2:15" x14ac:dyDescent="0.25">
      <c r="B11" s="57" t="s">
        <v>156</v>
      </c>
      <c r="C11" s="53">
        <v>500</v>
      </c>
      <c r="D11" s="29">
        <v>270</v>
      </c>
      <c r="E11" s="28" t="s">
        <v>142</v>
      </c>
      <c r="F11" s="28" t="e">
        <f ca="1">[1]!Bar(E11,11)*100</f>
        <v>#NAME?</v>
      </c>
      <c r="G11" s="30">
        <v>14</v>
      </c>
      <c r="H11" s="28">
        <v>295</v>
      </c>
      <c r="I11" s="30">
        <v>124</v>
      </c>
      <c r="J11" s="28">
        <v>15</v>
      </c>
      <c r="K11" s="31" t="e">
        <f ca="1">[1]!RcCMaC(C11/10,D11/10,E11,G11*10,H11*10, I11/10, J11,3)</f>
        <v>#NAME?</v>
      </c>
      <c r="L11" s="31" t="e">
        <f ca="1">[1]!RcCMaC(C11/10,D11/10,E11,G11*10,H11*10,I11/10,J11,4)</f>
        <v>#NAME?</v>
      </c>
      <c r="M11" s="32" t="e">
        <f ca="1">[1]!RcCMaC(C11/10,D11/10,E11,G11*10,H11*10, I11/10, J11,0)*10</f>
        <v>#NAME?</v>
      </c>
      <c r="N11" s="33">
        <v>7.66</v>
      </c>
      <c r="O11" s="43" t="e">
        <f t="shared" ca="1" si="0"/>
        <v>#NAME?</v>
      </c>
    </row>
    <row r="12" spans="2:15" x14ac:dyDescent="0.25">
      <c r="B12" s="57" t="s">
        <v>157</v>
      </c>
      <c r="C12" s="53">
        <v>500</v>
      </c>
      <c r="D12" s="29">
        <v>270</v>
      </c>
      <c r="E12" s="28" t="s">
        <v>142</v>
      </c>
      <c r="F12" s="28" t="e">
        <f ca="1">[1]!Bar(E12,11)*100</f>
        <v>#NAME?</v>
      </c>
      <c r="G12" s="30">
        <v>14</v>
      </c>
      <c r="H12" s="28">
        <v>295</v>
      </c>
      <c r="I12" s="30">
        <v>105</v>
      </c>
      <c r="J12" s="28">
        <v>15</v>
      </c>
      <c r="K12" s="31" t="e">
        <f ca="1">[1]!RcCMaC(C12/10,D12/10,E12,G12*10,H12*10, I12/10, J12,3)</f>
        <v>#NAME?</v>
      </c>
      <c r="L12" s="31" t="e">
        <f ca="1">[1]!RcCMaC(C12/10,D12/10,E12,G12*10,H12*10,I12/10,J12,4)</f>
        <v>#NAME?</v>
      </c>
      <c r="M12" s="32" t="e">
        <f ca="1">[1]!RcCMaC(C12/10,D12/10,E12,G12*10,H12*10, I12/10, J12,0)*10</f>
        <v>#NAME?</v>
      </c>
      <c r="N12" s="33">
        <v>7.66</v>
      </c>
      <c r="O12" s="43" t="e">
        <f t="shared" ca="1" si="0"/>
        <v>#NAME?</v>
      </c>
    </row>
    <row r="13" spans="2:15" x14ac:dyDescent="0.25">
      <c r="B13" s="57" t="s">
        <v>158</v>
      </c>
      <c r="C13" s="53">
        <v>500</v>
      </c>
      <c r="D13" s="29">
        <v>270</v>
      </c>
      <c r="E13" s="28" t="s">
        <v>142</v>
      </c>
      <c r="F13" s="28" t="e">
        <f ca="1">[1]!Bar(E13,11)*100</f>
        <v>#NAME?</v>
      </c>
      <c r="G13" s="30">
        <v>14</v>
      </c>
      <c r="H13" s="28">
        <v>295</v>
      </c>
      <c r="I13" s="30">
        <v>105</v>
      </c>
      <c r="J13" s="28">
        <v>15</v>
      </c>
      <c r="K13" s="31" t="e">
        <f ca="1">[1]!RcCMaC(C13/10,D13/10,E13,G13*10,H13*10, I13/10, J13,3)</f>
        <v>#NAME?</v>
      </c>
      <c r="L13" s="31" t="e">
        <f ca="1">[1]!RcCMaC(C13/10,D13/10,E13,G13*10,H13*10,I13/10,J13,4)</f>
        <v>#NAME?</v>
      </c>
      <c r="M13" s="32" t="e">
        <f ca="1">[1]!RcCMaC(C13/10,D13/10,E13,G13*10,H13*10, I13/10, J13,0)*10</f>
        <v>#NAME?</v>
      </c>
      <c r="N13" s="33">
        <v>7.66</v>
      </c>
      <c r="O13" s="43" t="e">
        <f t="shared" ca="1" si="0"/>
        <v>#NAME?</v>
      </c>
    </row>
    <row r="14" spans="2:15" x14ac:dyDescent="0.25">
      <c r="B14" s="57" t="s">
        <v>159</v>
      </c>
      <c r="C14" s="53">
        <v>500</v>
      </c>
      <c r="D14" s="29">
        <v>270</v>
      </c>
      <c r="E14" s="28" t="s">
        <v>142</v>
      </c>
      <c r="F14" s="28" t="e">
        <f ca="1">[1]!Bar(E14,11)*100</f>
        <v>#NAME?</v>
      </c>
      <c r="G14" s="30">
        <v>14</v>
      </c>
      <c r="H14" s="28">
        <v>295</v>
      </c>
      <c r="I14" s="30">
        <v>110</v>
      </c>
      <c r="J14" s="28">
        <v>15</v>
      </c>
      <c r="K14" s="31" t="e">
        <f ca="1">[1]!RcCMaC(C14/10,D14/10,E14,G14*10,H14*10, I14/10, J14,3)</f>
        <v>#NAME?</v>
      </c>
      <c r="L14" s="31" t="e">
        <f ca="1">[1]!RcCMaC(C14/10,D14/10,E14,G14*10,H14*10,I14/10,J14,4)</f>
        <v>#NAME?</v>
      </c>
      <c r="M14" s="32" t="e">
        <f ca="1">[1]!RcCMaC(C14/10,D14/10,E14,G14*10,H14*10, I14/10, J14,0)*10</f>
        <v>#NAME?</v>
      </c>
      <c r="N14" s="33">
        <v>7.66</v>
      </c>
      <c r="O14" s="43" t="e">
        <f t="shared" ca="1" si="0"/>
        <v>#NAME?</v>
      </c>
    </row>
    <row r="15" spans="2:15" x14ac:dyDescent="0.25">
      <c r="B15" s="57" t="s">
        <v>160</v>
      </c>
      <c r="C15" s="53">
        <v>500</v>
      </c>
      <c r="D15" s="29">
        <v>270</v>
      </c>
      <c r="E15" s="28" t="s">
        <v>142</v>
      </c>
      <c r="F15" s="28" t="e">
        <f ca="1">[1]!Bar(E15,11)*100</f>
        <v>#NAME?</v>
      </c>
      <c r="G15" s="30">
        <v>14</v>
      </c>
      <c r="H15" s="28">
        <v>295</v>
      </c>
      <c r="I15" s="30">
        <v>47</v>
      </c>
      <c r="J15" s="28">
        <v>15</v>
      </c>
      <c r="K15" s="31" t="e">
        <f ca="1">[1]!RcCMaC(C15/10,D15/10,E15,G15*10,H15*10, I15/10, J15,3)</f>
        <v>#NAME?</v>
      </c>
      <c r="L15" s="31" t="e">
        <f ca="1">[1]!RcCMaC(C15/10,D15/10,E15,G15*10,H15*10,I15/10,J15,4)</f>
        <v>#NAME?</v>
      </c>
      <c r="M15" s="32" t="e">
        <f ca="1">[1]!RcCMaC(C15/10,D15/10,E15,G15*10,H15*10, I15/10, J15,0)*10</f>
        <v>#NAME?</v>
      </c>
      <c r="N15" s="33">
        <v>7.66</v>
      </c>
      <c r="O15" s="43" t="e">
        <f t="shared" ca="1" si="0"/>
        <v>#NAME?</v>
      </c>
    </row>
    <row r="16" spans="2:15" x14ac:dyDescent="0.25">
      <c r="B16" s="57" t="s">
        <v>161</v>
      </c>
      <c r="C16" s="53">
        <v>500</v>
      </c>
      <c r="D16" s="29">
        <v>270</v>
      </c>
      <c r="E16" s="28" t="s">
        <v>142</v>
      </c>
      <c r="F16" s="28" t="e">
        <f ca="1">[1]!Bar(E16,11)*100</f>
        <v>#NAME?</v>
      </c>
      <c r="G16" s="30">
        <v>14</v>
      </c>
      <c r="H16" s="28">
        <v>295</v>
      </c>
      <c r="I16" s="30">
        <v>94</v>
      </c>
      <c r="J16" s="28">
        <v>15</v>
      </c>
      <c r="K16" s="31" t="e">
        <f ca="1">[1]!RcCMaC(C16/10,D16/10,E16,G16*10,H16*10, I16/10, J16,3)</f>
        <v>#NAME?</v>
      </c>
      <c r="L16" s="31" t="e">
        <f ca="1">[1]!RcCMaC(C16/10,D16/10,E16,G16*10,H16*10,I16/10,J16,4)</f>
        <v>#NAME?</v>
      </c>
      <c r="M16" s="32" t="e">
        <f ca="1">[1]!RcCMaC(C16/10,D16/10,E16,G16*10,H16*10, I16/10, J16,0)*10</f>
        <v>#NAME?</v>
      </c>
      <c r="N16" s="33">
        <v>7.66</v>
      </c>
      <c r="O16" s="43" t="e">
        <f t="shared" ca="1" si="0"/>
        <v>#NAME?</v>
      </c>
    </row>
    <row r="17" spans="2:15" x14ac:dyDescent="0.25">
      <c r="B17" s="57" t="s">
        <v>162</v>
      </c>
      <c r="C17" s="53">
        <v>500</v>
      </c>
      <c r="D17" s="29">
        <v>270</v>
      </c>
      <c r="E17" s="28" t="s">
        <v>142</v>
      </c>
      <c r="F17" s="28" t="e">
        <f ca="1">[1]!Bar(E17,11)*100</f>
        <v>#NAME?</v>
      </c>
      <c r="G17" s="30">
        <v>14</v>
      </c>
      <c r="H17" s="28">
        <v>295</v>
      </c>
      <c r="I17" s="30">
        <v>103</v>
      </c>
      <c r="J17" s="28">
        <v>15</v>
      </c>
      <c r="K17" s="31" t="e">
        <f ca="1">[1]!RcCMaC(C17/10,D17/10,E17,G17*10,H17*10, I17/10, J17,3)</f>
        <v>#NAME?</v>
      </c>
      <c r="L17" s="31" t="e">
        <f ca="1">[1]!RcCMaC(C17/10,D17/10,E17,G17*10,H17*10,I17/10,J17,4)</f>
        <v>#NAME?</v>
      </c>
      <c r="M17" s="32" t="e">
        <f ca="1">[1]!RcCMaC(C17/10,D17/10,E17,G17*10,H17*10, I17/10, J17,0)*10</f>
        <v>#NAME?</v>
      </c>
      <c r="N17" s="33">
        <v>7.66</v>
      </c>
      <c r="O17" s="43" t="e">
        <f t="shared" ca="1" si="0"/>
        <v>#NAME?</v>
      </c>
    </row>
    <row r="18" spans="2:15" x14ac:dyDescent="0.25">
      <c r="B18" s="57" t="s">
        <v>163</v>
      </c>
      <c r="C18" s="53">
        <v>500</v>
      </c>
      <c r="D18" s="29">
        <v>270</v>
      </c>
      <c r="E18" s="28" t="s">
        <v>142</v>
      </c>
      <c r="F18" s="28" t="e">
        <f ca="1">[1]!Bar(E18,11)*100</f>
        <v>#NAME?</v>
      </c>
      <c r="G18" s="30">
        <v>14</v>
      </c>
      <c r="H18" s="28">
        <v>295</v>
      </c>
      <c r="I18" s="30">
        <v>102</v>
      </c>
      <c r="J18" s="28">
        <v>15</v>
      </c>
      <c r="K18" s="31" t="e">
        <f ca="1">[1]!RcCMaC(C18/10,D18/10,E18,G18*10,H18*10, I18/10, J18,3)</f>
        <v>#NAME?</v>
      </c>
      <c r="L18" s="31" t="e">
        <f ca="1">[1]!RcCMaC(C18/10,D18/10,E18,G18*10,H18*10,I18/10,J18,4)</f>
        <v>#NAME?</v>
      </c>
      <c r="M18" s="32" t="e">
        <f ca="1">[1]!RcCMaC(C18/10,D18/10,E18,G18*10,H18*10, I18/10, J18,0)*10</f>
        <v>#NAME?</v>
      </c>
      <c r="N18" s="33">
        <v>7.66</v>
      </c>
      <c r="O18" s="43" t="e">
        <f t="shared" ca="1" si="0"/>
        <v>#NAME?</v>
      </c>
    </row>
    <row r="19" spans="2:15" x14ac:dyDescent="0.25">
      <c r="B19" s="58" t="s">
        <v>164</v>
      </c>
      <c r="C19" s="54">
        <v>500</v>
      </c>
      <c r="D19" s="44">
        <v>270</v>
      </c>
      <c r="E19" s="45" t="s">
        <v>142</v>
      </c>
      <c r="F19" s="45" t="e">
        <f ca="1">[1]!Bar(E19,11)*100</f>
        <v>#NAME?</v>
      </c>
      <c r="G19" s="46">
        <v>14</v>
      </c>
      <c r="H19" s="45">
        <v>295</v>
      </c>
      <c r="I19" s="46">
        <v>82</v>
      </c>
      <c r="J19" s="45">
        <v>15</v>
      </c>
      <c r="K19" s="47" t="e">
        <f ca="1">[1]!RcCMaC(C19/10,D19/10,E19,G19*10,H19*10, I19/10, J19,3)</f>
        <v>#NAME?</v>
      </c>
      <c r="L19" s="47" t="e">
        <f ca="1">[1]!RcCMaC(C19/10,D19/10,E19,G19*10,H19*10,I19/10,J19,4)</f>
        <v>#NAME?</v>
      </c>
      <c r="M19" s="48" t="e">
        <f ca="1">[1]!RcCMaC(C19/10,D19/10,E19,G19*10,H19*10, I19/10, J19,0)*10</f>
        <v>#NAME?</v>
      </c>
      <c r="N19" s="49">
        <v>7.66</v>
      </c>
      <c r="O19" s="50" t="e">
        <f t="shared" ca="1" si="0"/>
        <v>#NAME?</v>
      </c>
    </row>
    <row r="23" spans="2:15" x14ac:dyDescent="0.25">
      <c r="K23" s="23"/>
    </row>
    <row r="24" spans="2:15" x14ac:dyDescent="0.25">
      <c r="K24" s="23"/>
    </row>
    <row r="25" spans="2:15" x14ac:dyDescent="0.25">
      <c r="K25" s="23"/>
    </row>
    <row r="26" spans="2:15" x14ac:dyDescent="0.25">
      <c r="K26" s="23"/>
    </row>
    <row r="27" spans="2:15" x14ac:dyDescent="0.25">
      <c r="D27" s="21" t="s">
        <v>117</v>
      </c>
      <c r="E27" t="s">
        <v>124</v>
      </c>
      <c r="I27" t="s">
        <v>133</v>
      </c>
      <c r="K27" s="23"/>
    </row>
    <row r="28" spans="2:15" x14ac:dyDescent="0.25">
      <c r="D28" s="21" t="s">
        <v>118</v>
      </c>
      <c r="E28" t="s">
        <v>125</v>
      </c>
      <c r="I28" t="s">
        <v>133</v>
      </c>
      <c r="K28" s="23"/>
    </row>
    <row r="29" spans="2:15" ht="13.7" x14ac:dyDescent="0.25">
      <c r="D29" s="21" t="s">
        <v>119</v>
      </c>
      <c r="E29" t="s">
        <v>126</v>
      </c>
      <c r="I29" t="s">
        <v>134</v>
      </c>
      <c r="K29" s="23"/>
    </row>
    <row r="30" spans="2:15" ht="13.7" x14ac:dyDescent="0.25">
      <c r="D30" s="21" t="s">
        <v>120</v>
      </c>
      <c r="E30" t="s">
        <v>127</v>
      </c>
      <c r="I30" t="s">
        <v>135</v>
      </c>
      <c r="K30" s="23"/>
    </row>
    <row r="31" spans="2:15" ht="13.7" x14ac:dyDescent="0.25">
      <c r="D31" s="21" t="s">
        <v>121</v>
      </c>
      <c r="E31" t="s">
        <v>128</v>
      </c>
      <c r="I31" t="s">
        <v>135</v>
      </c>
      <c r="K31" s="22"/>
    </row>
    <row r="32" spans="2:15" x14ac:dyDescent="0.25">
      <c r="D32" s="21" t="s">
        <v>122</v>
      </c>
      <c r="E32" t="s">
        <v>129</v>
      </c>
      <c r="I32" t="s">
        <v>136</v>
      </c>
      <c r="K32" s="22"/>
    </row>
    <row r="33" spans="4:9" x14ac:dyDescent="0.25">
      <c r="D33" s="21" t="s">
        <v>123</v>
      </c>
      <c r="E33" t="s">
        <v>130</v>
      </c>
    </row>
    <row r="34" spans="4:9" x14ac:dyDescent="0.25">
      <c r="D34" s="21" t="s">
        <v>138</v>
      </c>
      <c r="E34" t="s">
        <v>131</v>
      </c>
    </row>
    <row r="35" spans="4:9" x14ac:dyDescent="0.25">
      <c r="D35" s="21" t="s">
        <v>140</v>
      </c>
      <c r="E35" t="s">
        <v>132</v>
      </c>
    </row>
    <row r="36" spans="4:9" x14ac:dyDescent="0.25">
      <c r="D36" s="21" t="s">
        <v>143</v>
      </c>
      <c r="E36" t="s">
        <v>144</v>
      </c>
      <c r="I36" t="s">
        <v>145</v>
      </c>
    </row>
    <row r="37" spans="4:9" x14ac:dyDescent="0.25">
      <c r="D37" s="21" t="s">
        <v>165</v>
      </c>
      <c r="E37" t="s">
        <v>166</v>
      </c>
      <c r="I37" t="s">
        <v>145</v>
      </c>
    </row>
  </sheetData>
  <phoneticPr fontId="3"/>
  <pageMargins left="0.78740157480314965" right="0.5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長方形　せん断</vt:lpstr>
      <vt:lpstr>長方形 (2)</vt:lpstr>
      <vt:lpstr>開口補強</vt:lpstr>
      <vt:lpstr>長方形梁</vt:lpstr>
      <vt:lpstr>Sheet1</vt:lpstr>
      <vt:lpstr>長方形</vt:lpstr>
      <vt:lpstr>円形柱の曲げ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2015-07-10T04:13:05Z</cp:lastPrinted>
  <dcterms:created xsi:type="dcterms:W3CDTF">2009-06-30T00:33:01Z</dcterms:created>
  <dcterms:modified xsi:type="dcterms:W3CDTF">2022-02-04T09:37:54Z</dcterms:modified>
</cp:coreProperties>
</file>