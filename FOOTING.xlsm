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github\excel_RC\"/>
    </mc:Choice>
  </mc:AlternateContent>
  <xr:revisionPtr revIDLastSave="0" documentId="13_ncr:1_{97B656F4-1B2A-4138-BE95-C1E5E3D7DFFF}" xr6:coauthVersionLast="36" xr6:coauthVersionMax="36" xr10:uidLastSave="{00000000-0000-0000-0000-000000000000}"/>
  <bookViews>
    <workbookView xWindow="480" yWindow="30" windowWidth="8478" windowHeight="4728" activeTab="3" xr2:uid="{00000000-000D-0000-FFFF-FFFF00000000}"/>
  </bookViews>
  <sheets>
    <sheet name="長期 (2)" sheetId="12" r:id="rId1"/>
    <sheet name="長期せん断補強筋" sheetId="11" r:id="rId2"/>
    <sheet name="表SS" sheetId="10" r:id="rId3"/>
    <sheet name="Sheet2" sheetId="2" r:id="rId4"/>
  </sheets>
  <functionGroups builtInGroupCount="19"/>
  <externalReferences>
    <externalReference r:id="rId5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59" i="10" l="1"/>
  <c r="E39" i="10"/>
  <c r="E41" i="10" s="1"/>
  <c r="C35" i="10"/>
  <c r="J59" i="10" s="1"/>
  <c r="E43" i="10"/>
  <c r="C43" i="10"/>
  <c r="E42" i="10"/>
  <c r="E35" i="10"/>
  <c r="E45" i="10"/>
  <c r="E44" i="10"/>
  <c r="C44" i="10" l="1"/>
  <c r="L51" i="10"/>
  <c r="K51" i="10"/>
  <c r="L57" i="10"/>
  <c r="K57" i="10"/>
  <c r="C36" i="10"/>
  <c r="E40" i="10"/>
  <c r="K62" i="10"/>
  <c r="I41" i="10"/>
  <c r="K24" i="12"/>
  <c r="I27" i="10"/>
  <c r="L52" i="10"/>
  <c r="K52" i="10"/>
  <c r="E3" i="10"/>
  <c r="C11" i="10"/>
  <c r="J51" i="10" l="1"/>
  <c r="I51" i="10"/>
  <c r="I57" i="10"/>
  <c r="J57" i="10"/>
  <c r="J58" i="10" s="1"/>
  <c r="J60" i="10" s="1"/>
  <c r="L59" i="10"/>
  <c r="K59" i="10"/>
  <c r="C45" i="10"/>
  <c r="I62" i="10"/>
  <c r="I42" i="10"/>
  <c r="I45" i="10" s="1"/>
  <c r="I47" i="10" s="1"/>
  <c r="K41" i="10"/>
  <c r="K42" i="10" s="1"/>
  <c r="K45" i="10" s="1"/>
  <c r="K47" i="10" s="1"/>
  <c r="G23" i="11"/>
  <c r="E24" i="11"/>
  <c r="J52" i="10"/>
  <c r="I52" i="10"/>
  <c r="F11" i="12"/>
  <c r="G10" i="12" a="1"/>
  <c r="H4" i="12"/>
  <c r="G10" i="11" a="1"/>
  <c r="F11" i="11"/>
  <c r="G13" i="12" a="1"/>
  <c r="H4" i="11"/>
  <c r="G13" i="11" a="1"/>
  <c r="I63" i="10" l="1"/>
  <c r="K63" i="10" s="1"/>
  <c r="K64" i="10" s="1"/>
  <c r="L64" i="10" s="1"/>
  <c r="I54" i="10"/>
  <c r="K54" i="10"/>
  <c r="K55" i="10" s="1"/>
  <c r="L54" i="10"/>
  <c r="L55" i="10" s="1"/>
  <c r="J54" i="10"/>
  <c r="I58" i="10"/>
  <c r="I60" i="10" s="1"/>
  <c r="K58" i="10"/>
  <c r="K60" i="10" s="1"/>
  <c r="I55" i="10"/>
  <c r="I64" i="10"/>
  <c r="J64" i="10" s="1"/>
  <c r="J55" i="10"/>
  <c r="L58" i="10"/>
  <c r="L60" i="10" s="1"/>
  <c r="G10" i="12"/>
  <c r="G12" i="12"/>
  <c r="G13" i="12"/>
  <c r="G23" i="12" s="1"/>
  <c r="G12" i="11"/>
  <c r="J24" i="11" s="1"/>
  <c r="G13" i="11"/>
  <c r="G10" i="11"/>
  <c r="G32" i="2"/>
  <c r="H60" i="2"/>
  <c r="J43" i="2"/>
  <c r="J65" i="2"/>
  <c r="J33" i="2"/>
  <c r="I65" i="2"/>
  <c r="G65" i="2"/>
  <c r="I16" i="2"/>
  <c r="E65" i="2"/>
  <c r="E12" i="10"/>
  <c r="J44" i="2"/>
  <c r="J42" i="2"/>
  <c r="J60" i="2"/>
  <c r="H17" i="2"/>
  <c r="H65" i="2"/>
  <c r="E13" i="10"/>
  <c r="H20" i="2"/>
  <c r="J31" i="2"/>
  <c r="G60" i="2"/>
  <c r="F65" i="2"/>
  <c r="J45" i="2"/>
  <c r="H21" i="2"/>
  <c r="E51" i="2"/>
  <c r="H14" i="2"/>
  <c r="I60" i="2"/>
  <c r="E60" i="2"/>
  <c r="F60" i="2"/>
  <c r="J37" i="2"/>
  <c r="J35" i="2"/>
  <c r="J39" i="2"/>
  <c r="G40" i="2"/>
  <c r="G34" i="2"/>
  <c r="G36" i="2"/>
  <c r="G38" i="2"/>
  <c r="J12" i="12" l="1"/>
  <c r="G17" i="12" s="1"/>
  <c r="J24" i="12"/>
  <c r="E24" i="12" s="1"/>
  <c r="G22" i="12"/>
  <c r="J12" i="11"/>
  <c r="G17" i="11" s="1"/>
  <c r="F18" i="11" s="1"/>
  <c r="G18" i="11" s="1"/>
  <c r="G22" i="11"/>
  <c r="E7" i="10"/>
  <c r="C3" i="10"/>
  <c r="C4" i="10" s="1"/>
  <c r="L27" i="10" s="1"/>
  <c r="I13" i="2"/>
  <c r="E11" i="10"/>
  <c r="E10" i="10"/>
  <c r="E8" i="10" l="1"/>
  <c r="I9" i="10"/>
  <c r="I10" i="10" s="1"/>
  <c r="F18" i="12"/>
  <c r="G18" i="12" s="1"/>
  <c r="G31" i="12"/>
  <c r="F31" i="12" s="1"/>
  <c r="F26" i="12"/>
  <c r="J25" i="12"/>
  <c r="F26" i="11"/>
  <c r="J25" i="11"/>
  <c r="K27" i="10"/>
  <c r="K9" i="10"/>
  <c r="K10" i="10" s="1"/>
  <c r="K13" i="10" s="1"/>
  <c r="E9" i="10"/>
  <c r="J27" i="10"/>
  <c r="I13" i="10" l="1"/>
  <c r="I15" i="10" s="1"/>
  <c r="L25" i="10"/>
  <c r="L19" i="10"/>
  <c r="K19" i="10"/>
  <c r="K25" i="10"/>
  <c r="J19" i="10"/>
  <c r="J25" i="10"/>
  <c r="I25" i="10"/>
  <c r="I19" i="10"/>
  <c r="F27" i="12"/>
  <c r="G27" i="12" s="1"/>
  <c r="G32" i="12"/>
  <c r="F32" i="12" s="1"/>
  <c r="F27" i="11"/>
  <c r="G27" i="11" s="1"/>
  <c r="K15" i="10"/>
  <c r="E21" i="2" l="1"/>
  <c r="E20" i="2"/>
  <c r="J64" i="2"/>
  <c r="J59" i="2"/>
  <c r="H62" i="2"/>
  <c r="H64" i="2"/>
  <c r="H59" i="2"/>
  <c r="F64" i="2"/>
  <c r="F59" i="2"/>
  <c r="F52" i="2"/>
  <c r="F50" i="2"/>
  <c r="G42" i="2"/>
  <c r="E5" i="2"/>
  <c r="F5" i="2" s="1"/>
  <c r="C3" i="2"/>
  <c r="E43" i="2" l="1"/>
  <c r="G39" i="2"/>
  <c r="G35" i="2"/>
  <c r="E17" i="2"/>
  <c r="E13" i="2"/>
  <c r="E14" i="2"/>
  <c r="D3" i="2"/>
  <c r="E45" i="2" s="1"/>
  <c r="E16" i="2"/>
  <c r="G33" i="2"/>
  <c r="G31" i="2"/>
  <c r="G37" i="2"/>
  <c r="F24" i="2"/>
  <c r="F23" i="2"/>
  <c r="E53" i="2"/>
  <c r="F53" i="2" s="1"/>
  <c r="F51" i="2"/>
  <c r="E27" i="2"/>
  <c r="E26" i="2"/>
  <c r="J23" i="2"/>
  <c r="I26" i="2"/>
  <c r="J24" i="2"/>
  <c r="I27" i="2"/>
  <c r="F62" i="2" l="1"/>
  <c r="J62" i="2"/>
  <c r="E48" i="2"/>
  <c r="E18" i="2"/>
  <c r="F48" i="2"/>
  <c r="E15" i="2"/>
  <c r="E62" i="2"/>
  <c r="I62" i="2"/>
  <c r="J58" i="2"/>
  <c r="J61" i="2" s="1"/>
  <c r="F58" i="2"/>
  <c r="F61" i="2" s="1"/>
  <c r="H58" i="2"/>
  <c r="H61" i="2" s="1"/>
  <c r="H63" i="2" s="1"/>
  <c r="H66" i="2" s="1"/>
  <c r="I58" i="2"/>
  <c r="I61" i="2" s="1"/>
  <c r="G58" i="2"/>
  <c r="G61" i="2" s="1"/>
  <c r="G63" i="2" s="1"/>
  <c r="G66" i="2" s="1"/>
  <c r="E58" i="2"/>
  <c r="E61" i="2" s="1"/>
  <c r="E47" i="2"/>
  <c r="F47" i="2"/>
  <c r="H18" i="2"/>
  <c r="H15" i="2"/>
  <c r="E49" i="2" l="1"/>
  <c r="E54" i="2" s="1"/>
  <c r="E63" i="2"/>
  <c r="E66" i="2" s="1"/>
  <c r="J63" i="2"/>
  <c r="J66" i="2" s="1"/>
  <c r="F63" i="2"/>
  <c r="F66" i="2" s="1"/>
  <c r="I63" i="2"/>
  <c r="I66" i="2" s="1"/>
  <c r="F49" i="2"/>
  <c r="F54" i="2" s="1"/>
  <c r="C12" i="10" l="1"/>
  <c r="I20" i="10"/>
  <c r="L20" i="10"/>
  <c r="J20" i="10"/>
  <c r="K20" i="10"/>
  <c r="I30" i="10" l="1"/>
  <c r="K30" i="10"/>
  <c r="C13" i="10"/>
  <c r="L22" i="10" l="1"/>
  <c r="J22" i="10"/>
  <c r="J23" i="10" s="1"/>
  <c r="K22" i="10"/>
  <c r="K23" i="10" s="1"/>
  <c r="J26" i="10"/>
  <c r="J28" i="10" s="1"/>
  <c r="I22" i="10"/>
  <c r="I26" i="10"/>
  <c r="I28" i="10" s="1"/>
  <c r="K26" i="10"/>
  <c r="K28" i="10" s="1"/>
  <c r="L26" i="10"/>
  <c r="L28" i="10" s="1"/>
  <c r="L23" i="10"/>
  <c r="I23" i="10"/>
  <c r="I31" i="10"/>
  <c r="K31" i="10" l="1"/>
  <c r="K32" i="10" s="1"/>
  <c r="L32" i="10" s="1"/>
  <c r="I32" i="10"/>
  <c r="J32" i="10" s="1"/>
</calcChain>
</file>

<file path=xl/sharedStrings.xml><?xml version="1.0" encoding="utf-8"?>
<sst xmlns="http://schemas.openxmlformats.org/spreadsheetml/2006/main" count="406" uniqueCount="181">
  <si>
    <t>T0=b^2D(1.15)fs/3=</t>
    <phoneticPr fontId="1"/>
  </si>
  <si>
    <t>Q0=bjαfs=</t>
    <phoneticPr fontId="1"/>
  </si>
  <si>
    <t>A0=</t>
    <phoneticPr fontId="1"/>
  </si>
  <si>
    <t>ML=</t>
    <phoneticPr fontId="1"/>
  </si>
  <si>
    <t>QL=</t>
    <phoneticPr fontId="1"/>
  </si>
  <si>
    <t>(T/T0)^2+(Q/Q0)^2=</t>
    <phoneticPr fontId="1"/>
  </si>
  <si>
    <t>長期</t>
    <rPh sb="0" eb="2">
      <t>チョウキ</t>
    </rPh>
    <phoneticPr fontId="1"/>
  </si>
  <si>
    <t>短期</t>
    <rPh sb="0" eb="2">
      <t>タンキ</t>
    </rPh>
    <phoneticPr fontId="1"/>
  </si>
  <si>
    <t>ねじりに対する大梁の補強</t>
    <rPh sb="4" eb="5">
      <t>タイ</t>
    </rPh>
    <rPh sb="7" eb="9">
      <t>オオバリ</t>
    </rPh>
    <rPh sb="10" eb="12">
      <t>ホキョウ</t>
    </rPh>
    <phoneticPr fontId="1"/>
  </si>
  <si>
    <t>φ0=</t>
    <phoneticPr fontId="1"/>
  </si>
  <si>
    <t>あばら筋</t>
    <rPh sb="3" eb="4">
      <t>キン</t>
    </rPh>
    <phoneticPr fontId="1"/>
  </si>
  <si>
    <t>2a1(bx)=pwt=T/(wftA0b)=</t>
    <phoneticPr fontId="1"/>
  </si>
  <si>
    <t>2a1(bx)=pwt=T/(swftA0b)=</t>
    <phoneticPr fontId="1"/>
  </si>
  <si>
    <t>軸方向筋</t>
    <rPh sb="0" eb="1">
      <t>ジク</t>
    </rPh>
    <rPh sb="1" eb="3">
      <t>ホウコウ</t>
    </rPh>
    <rPh sb="3" eb="4">
      <t>キン</t>
    </rPh>
    <phoneticPr fontId="1"/>
  </si>
  <si>
    <t>as=Tφ0/(2ftA)=</t>
    <phoneticPr fontId="1"/>
  </si>
  <si>
    <t>曲げモーメントおよびせん断力にたいする算定</t>
    <rPh sb="0" eb="1">
      <t>マ</t>
    </rPh>
    <rPh sb="12" eb="13">
      <t>ダン</t>
    </rPh>
    <rPh sb="13" eb="14">
      <t>リョク</t>
    </rPh>
    <rPh sb="19" eb="21">
      <t>サンテイ</t>
    </rPh>
    <phoneticPr fontId="1"/>
  </si>
  <si>
    <t>曲げモーメントたいする梁主筋断面算定</t>
    <rPh sb="0" eb="1">
      <t>マ</t>
    </rPh>
    <rPh sb="11" eb="12">
      <t>ハリ</t>
    </rPh>
    <rPh sb="12" eb="14">
      <t>シュキン</t>
    </rPh>
    <rPh sb="14" eb="16">
      <t>ダンメン</t>
    </rPh>
    <rPh sb="16" eb="18">
      <t>サンテイ</t>
    </rPh>
    <phoneticPr fontId="1"/>
  </si>
  <si>
    <t>端部</t>
    <rPh sb="0" eb="2">
      <t>タンブ</t>
    </rPh>
    <phoneticPr fontId="1"/>
  </si>
  <si>
    <t>ML</t>
    <phoneticPr fontId="1"/>
  </si>
  <si>
    <t>中央</t>
    <rPh sb="0" eb="2">
      <t>チュウオウ</t>
    </rPh>
    <phoneticPr fontId="1"/>
  </si>
  <si>
    <t>QL</t>
    <phoneticPr fontId="1"/>
  </si>
  <si>
    <t>Qs</t>
    <phoneticPr fontId="1"/>
  </si>
  <si>
    <t>（長期）端部</t>
    <rPh sb="1" eb="3">
      <t>チョウキ</t>
    </rPh>
    <rPh sb="4" eb="6">
      <t>タンブ</t>
    </rPh>
    <phoneticPr fontId="1"/>
  </si>
  <si>
    <t>at=ML/(ftj)=</t>
    <phoneticPr fontId="1"/>
  </si>
  <si>
    <t>（短期）端部</t>
    <rPh sb="1" eb="3">
      <t>タンキ</t>
    </rPh>
    <rPh sb="4" eb="6">
      <t>タンブ</t>
    </rPh>
    <phoneticPr fontId="1"/>
  </si>
  <si>
    <t>at=Ms/(sftj)=</t>
    <phoneticPr fontId="1"/>
  </si>
  <si>
    <t>use:</t>
    <phoneticPr fontId="1"/>
  </si>
  <si>
    <t>4-D22</t>
    <phoneticPr fontId="1"/>
  </si>
  <si>
    <t>2-D22</t>
    <phoneticPr fontId="1"/>
  </si>
  <si>
    <t>2-D22</t>
    <phoneticPr fontId="1"/>
  </si>
  <si>
    <t>上端</t>
    <rPh sb="0" eb="2">
      <t>ウワバ</t>
    </rPh>
    <phoneticPr fontId="1"/>
  </si>
  <si>
    <t>下端</t>
    <rPh sb="0" eb="2">
      <t>シタバ</t>
    </rPh>
    <phoneticPr fontId="1"/>
  </si>
  <si>
    <t>Ms上</t>
    <rPh sb="2" eb="3">
      <t>ウエ</t>
    </rPh>
    <phoneticPr fontId="1"/>
  </si>
  <si>
    <t>Ms下</t>
    <rPh sb="2" eb="3">
      <t>シタ</t>
    </rPh>
    <phoneticPr fontId="1"/>
  </si>
  <si>
    <t>せん断力にたいする算定</t>
    <rPh sb="2" eb="3">
      <t>ダン</t>
    </rPh>
    <rPh sb="3" eb="4">
      <t>リョク</t>
    </rPh>
    <rPh sb="9" eb="11">
      <t>サンテイ</t>
    </rPh>
    <phoneticPr fontId="1"/>
  </si>
  <si>
    <t>pw=(QD/(bj)-αfs)2/wft+0.002=</t>
    <phoneticPr fontId="1"/>
  </si>
  <si>
    <t>QD=</t>
    <phoneticPr fontId="1"/>
  </si>
  <si>
    <t>4-D13</t>
    <phoneticPr fontId="1"/>
  </si>
  <si>
    <t>必要軸方向筋</t>
    <rPh sb="0" eb="2">
      <t>ヒツヨウ</t>
    </rPh>
    <rPh sb="2" eb="3">
      <t>ジク</t>
    </rPh>
    <rPh sb="3" eb="5">
      <t>ホウコウ</t>
    </rPh>
    <rPh sb="5" eb="6">
      <t>キン</t>
    </rPh>
    <phoneticPr fontId="1"/>
  </si>
  <si>
    <t>ねじり必要あばら筋比</t>
    <rPh sb="3" eb="5">
      <t>ヒツヨウ</t>
    </rPh>
    <rPh sb="8" eb="9">
      <t>キン</t>
    </rPh>
    <rPh sb="9" eb="10">
      <t>ヒ</t>
    </rPh>
    <phoneticPr fontId="1"/>
  </si>
  <si>
    <t>せん断力必要あばら筋比</t>
    <rPh sb="2" eb="3">
      <t>ダン</t>
    </rPh>
    <rPh sb="3" eb="4">
      <t>リョク</t>
    </rPh>
    <rPh sb="4" eb="6">
      <t>ヒツヨウ</t>
    </rPh>
    <rPh sb="9" eb="10">
      <t>キン</t>
    </rPh>
    <rPh sb="10" eb="11">
      <t>ヒ</t>
    </rPh>
    <phoneticPr fontId="1"/>
  </si>
  <si>
    <t>use</t>
    <phoneticPr fontId="1"/>
  </si>
  <si>
    <t>2-D10</t>
    <phoneticPr fontId="1"/>
  </si>
  <si>
    <t>pw</t>
    <phoneticPr fontId="1"/>
  </si>
  <si>
    <t>aw</t>
    <phoneticPr fontId="1"/>
  </si>
  <si>
    <t>Σpw</t>
    <phoneticPr fontId="1"/>
  </si>
  <si>
    <t>Σpw/pw</t>
    <phoneticPr fontId="1"/>
  </si>
  <si>
    <t>ねじり必要軸方向筋</t>
    <rPh sb="3" eb="5">
      <t>ヒツヨウ</t>
    </rPh>
    <rPh sb="5" eb="6">
      <t>ジク</t>
    </rPh>
    <rPh sb="6" eb="8">
      <t>ホウコウ</t>
    </rPh>
    <rPh sb="8" eb="9">
      <t>キン</t>
    </rPh>
    <phoneticPr fontId="1"/>
  </si>
  <si>
    <t>as=Tφ0/(2sftA)=</t>
    <phoneticPr fontId="1"/>
  </si>
  <si>
    <t>上下振分</t>
    <rPh sb="0" eb="2">
      <t>ジョウゲ</t>
    </rPh>
    <rPh sb="2" eb="4">
      <t>フリワケ</t>
    </rPh>
    <phoneticPr fontId="1"/>
  </si>
  <si>
    <t>曲げ軸方向筋</t>
    <rPh sb="0" eb="1">
      <t>マ</t>
    </rPh>
    <rPh sb="2" eb="3">
      <t>ジク</t>
    </rPh>
    <rPh sb="3" eb="5">
      <t>ホウコウ</t>
    </rPh>
    <rPh sb="5" eb="6">
      <t>キン</t>
    </rPh>
    <phoneticPr fontId="1"/>
  </si>
  <si>
    <t>use</t>
    <phoneticPr fontId="1"/>
  </si>
  <si>
    <t>at</t>
    <phoneticPr fontId="1"/>
  </si>
  <si>
    <t>端部上端</t>
    <rPh sb="0" eb="2">
      <t>タンブ</t>
    </rPh>
    <rPh sb="2" eb="4">
      <t>ウワバ</t>
    </rPh>
    <phoneticPr fontId="1"/>
  </si>
  <si>
    <t>端部下端</t>
    <rPh sb="0" eb="2">
      <t>タンブ</t>
    </rPh>
    <rPh sb="2" eb="4">
      <t>シタバ</t>
    </rPh>
    <phoneticPr fontId="1"/>
  </si>
  <si>
    <t>Fc</t>
    <phoneticPr fontId="1"/>
  </si>
  <si>
    <t>fs</t>
    <phoneticPr fontId="1"/>
  </si>
  <si>
    <t>sfs</t>
    <phoneticPr fontId="1"/>
  </si>
  <si>
    <t>wft</t>
    <phoneticPr fontId="1"/>
  </si>
  <si>
    <t>ft</t>
    <phoneticPr fontId="1"/>
  </si>
  <si>
    <t>sft</t>
    <phoneticPr fontId="1"/>
  </si>
  <si>
    <t>b</t>
    <phoneticPr fontId="1"/>
  </si>
  <si>
    <t>D</t>
    <phoneticPr fontId="1"/>
  </si>
  <si>
    <t>かぶり</t>
    <phoneticPr fontId="1"/>
  </si>
  <si>
    <t>d</t>
    <phoneticPr fontId="1"/>
  </si>
  <si>
    <t>j</t>
    <phoneticPr fontId="1"/>
  </si>
  <si>
    <t>α</t>
    <phoneticPr fontId="1"/>
  </si>
  <si>
    <t>L</t>
    <phoneticPr fontId="1"/>
  </si>
  <si>
    <t>決定ケース</t>
    <rPh sb="0" eb="2">
      <t>ケッテイ</t>
    </rPh>
    <phoneticPr fontId="1"/>
  </si>
  <si>
    <t>Nmax</t>
    <phoneticPr fontId="1"/>
  </si>
  <si>
    <t>Nmax+Wf</t>
    <phoneticPr fontId="1"/>
  </si>
  <si>
    <t>Wf</t>
    <phoneticPr fontId="1"/>
  </si>
  <si>
    <t>付加曲げMX</t>
    <rPh sb="0" eb="2">
      <t>フカ</t>
    </rPh>
    <rPh sb="2" eb="3">
      <t>マ</t>
    </rPh>
    <phoneticPr fontId="1"/>
  </si>
  <si>
    <t>付加曲げMy</t>
    <rPh sb="0" eb="2">
      <t>フカ</t>
    </rPh>
    <rPh sb="2" eb="3">
      <t>マ</t>
    </rPh>
    <phoneticPr fontId="1"/>
  </si>
  <si>
    <t>qa</t>
    <phoneticPr fontId="1"/>
  </si>
  <si>
    <t>σ max</t>
    <phoneticPr fontId="1"/>
  </si>
  <si>
    <t>X</t>
    <phoneticPr fontId="1"/>
  </si>
  <si>
    <t>Y</t>
    <phoneticPr fontId="1"/>
  </si>
  <si>
    <t>付加曲げ</t>
    <rPh sb="0" eb="2">
      <t>フカ</t>
    </rPh>
    <rPh sb="2" eb="3">
      <t>マ</t>
    </rPh>
    <phoneticPr fontId="1"/>
  </si>
  <si>
    <t>設計Md</t>
    <rPh sb="0" eb="2">
      <t>セッケイ</t>
    </rPh>
    <phoneticPr fontId="1"/>
  </si>
  <si>
    <t>設計配筋</t>
    <rPh sb="0" eb="2">
      <t>セッケイ</t>
    </rPh>
    <rPh sb="2" eb="4">
      <t>ハイキン</t>
    </rPh>
    <phoneticPr fontId="1"/>
  </si>
  <si>
    <t>6-D13</t>
    <phoneticPr fontId="1"/>
  </si>
  <si>
    <t>許容Ma</t>
    <rPh sb="0" eb="2">
      <t>キョヨウ</t>
    </rPh>
    <phoneticPr fontId="1"/>
  </si>
  <si>
    <t>Df=</t>
    <phoneticPr fontId="1"/>
  </si>
  <si>
    <t>D=</t>
    <phoneticPr fontId="1"/>
  </si>
  <si>
    <t>j=</t>
    <phoneticPr fontId="1"/>
  </si>
  <si>
    <t>B=</t>
    <phoneticPr fontId="1"/>
  </si>
  <si>
    <t>L=</t>
    <phoneticPr fontId="1"/>
  </si>
  <si>
    <t>CL=</t>
    <phoneticPr fontId="1"/>
  </si>
  <si>
    <t>CB=</t>
    <phoneticPr fontId="1"/>
  </si>
  <si>
    <t>atx=</t>
    <phoneticPr fontId="1"/>
  </si>
  <si>
    <t>aty=</t>
    <phoneticPr fontId="1"/>
  </si>
  <si>
    <t>検定比</t>
    <rPh sb="0" eb="3">
      <t>ケンテイヒ</t>
    </rPh>
    <phoneticPr fontId="1"/>
  </si>
  <si>
    <t>設計Qd</t>
    <rPh sb="0" eb="2">
      <t>セッケイ</t>
    </rPh>
    <phoneticPr fontId="1"/>
  </si>
  <si>
    <t>設計τ</t>
    <rPh sb="0" eb="2">
      <t>セッケイ</t>
    </rPh>
    <phoneticPr fontId="1"/>
  </si>
  <si>
    <t>許容τ</t>
    <rPh sb="0" eb="2">
      <t>キョヨウ</t>
    </rPh>
    <phoneticPr fontId="1"/>
  </si>
  <si>
    <t>d=</t>
    <phoneticPr fontId="1"/>
  </si>
  <si>
    <t>設計QPｄ</t>
    <rPh sb="0" eb="2">
      <t>セッケイ</t>
    </rPh>
    <phoneticPr fontId="1"/>
  </si>
  <si>
    <t>許容Qpa</t>
    <rPh sb="0" eb="2">
      <t>キョヨウ</t>
    </rPh>
    <phoneticPr fontId="1"/>
  </si>
  <si>
    <t>dt=</t>
    <phoneticPr fontId="1"/>
  </si>
  <si>
    <t>Lfs=</t>
    <phoneticPr fontId="1"/>
  </si>
  <si>
    <t>Fc=</t>
    <phoneticPr fontId="1"/>
  </si>
  <si>
    <t>sfs=</t>
    <phoneticPr fontId="1"/>
  </si>
  <si>
    <t>SD</t>
    <phoneticPr fontId="1"/>
  </si>
  <si>
    <t>Lft=</t>
    <phoneticPr fontId="1"/>
  </si>
  <si>
    <t>sft=</t>
    <phoneticPr fontId="1"/>
  </si>
  <si>
    <t>方向</t>
    <rPh sb="0" eb="2">
      <t>ホウコウ</t>
    </rPh>
    <phoneticPr fontId="1"/>
  </si>
  <si>
    <t>A=</t>
    <phoneticPr fontId="1"/>
  </si>
  <si>
    <t>11-D13</t>
    <phoneticPr fontId="1"/>
  </si>
  <si>
    <t>LNmax/A=</t>
    <phoneticPr fontId="1"/>
  </si>
  <si>
    <t>sNmax/A=</t>
    <phoneticPr fontId="1"/>
  </si>
  <si>
    <t>L-Ey</t>
    <phoneticPr fontId="1"/>
  </si>
  <si>
    <t>L</t>
    <phoneticPr fontId="1"/>
  </si>
  <si>
    <t>L-EY</t>
    <phoneticPr fontId="1"/>
  </si>
  <si>
    <t>支持力検討</t>
    <rPh sb="0" eb="3">
      <t>シジリョク</t>
    </rPh>
    <rPh sb="3" eb="5">
      <t>ケントウ</t>
    </rPh>
    <phoneticPr fontId="1"/>
  </si>
  <si>
    <t>基礎断面算定</t>
    <rPh sb="0" eb="2">
      <t>キソ</t>
    </rPh>
    <rPh sb="2" eb="4">
      <t>ダンメン</t>
    </rPh>
    <rPh sb="4" eb="6">
      <t>サンテイ</t>
    </rPh>
    <phoneticPr fontId="1"/>
  </si>
  <si>
    <t>基礎符号　F2　　支点位置　3-B</t>
    <rPh sb="0" eb="2">
      <t>キソ</t>
    </rPh>
    <rPh sb="2" eb="4">
      <t>フゴウ</t>
    </rPh>
    <rPh sb="9" eb="11">
      <t>シテン</t>
    </rPh>
    <rPh sb="11" eb="13">
      <t>イチ</t>
    </rPh>
    <phoneticPr fontId="1"/>
  </si>
  <si>
    <t>曲げ</t>
    <rPh sb="0" eb="1">
      <t>マ</t>
    </rPh>
    <phoneticPr fontId="1"/>
  </si>
  <si>
    <t>せん断</t>
    <rPh sb="2" eb="3">
      <t>ダン</t>
    </rPh>
    <phoneticPr fontId="1"/>
  </si>
  <si>
    <t>パンチング</t>
    <phoneticPr fontId="1"/>
  </si>
  <si>
    <t>LLR=</t>
    <phoneticPr fontId="1"/>
  </si>
  <si>
    <t>LUD=</t>
    <phoneticPr fontId="1"/>
  </si>
  <si>
    <t>ex=</t>
    <phoneticPr fontId="1"/>
  </si>
  <si>
    <t>ey=</t>
    <phoneticPr fontId="1"/>
  </si>
  <si>
    <t>長期</t>
    <rPh sb="0" eb="2">
      <t>チョウキ</t>
    </rPh>
    <phoneticPr fontId="5"/>
  </si>
  <si>
    <t>1.設計条件</t>
    <rPh sb="2" eb="4">
      <t>セッケイ</t>
    </rPh>
    <rPh sb="4" eb="6">
      <t>ジョウケン</t>
    </rPh>
    <phoneticPr fontId="5"/>
  </si>
  <si>
    <t>コンクリート強度,Fc=</t>
    <rPh sb="6" eb="8">
      <t>キョウド</t>
    </rPh>
    <phoneticPr fontId="5"/>
  </si>
  <si>
    <r>
      <t>(N/mm</t>
    </r>
    <r>
      <rPr>
        <vertAlign val="superscript"/>
        <sz val="9"/>
        <rFont val="Meiryo UI"/>
        <family val="3"/>
        <charset val="128"/>
      </rPr>
      <t>2</t>
    </r>
    <r>
      <rPr>
        <sz val="9"/>
        <rFont val="Meiryo UI"/>
        <family val="3"/>
        <charset val="128"/>
      </rPr>
      <t>)</t>
    </r>
    <phoneticPr fontId="5"/>
  </si>
  <si>
    <t>fs=</t>
    <phoneticPr fontId="5"/>
  </si>
  <si>
    <t>主筋:</t>
    <rPh sb="0" eb="2">
      <t>シュキン</t>
    </rPh>
    <phoneticPr fontId="5"/>
  </si>
  <si>
    <t>ft=</t>
    <phoneticPr fontId="5"/>
  </si>
  <si>
    <t>SD295</t>
    <phoneticPr fontId="5"/>
  </si>
  <si>
    <t>wft=</t>
    <phoneticPr fontId="5"/>
  </si>
  <si>
    <t>D13</t>
    <phoneticPr fontId="5"/>
  </si>
  <si>
    <t>mm</t>
    <phoneticPr fontId="5"/>
  </si>
  <si>
    <t>梁断面,B=</t>
    <rPh sb="0" eb="1">
      <t>ハリ</t>
    </rPh>
    <rPh sb="1" eb="3">
      <t>ダンメン</t>
    </rPh>
    <phoneticPr fontId="5"/>
  </si>
  <si>
    <t>D=</t>
    <phoneticPr fontId="5"/>
  </si>
  <si>
    <t>at=</t>
    <phoneticPr fontId="5"/>
  </si>
  <si>
    <t>mm2</t>
    <phoneticPr fontId="5"/>
  </si>
  <si>
    <t>かぶり=</t>
    <phoneticPr fontId="5"/>
  </si>
  <si>
    <t>dt1=</t>
    <phoneticPr fontId="5"/>
  </si>
  <si>
    <t>d=D-dt=</t>
    <phoneticPr fontId="5"/>
  </si>
  <si>
    <t>j=7/8*d=</t>
    <phoneticPr fontId="5"/>
  </si>
  <si>
    <t>あばら筋：</t>
    <rPh sb="3" eb="4">
      <t>キン</t>
    </rPh>
    <phoneticPr fontId="5"/>
  </si>
  <si>
    <t>@=</t>
    <phoneticPr fontId="5"/>
  </si>
  <si>
    <t>端部の長期せん断力：</t>
    <rPh sb="0" eb="2">
      <t>タンブ</t>
    </rPh>
    <rPh sb="3" eb="5">
      <t>チョウキ</t>
    </rPh>
    <rPh sb="7" eb="8">
      <t>ダン</t>
    </rPh>
    <rPh sb="8" eb="9">
      <t>リョク</t>
    </rPh>
    <phoneticPr fontId="5"/>
  </si>
  <si>
    <t>kN</t>
    <phoneticPr fontId="5"/>
  </si>
  <si>
    <t>長期曲げモーメント：</t>
    <rPh sb="0" eb="2">
      <t>チョウキ</t>
    </rPh>
    <rPh sb="2" eb="3">
      <t>マ</t>
    </rPh>
    <phoneticPr fontId="5"/>
  </si>
  <si>
    <t>kNm</t>
    <phoneticPr fontId="5"/>
  </si>
  <si>
    <t>端部引張鉄筋比：</t>
    <rPh sb="0" eb="2">
      <t>タンブ</t>
    </rPh>
    <rPh sb="2" eb="4">
      <t>インチョウ</t>
    </rPh>
    <rPh sb="4" eb="6">
      <t>テッキン</t>
    </rPh>
    <rPh sb="6" eb="7">
      <t>ヒ</t>
    </rPh>
    <phoneticPr fontId="5"/>
  </si>
  <si>
    <t>pt=at/(B*d)=</t>
    <phoneticPr fontId="5"/>
  </si>
  <si>
    <t>あばら筋比：</t>
    <rPh sb="3" eb="4">
      <t>キン</t>
    </rPh>
    <rPh sb="4" eb="5">
      <t>ヒ</t>
    </rPh>
    <phoneticPr fontId="5"/>
  </si>
  <si>
    <t>pw=aw/(B*@)=</t>
    <phoneticPr fontId="5"/>
  </si>
  <si>
    <t>長期せん断強度：</t>
    <rPh sb="0" eb="2">
      <t>チョウキ</t>
    </rPh>
    <rPh sb="4" eb="5">
      <t>ダン</t>
    </rPh>
    <rPh sb="5" eb="7">
      <t>キョウド</t>
    </rPh>
    <phoneticPr fontId="5"/>
  </si>
  <si>
    <t>6-D13</t>
    <phoneticPr fontId="5"/>
  </si>
  <si>
    <t>b*j*α*fs</t>
    <phoneticPr fontId="5"/>
  </si>
  <si>
    <t>QaL=</t>
    <phoneticPr fontId="5"/>
  </si>
  <si>
    <t>α:</t>
    <phoneticPr fontId="1"/>
  </si>
  <si>
    <t>α'=4/{M/(Q*d+1)}]=</t>
    <phoneticPr fontId="5"/>
  </si>
  <si>
    <t>b*j*fs=</t>
    <phoneticPr fontId="1"/>
  </si>
  <si>
    <t>QL/QaL=</t>
    <phoneticPr fontId="5"/>
  </si>
  <si>
    <t>主筋中心までの距離：</t>
    <rPh sb="0" eb="2">
      <t>シュキン</t>
    </rPh>
    <rPh sb="2" eb="4">
      <t>チュウシン</t>
    </rPh>
    <rPh sb="7" eb="9">
      <t>キョリ</t>
    </rPh>
    <phoneticPr fontId="5"/>
  </si>
  <si>
    <t>フーチングの出寸法、L’＝</t>
    <rPh sb="6" eb="7">
      <t>デ</t>
    </rPh>
    <rPh sb="7" eb="9">
      <t>スンポウ</t>
    </rPh>
    <phoneticPr fontId="5"/>
  </si>
  <si>
    <t>かご筋:</t>
    <rPh sb="2" eb="3">
      <t>キン</t>
    </rPh>
    <phoneticPr fontId="5"/>
  </si>
  <si>
    <t>フーチングの検討</t>
    <rPh sb="6" eb="8">
      <t>ケントウ</t>
    </rPh>
    <phoneticPr fontId="5"/>
  </si>
  <si>
    <t>2.曲げ設計</t>
    <rPh sb="2" eb="3">
      <t>マ</t>
    </rPh>
    <rPh sb="4" eb="6">
      <t>セッケイ</t>
    </rPh>
    <phoneticPr fontId="1"/>
  </si>
  <si>
    <t>長期曲げ強度：</t>
    <rPh sb="0" eb="2">
      <t>チョウキ</t>
    </rPh>
    <rPh sb="2" eb="3">
      <t>マ</t>
    </rPh>
    <rPh sb="4" eb="6">
      <t>キョウド</t>
    </rPh>
    <phoneticPr fontId="5"/>
  </si>
  <si>
    <t>フーチング主筋：</t>
    <rPh sb="5" eb="7">
      <t>シュキン</t>
    </rPh>
    <phoneticPr fontId="5"/>
  </si>
  <si>
    <t>フーチングの有効せい：</t>
    <rPh sb="6" eb="8">
      <t>ユウコウ</t>
    </rPh>
    <phoneticPr fontId="5"/>
  </si>
  <si>
    <t>3.せん断設計</t>
    <rPh sb="4" eb="5">
      <t>ダン</t>
    </rPh>
    <rPh sb="5" eb="7">
      <t>セッケイ</t>
    </rPh>
    <phoneticPr fontId="5"/>
  </si>
  <si>
    <t>ｋNm</t>
    <phoneticPr fontId="1"/>
  </si>
  <si>
    <t>ML=</t>
    <phoneticPr fontId="5"/>
  </si>
  <si>
    <t>QL=</t>
    <phoneticPr fontId="5"/>
  </si>
  <si>
    <t>MaL=at*ft*j=</t>
    <phoneticPr fontId="1"/>
  </si>
  <si>
    <t>ML/MaL=</t>
    <phoneticPr fontId="5"/>
  </si>
  <si>
    <t>4.原設計との比較</t>
    <rPh sb="2" eb="5">
      <t>ゲンセッケイ</t>
    </rPh>
    <rPh sb="7" eb="9">
      <t>ヒカク</t>
    </rPh>
    <phoneticPr fontId="1"/>
  </si>
  <si>
    <t>申請時</t>
    <rPh sb="0" eb="2">
      <t>シンセイ</t>
    </rPh>
    <rPh sb="2" eb="3">
      <t>ジ</t>
    </rPh>
    <phoneticPr fontId="1"/>
  </si>
  <si>
    <t>変更後</t>
    <rPh sb="0" eb="2">
      <t>ヘンコウ</t>
    </rPh>
    <rPh sb="2" eb="3">
      <t>ゴ</t>
    </rPh>
    <phoneticPr fontId="1"/>
  </si>
  <si>
    <t>2-D13</t>
    <phoneticPr fontId="1"/>
  </si>
  <si>
    <t>9-D13</t>
    <phoneticPr fontId="5"/>
  </si>
  <si>
    <t>fa=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</si>
</sst>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0.000_ "/>
    <numFmt numFmtId="177" formatCode="0_ "/>
    <numFmt numFmtId="178" formatCode="0_);[Red]\(0\)"/>
    <numFmt numFmtId="179" formatCode="0.000"/>
    <numFmt numFmtId="180" formatCode="0.0"/>
    <numFmt numFmtId="181" formatCode="0.00_);[Red]\(0.00\)"/>
    <numFmt numFmtId="182" formatCode="0.000_);[Red]\(0.000\)"/>
    <numFmt numFmtId="183" formatCode="0.0_ "/>
    <numFmt numFmtId="184" formatCode="0.0000"/>
    <numFmt numFmtId="185" formatCode="0.00000"/>
    <numFmt numFmtId="186" formatCode="0.00_ "/>
  </numFmts>
  <fonts count="9" x14ac:knownFonts="1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明朝"/>
      <family val="1"/>
      <charset val="128"/>
    </font>
    <font>
      <sz val="9"/>
      <name val="Meiryo UI"/>
      <family val="3"/>
      <charset val="128"/>
    </font>
    <font>
      <sz val="11"/>
      <color rgb="FF000000"/>
      <name val="ＭＳ Ｐゴシック"/>
      <family val="3"/>
      <charset val="128"/>
    </font>
    <font>
      <sz val="6"/>
      <name val="ＭＳ Ｐ明朝"/>
      <family val="1"/>
      <charset val="128"/>
    </font>
    <font>
      <sz val="9"/>
      <color rgb="FF0070C0"/>
      <name val="Meiryo UI"/>
      <family val="3"/>
      <charset val="128"/>
    </font>
    <font>
      <vertAlign val="superscript"/>
      <sz val="9"/>
      <name val="Meiryo UI"/>
      <family val="3"/>
      <charset val="128"/>
    </font>
    <font>
      <sz val="10"/>
      <name val="Meiryo UI"/>
      <family val="3"/>
      <charset val="128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</borders>
  <cellStyleXfs count="2">
    <xf numFmtId="0" fontId="0" fillId="0" borderId="0"/>
    <xf numFmtId="0" fontId="2" fillId="0" borderId="0">
      <alignment vertical="center"/>
    </xf>
  </cellStyleXfs>
  <cellXfs count="104">
    <xf numFmtId="0" fontId="0" fillId="0" borderId="0" xfId="0"/>
    <xf numFmtId="0" fontId="0" fillId="0" borderId="0" xfId="0" applyAlignment="1">
      <alignment horizontal="right"/>
    </xf>
    <xf numFmtId="177" fontId="0" fillId="0" borderId="0" xfId="0" applyNumberFormat="1"/>
    <xf numFmtId="180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179" fontId="0" fillId="0" borderId="0" xfId="0" applyNumberFormat="1" applyAlignment="1">
      <alignment horizontal="center"/>
    </xf>
    <xf numFmtId="0" fontId="0" fillId="0" borderId="0" xfId="0" applyAlignment="1"/>
    <xf numFmtId="178" fontId="0" fillId="0" borderId="0" xfId="0" applyNumberFormat="1" applyAlignment="1">
      <alignment horizontal="center"/>
    </xf>
    <xf numFmtId="181" fontId="0" fillId="0" borderId="0" xfId="0" applyNumberFormat="1" applyAlignment="1">
      <alignment horizontal="center"/>
    </xf>
    <xf numFmtId="182" fontId="0" fillId="0" borderId="0" xfId="0" applyNumberFormat="1" applyAlignment="1">
      <alignment horizontal="center"/>
    </xf>
    <xf numFmtId="176" fontId="0" fillId="0" borderId="0" xfId="0" applyNumberFormat="1" applyAlignment="1">
      <alignment horizontal="center"/>
    </xf>
    <xf numFmtId="177" fontId="0" fillId="0" borderId="0" xfId="0" applyNumberFormat="1" applyAlignment="1">
      <alignment horizontal="center"/>
    </xf>
    <xf numFmtId="0" fontId="0" fillId="0" borderId="0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2" fontId="0" fillId="0" borderId="14" xfId="0" applyNumberFormat="1" applyBorder="1" applyAlignment="1">
      <alignment horizontal="center"/>
    </xf>
    <xf numFmtId="180" fontId="0" fillId="0" borderId="14" xfId="0" applyNumberFormat="1" applyBorder="1" applyAlignment="1">
      <alignment horizontal="center"/>
    </xf>
    <xf numFmtId="180" fontId="0" fillId="0" borderId="0" xfId="0" applyNumberFormat="1" applyBorder="1" applyAlignment="1">
      <alignment horizontal="center"/>
    </xf>
    <xf numFmtId="0" fontId="0" fillId="0" borderId="10" xfId="0" applyBorder="1"/>
    <xf numFmtId="0" fontId="0" fillId="0" borderId="10" xfId="0" applyBorder="1" applyAlignment="1">
      <alignment horizontal="right"/>
    </xf>
    <xf numFmtId="0" fontId="3" fillId="0" borderId="0" xfId="1" applyFont="1">
      <alignment vertical="center"/>
    </xf>
    <xf numFmtId="177" fontId="3" fillId="0" borderId="0" xfId="1" applyNumberFormat="1" applyFont="1">
      <alignment vertical="center"/>
    </xf>
    <xf numFmtId="0" fontId="3" fillId="0" borderId="0" xfId="1" applyFont="1" applyAlignment="1">
      <alignment horizontal="right" vertical="center"/>
    </xf>
    <xf numFmtId="0" fontId="3" fillId="0" borderId="0" xfId="1" applyFont="1" applyBorder="1" applyAlignment="1">
      <alignment horizontal="left" vertical="center"/>
    </xf>
    <xf numFmtId="0" fontId="3" fillId="0" borderId="0" xfId="1" applyFont="1" applyAlignment="1">
      <alignment horizontal="left" vertical="center"/>
    </xf>
    <xf numFmtId="0" fontId="3" fillId="0" borderId="10" xfId="1" applyFont="1" applyBorder="1" applyAlignment="1">
      <alignment horizontal="center" vertical="center"/>
    </xf>
    <xf numFmtId="0" fontId="3" fillId="0" borderId="4" xfId="1" applyFont="1" applyBorder="1" applyAlignment="1">
      <alignment horizontal="right" vertical="center"/>
    </xf>
    <xf numFmtId="0" fontId="3" fillId="0" borderId="7" xfId="1" applyFont="1" applyBorder="1" applyAlignment="1">
      <alignment horizontal="left" vertical="center"/>
    </xf>
    <xf numFmtId="0" fontId="3" fillId="0" borderId="7" xfId="1" applyFont="1" applyBorder="1" applyAlignment="1">
      <alignment horizontal="right" vertical="center"/>
    </xf>
    <xf numFmtId="0" fontId="3" fillId="0" borderId="12" xfId="1" applyFont="1" applyBorder="1" applyAlignment="1">
      <alignment horizontal="left" vertical="center"/>
    </xf>
    <xf numFmtId="0" fontId="3" fillId="0" borderId="3" xfId="1" applyFont="1" applyBorder="1" applyAlignment="1">
      <alignment horizontal="right" vertical="center"/>
    </xf>
    <xf numFmtId="0" fontId="3" fillId="0" borderId="0" xfId="1" applyFont="1" applyBorder="1">
      <alignment vertical="center"/>
    </xf>
    <xf numFmtId="0" fontId="3" fillId="0" borderId="11" xfId="1" applyFont="1" applyBorder="1" applyAlignment="1">
      <alignment horizontal="left" vertical="center"/>
    </xf>
    <xf numFmtId="0" fontId="3" fillId="0" borderId="0" xfId="1" applyFont="1" applyBorder="1" applyAlignment="1">
      <alignment horizontal="right" vertical="center"/>
    </xf>
    <xf numFmtId="0" fontId="3" fillId="0" borderId="11" xfId="1" applyFont="1" applyBorder="1">
      <alignment vertical="center"/>
    </xf>
    <xf numFmtId="0" fontId="3" fillId="0" borderId="3" xfId="1" applyFont="1" applyBorder="1">
      <alignment vertical="center"/>
    </xf>
    <xf numFmtId="0" fontId="3" fillId="0" borderId="6" xfId="1" applyFont="1" applyBorder="1">
      <alignment vertical="center"/>
    </xf>
    <xf numFmtId="0" fontId="3" fillId="0" borderId="8" xfId="1" applyFont="1" applyBorder="1">
      <alignment vertical="center"/>
    </xf>
    <xf numFmtId="0" fontId="3" fillId="0" borderId="9" xfId="1" applyFont="1" applyBorder="1">
      <alignment vertical="center"/>
    </xf>
    <xf numFmtId="0" fontId="3" fillId="0" borderId="2" xfId="1" applyFont="1" applyBorder="1" applyAlignment="1">
      <alignment horizontal="center" vertical="center"/>
    </xf>
    <xf numFmtId="0" fontId="3" fillId="0" borderId="5" xfId="1" applyFont="1" applyBorder="1" applyAlignment="1">
      <alignment horizontal="center" vertical="center"/>
    </xf>
    <xf numFmtId="0" fontId="3" fillId="0" borderId="5" xfId="1" applyFont="1" applyBorder="1">
      <alignment vertical="center"/>
    </xf>
    <xf numFmtId="180" fontId="3" fillId="0" borderId="5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center" vertical="center"/>
    </xf>
    <xf numFmtId="2" fontId="3" fillId="0" borderId="1" xfId="1" applyNumberFormat="1" applyFont="1" applyBorder="1" applyAlignment="1">
      <alignment horizontal="center" vertical="center"/>
    </xf>
    <xf numFmtId="2" fontId="3" fillId="0" borderId="5" xfId="1" applyNumberFormat="1" applyFont="1" applyBorder="1" applyAlignment="1">
      <alignment horizontal="center" vertical="center"/>
    </xf>
    <xf numFmtId="2" fontId="3" fillId="0" borderId="6" xfId="1" applyNumberFormat="1" applyFont="1" applyBorder="1" applyAlignment="1">
      <alignment horizontal="center" vertical="center"/>
    </xf>
    <xf numFmtId="180" fontId="3" fillId="0" borderId="11" xfId="1" applyNumberFormat="1" applyFont="1" applyBorder="1" applyAlignment="1">
      <alignment horizontal="left" vertical="center"/>
    </xf>
    <xf numFmtId="176" fontId="3" fillId="0" borderId="0" xfId="1" applyNumberFormat="1" applyFont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3" fillId="0" borderId="15" xfId="1" applyFont="1" applyBorder="1" applyAlignment="1">
      <alignment horizontal="center" vertical="center"/>
    </xf>
    <xf numFmtId="0" fontId="3" fillId="0" borderId="16" xfId="1" applyFont="1" applyBorder="1" applyAlignment="1">
      <alignment horizontal="center" vertical="center"/>
    </xf>
    <xf numFmtId="176" fontId="3" fillId="0" borderId="0" xfId="1" applyNumberFormat="1" applyFont="1">
      <alignment vertical="center"/>
    </xf>
    <xf numFmtId="179" fontId="3" fillId="0" borderId="0" xfId="1" applyNumberFormat="1" applyFont="1">
      <alignment vertical="center"/>
    </xf>
    <xf numFmtId="0" fontId="6" fillId="0" borderId="0" xfId="1" applyFont="1" applyAlignment="1">
      <alignment horizontal="center" vertical="center"/>
    </xf>
    <xf numFmtId="177" fontId="6" fillId="0" borderId="0" xfId="1" applyNumberFormat="1" applyFont="1" applyAlignment="1">
      <alignment horizontal="center" vertical="center"/>
    </xf>
    <xf numFmtId="0" fontId="6" fillId="0" borderId="0" xfId="1" applyFont="1">
      <alignment vertical="center"/>
    </xf>
    <xf numFmtId="0" fontId="3" fillId="0" borderId="0" xfId="1" applyFont="1" applyBorder="1" applyAlignment="1">
      <alignment horizontal="center" vertical="center"/>
    </xf>
    <xf numFmtId="176" fontId="3" fillId="0" borderId="0" xfId="1" applyNumberFormat="1" applyFont="1" applyAlignment="1">
      <alignment horizontal="right" vertical="center"/>
    </xf>
    <xf numFmtId="176" fontId="3" fillId="0" borderId="0" xfId="1" applyNumberFormat="1" applyFont="1" applyAlignment="1">
      <alignment horizontal="left" vertical="center"/>
    </xf>
    <xf numFmtId="0" fontId="3" fillId="0" borderId="0" xfId="1" applyFont="1" applyAlignment="1">
      <alignment horizontal="center" vertical="center"/>
    </xf>
    <xf numFmtId="183" fontId="3" fillId="0" borderId="0" xfId="1" applyNumberFormat="1" applyFont="1" applyAlignment="1">
      <alignment horizontal="center" vertical="center"/>
    </xf>
    <xf numFmtId="180" fontId="3" fillId="0" borderId="0" xfId="1" applyNumberFormat="1" applyFont="1" applyAlignment="1">
      <alignment horizontal="center" vertical="center"/>
    </xf>
    <xf numFmtId="180" fontId="3" fillId="0" borderId="0" xfId="1" applyNumberFormat="1" applyFont="1" applyBorder="1" applyAlignment="1">
      <alignment horizontal="center" vertical="center"/>
    </xf>
    <xf numFmtId="180" fontId="3" fillId="0" borderId="0" xfId="1" applyNumberFormat="1" applyFont="1">
      <alignment vertical="center"/>
    </xf>
    <xf numFmtId="176" fontId="3" fillId="0" borderId="0" xfId="1" quotePrefix="1" applyNumberFormat="1" applyFont="1" applyAlignment="1">
      <alignment horizontal="right" vertical="center"/>
    </xf>
    <xf numFmtId="1" fontId="3" fillId="0" borderId="0" xfId="1" applyNumberFormat="1" applyFont="1" applyAlignment="1">
      <alignment horizontal="center" vertical="center"/>
    </xf>
    <xf numFmtId="184" fontId="3" fillId="0" borderId="0" xfId="1" applyNumberFormat="1" applyFont="1" applyAlignment="1">
      <alignment horizontal="left" vertical="center"/>
    </xf>
    <xf numFmtId="179" fontId="3" fillId="0" borderId="0" xfId="1" applyNumberFormat="1" applyFont="1" applyAlignment="1">
      <alignment horizontal="left" vertical="center"/>
    </xf>
    <xf numFmtId="2" fontId="3" fillId="0" borderId="0" xfId="1" applyNumberFormat="1" applyFont="1" applyAlignment="1">
      <alignment horizontal="left" vertical="center"/>
    </xf>
    <xf numFmtId="1" fontId="3" fillId="0" borderId="0" xfId="1" applyNumberFormat="1" applyFont="1" applyAlignment="1">
      <alignment horizontal="left" vertical="center"/>
    </xf>
    <xf numFmtId="2" fontId="3" fillId="0" borderId="0" xfId="1" applyNumberFormat="1" applyFont="1" applyAlignment="1">
      <alignment horizontal="center" vertical="center"/>
    </xf>
    <xf numFmtId="2" fontId="3" fillId="0" borderId="0" xfId="1" applyNumberFormat="1" applyFont="1" applyAlignment="1">
      <alignment horizontal="right" vertical="center"/>
    </xf>
    <xf numFmtId="183" fontId="3" fillId="0" borderId="0" xfId="1" applyNumberFormat="1" applyFont="1" applyAlignment="1">
      <alignment horizontal="right" vertical="center"/>
    </xf>
    <xf numFmtId="179" fontId="3" fillId="0" borderId="0" xfId="1" applyNumberFormat="1" applyFont="1" applyAlignment="1">
      <alignment horizontal="center" vertical="center"/>
    </xf>
    <xf numFmtId="185" fontId="3" fillId="0" borderId="0" xfId="1" applyNumberFormat="1" applyFont="1" applyAlignment="1">
      <alignment horizontal="right" vertical="center"/>
    </xf>
    <xf numFmtId="184" fontId="3" fillId="0" borderId="0" xfId="1" applyNumberFormat="1" applyFont="1" applyAlignment="1">
      <alignment horizontal="center" vertical="center"/>
    </xf>
    <xf numFmtId="180" fontId="3" fillId="0" borderId="0" xfId="1" applyNumberFormat="1" applyFont="1" applyAlignment="1">
      <alignment horizontal="left" vertical="center"/>
    </xf>
    <xf numFmtId="0" fontId="8" fillId="0" borderId="0" xfId="1" applyFont="1">
      <alignment vertical="center"/>
    </xf>
    <xf numFmtId="186" fontId="3" fillId="0" borderId="0" xfId="1" applyNumberFormat="1" applyFont="1" applyAlignment="1">
      <alignment horizontal="center" vertical="center"/>
    </xf>
    <xf numFmtId="176" fontId="3" fillId="0" borderId="0" xfId="1" applyNumberFormat="1" applyFont="1" applyAlignment="1">
      <alignment horizontal="center" vertical="center" shrinkToFit="1"/>
    </xf>
    <xf numFmtId="0" fontId="3" fillId="0" borderId="0" xfId="1" applyFont="1" applyAlignment="1">
      <alignment horizontal="center" vertical="center" shrinkToFit="1"/>
    </xf>
    <xf numFmtId="0" fontId="3" fillId="0" borderId="5" xfId="1" applyFont="1" applyBorder="1" applyAlignment="1">
      <alignment horizontal="center" vertical="center"/>
    </xf>
    <xf numFmtId="180" fontId="3" fillId="0" borderId="5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center" vertical="center"/>
    </xf>
    <xf numFmtId="2" fontId="3" fillId="0" borderId="1" xfId="1" applyNumberFormat="1" applyFont="1" applyBorder="1" applyAlignment="1">
      <alignment horizontal="center" vertical="center"/>
    </xf>
    <xf numFmtId="0" fontId="3" fillId="0" borderId="10" xfId="1" applyFont="1" applyBorder="1" applyAlignment="1">
      <alignment horizontal="center" vertical="center"/>
    </xf>
    <xf numFmtId="0" fontId="3" fillId="0" borderId="2" xfId="1" applyFont="1" applyBorder="1" applyAlignment="1">
      <alignment horizontal="center" vertical="center"/>
    </xf>
    <xf numFmtId="1" fontId="3" fillId="0" borderId="5" xfId="1" applyNumberFormat="1" applyFont="1" applyBorder="1" applyAlignment="1">
      <alignment horizontal="center" vertical="center"/>
    </xf>
    <xf numFmtId="0" fontId="3" fillId="0" borderId="5" xfId="1" applyFont="1" applyBorder="1">
      <alignment vertical="center"/>
    </xf>
    <xf numFmtId="177" fontId="3" fillId="0" borderId="5" xfId="1" applyNumberFormat="1" applyFont="1" applyBorder="1" applyAlignment="1">
      <alignment horizontal="center" vertical="center"/>
    </xf>
    <xf numFmtId="0" fontId="3" fillId="0" borderId="5" xfId="1" applyFont="1" applyBorder="1" applyAlignment="1">
      <alignment horizontal="center" vertical="center"/>
    </xf>
    <xf numFmtId="180" fontId="3" fillId="0" borderId="5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center" vertical="center"/>
    </xf>
    <xf numFmtId="2" fontId="3" fillId="0" borderId="1" xfId="1" applyNumberFormat="1" applyFont="1" applyBorder="1" applyAlignment="1">
      <alignment horizontal="center" vertical="center"/>
    </xf>
    <xf numFmtId="0" fontId="3" fillId="0" borderId="10" xfId="1" applyFont="1" applyBorder="1" applyAlignment="1">
      <alignment horizontal="center" vertical="center"/>
    </xf>
    <xf numFmtId="0" fontId="3" fillId="0" borderId="2" xfId="1" applyFont="1" applyBorder="1" applyAlignment="1">
      <alignment horizontal="center" vertical="center" textRotation="255"/>
    </xf>
    <xf numFmtId="0" fontId="3" fillId="0" borderId="5" xfId="1" applyFont="1" applyBorder="1" applyAlignment="1">
      <alignment horizontal="center" vertical="center" textRotation="255"/>
    </xf>
    <xf numFmtId="0" fontId="3" fillId="0" borderId="1" xfId="1" applyFont="1" applyBorder="1" applyAlignment="1">
      <alignment horizontal="center" vertical="center" textRotation="255"/>
    </xf>
    <xf numFmtId="0" fontId="3" fillId="0" borderId="2" xfId="1" applyFont="1" applyBorder="1" applyAlignment="1">
      <alignment horizontal="center" vertical="center"/>
    </xf>
    <xf numFmtId="177" fontId="3" fillId="0" borderId="10" xfId="1" applyNumberFormat="1" applyFont="1" applyBorder="1" applyAlignment="1">
      <alignment horizontal="center" vertical="center"/>
    </xf>
    <xf numFmtId="0" fontId="3" fillId="0" borderId="10" xfId="1" applyFont="1" applyBorder="1" applyAlignment="1">
      <alignment horizontal="center" vertical="center" textRotation="255"/>
    </xf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137160</xdr:colOff>
          <xdr:row>16</xdr:row>
          <xdr:rowOff>0</xdr:rowOff>
        </xdr:from>
        <xdr:to>
          <xdr:col>1</xdr:col>
          <xdr:colOff>571500</xdr:colOff>
          <xdr:row>17</xdr:row>
          <xdr:rowOff>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2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2004" rIns="54864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ボタン 3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21</xdr:row>
      <xdr:rowOff>24765</xdr:rowOff>
    </xdr:from>
    <xdr:to>
      <xdr:col>4</xdr:col>
      <xdr:colOff>0</xdr:colOff>
      <xdr:row>25</xdr:row>
      <xdr:rowOff>131445</xdr:rowOff>
    </xdr:to>
    <xdr:sp macro="" textlink="">
      <xdr:nvSpPr>
        <xdr:cNvPr id="50" name="正方形/長方形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SpPr/>
      </xdr:nvSpPr>
      <xdr:spPr>
        <a:xfrm>
          <a:off x="902970" y="3312795"/>
          <a:ext cx="1463040" cy="731520"/>
        </a:xfrm>
        <a:prstGeom prst="rect">
          <a:avLst/>
        </a:prstGeom>
        <a:noFill/>
        <a:ln w="12700" cap="flat" cmpd="sng" algn="ctr">
          <a:solidFill>
            <a:schemeClr val="tx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18</xdr:row>
      <xdr:rowOff>112395</xdr:rowOff>
    </xdr:from>
    <xdr:to>
      <xdr:col>4</xdr:col>
      <xdr:colOff>0</xdr:colOff>
      <xdr:row>18</xdr:row>
      <xdr:rowOff>112395</xdr:rowOff>
    </xdr:to>
    <xdr:cxnSp macro="">
      <xdr:nvCxnSpPr>
        <xdr:cNvPr id="51" name="line01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CxnSpPr/>
      </xdr:nvCxnSpPr>
      <xdr:spPr>
        <a:xfrm>
          <a:off x="902970" y="2931795"/>
          <a:ext cx="146304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477520</xdr:colOff>
      <xdr:row>17</xdr:row>
      <xdr:rowOff>52705</xdr:rowOff>
    </xdr:from>
    <xdr:to>
      <xdr:col>3</xdr:col>
      <xdr:colOff>254000</xdr:colOff>
      <xdr:row>18</xdr:row>
      <xdr:rowOff>86995</xdr:rowOff>
    </xdr:to>
    <xdr:sp macro="" textlink="">
      <xdr:nvSpPr>
        <xdr:cNvPr id="52" name="textbox01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SpPr txBox="1"/>
      </xdr:nvSpPr>
      <xdr:spPr>
        <a:xfrm>
          <a:off x="1380490" y="2715895"/>
          <a:ext cx="508000" cy="190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2000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19</xdr:row>
      <xdr:rowOff>146685</xdr:rowOff>
    </xdr:from>
    <xdr:to>
      <xdr:col>4</xdr:col>
      <xdr:colOff>0</xdr:colOff>
      <xdr:row>19</xdr:row>
      <xdr:rowOff>146685</xdr:rowOff>
    </xdr:to>
    <xdr:cxnSp macro="">
      <xdr:nvCxnSpPr>
        <xdr:cNvPr id="53" name="line01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CxnSpPr/>
      </xdr:nvCxnSpPr>
      <xdr:spPr>
        <a:xfrm>
          <a:off x="902970" y="3122295"/>
          <a:ext cx="146304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18</xdr:row>
      <xdr:rowOff>99695</xdr:rowOff>
    </xdr:from>
    <xdr:to>
      <xdr:col>2</xdr:col>
      <xdr:colOff>0</xdr:colOff>
      <xdr:row>20</xdr:row>
      <xdr:rowOff>117475</xdr:rowOff>
    </xdr:to>
    <xdr:cxnSp macro="">
      <xdr:nvCxnSpPr>
        <xdr:cNvPr id="54" name="line01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CxnSpPr/>
      </xdr:nvCxnSpPr>
      <xdr:spPr>
        <a:xfrm flipV="1">
          <a:off x="902970" y="2919095"/>
          <a:ext cx="0" cy="3302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18</xdr:row>
      <xdr:rowOff>99695</xdr:rowOff>
    </xdr:from>
    <xdr:to>
      <xdr:col>4</xdr:col>
      <xdr:colOff>0</xdr:colOff>
      <xdr:row>20</xdr:row>
      <xdr:rowOff>117475</xdr:rowOff>
    </xdr:to>
    <xdr:cxnSp macro="">
      <xdr:nvCxnSpPr>
        <xdr:cNvPr id="55" name="line01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CxnSpPr/>
      </xdr:nvCxnSpPr>
      <xdr:spPr>
        <a:xfrm flipV="1">
          <a:off x="2366010" y="2919095"/>
          <a:ext cx="0" cy="3302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18</xdr:row>
      <xdr:rowOff>99695</xdr:rowOff>
    </xdr:from>
    <xdr:to>
      <xdr:col>4</xdr:col>
      <xdr:colOff>0</xdr:colOff>
      <xdr:row>20</xdr:row>
      <xdr:rowOff>117475</xdr:rowOff>
    </xdr:to>
    <xdr:cxnSp macro="">
      <xdr:nvCxnSpPr>
        <xdr:cNvPr id="56" name="line01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CxnSpPr/>
      </xdr:nvCxnSpPr>
      <xdr:spPr>
        <a:xfrm flipV="1">
          <a:off x="2366010" y="2919095"/>
          <a:ext cx="0" cy="3302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18</xdr:row>
      <xdr:rowOff>99695</xdr:rowOff>
    </xdr:from>
    <xdr:to>
      <xdr:col>4</xdr:col>
      <xdr:colOff>0</xdr:colOff>
      <xdr:row>20</xdr:row>
      <xdr:rowOff>117475</xdr:rowOff>
    </xdr:to>
    <xdr:cxnSp macro="">
      <xdr:nvCxnSpPr>
        <xdr:cNvPr id="57" name="line01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CxnSpPr/>
      </xdr:nvCxnSpPr>
      <xdr:spPr>
        <a:xfrm flipV="1">
          <a:off x="2366010" y="2919095"/>
          <a:ext cx="0" cy="3302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438912</xdr:colOff>
      <xdr:row>19</xdr:row>
      <xdr:rowOff>133985</xdr:rowOff>
    </xdr:from>
    <xdr:to>
      <xdr:col>2</xdr:col>
      <xdr:colOff>438912</xdr:colOff>
      <xdr:row>20</xdr:row>
      <xdr:rowOff>117475</xdr:rowOff>
    </xdr:to>
    <xdr:cxnSp macro="">
      <xdr:nvCxnSpPr>
        <xdr:cNvPr id="58" name="line01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CxnSpPr/>
      </xdr:nvCxnSpPr>
      <xdr:spPr>
        <a:xfrm flipV="1">
          <a:off x="1341882" y="3109595"/>
          <a:ext cx="0" cy="1397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18</xdr:row>
      <xdr:rowOff>86995</xdr:rowOff>
    </xdr:from>
    <xdr:to>
      <xdr:col>2</xdr:col>
      <xdr:colOff>508000</xdr:colOff>
      <xdr:row>19</xdr:row>
      <xdr:rowOff>121285</xdr:rowOff>
    </xdr:to>
    <xdr:sp macro="" textlink="">
      <xdr:nvSpPr>
        <xdr:cNvPr id="59" name="textbox01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 txBox="1"/>
      </xdr:nvSpPr>
      <xdr:spPr>
        <a:xfrm>
          <a:off x="902970" y="2906395"/>
          <a:ext cx="508000" cy="190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600</a:t>
          </a:r>
          <a:endParaRPr kumimoji="1" lang="ja-JP" altLang="en-US" sz="1100"/>
        </a:p>
      </xdr:txBody>
    </xdr:sp>
    <xdr:clientData/>
  </xdr:twoCellAnchor>
  <xdr:twoCellAnchor>
    <xdr:from>
      <xdr:col>2</xdr:col>
      <xdr:colOff>438912</xdr:colOff>
      <xdr:row>18</xdr:row>
      <xdr:rowOff>86995</xdr:rowOff>
    </xdr:from>
    <xdr:to>
      <xdr:col>3</xdr:col>
      <xdr:colOff>164592</xdr:colOff>
      <xdr:row>19</xdr:row>
      <xdr:rowOff>121285</xdr:rowOff>
    </xdr:to>
    <xdr:sp macro="" textlink="">
      <xdr:nvSpPr>
        <xdr:cNvPr id="60" name="textbox01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 txBox="1"/>
      </xdr:nvSpPr>
      <xdr:spPr>
        <a:xfrm>
          <a:off x="1341882" y="2906395"/>
          <a:ext cx="457200" cy="190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800</a:t>
          </a:r>
          <a:endParaRPr kumimoji="1" lang="ja-JP" altLang="en-US" sz="1100"/>
        </a:p>
      </xdr:txBody>
    </xdr:sp>
    <xdr:clientData/>
  </xdr:twoCellAnchor>
  <xdr:twoCellAnchor>
    <xdr:from>
      <xdr:col>3</xdr:col>
      <xdr:colOff>292608</xdr:colOff>
      <xdr:row>19</xdr:row>
      <xdr:rowOff>133985</xdr:rowOff>
    </xdr:from>
    <xdr:to>
      <xdr:col>3</xdr:col>
      <xdr:colOff>292608</xdr:colOff>
      <xdr:row>20</xdr:row>
      <xdr:rowOff>117475</xdr:rowOff>
    </xdr:to>
    <xdr:cxnSp macro="">
      <xdr:nvCxnSpPr>
        <xdr:cNvPr id="61" name="line01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CxnSpPr/>
      </xdr:nvCxnSpPr>
      <xdr:spPr>
        <a:xfrm flipV="1">
          <a:off x="1927098" y="3109595"/>
          <a:ext cx="0" cy="1397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292608</xdr:colOff>
      <xdr:row>18</xdr:row>
      <xdr:rowOff>86995</xdr:rowOff>
    </xdr:from>
    <xdr:to>
      <xdr:col>4</xdr:col>
      <xdr:colOff>69088</xdr:colOff>
      <xdr:row>19</xdr:row>
      <xdr:rowOff>121285</xdr:rowOff>
    </xdr:to>
    <xdr:sp macro="" textlink="">
      <xdr:nvSpPr>
        <xdr:cNvPr id="62" name="textbox01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 txBox="1"/>
      </xdr:nvSpPr>
      <xdr:spPr>
        <a:xfrm>
          <a:off x="1927098" y="2906395"/>
          <a:ext cx="508000" cy="190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600</a:t>
          </a:r>
          <a:endParaRPr kumimoji="1" lang="ja-JP" altLang="en-US" sz="1100"/>
        </a:p>
      </xdr:txBody>
    </xdr:sp>
    <xdr:clientData/>
  </xdr:twoCellAnchor>
  <xdr:twoCellAnchor>
    <xdr:from>
      <xdr:col>1</xdr:col>
      <xdr:colOff>350520</xdr:colOff>
      <xdr:row>21</xdr:row>
      <xdr:rowOff>24765</xdr:rowOff>
    </xdr:from>
    <xdr:to>
      <xdr:col>1</xdr:col>
      <xdr:colOff>350520</xdr:colOff>
      <xdr:row>25</xdr:row>
      <xdr:rowOff>131445</xdr:rowOff>
    </xdr:to>
    <xdr:cxnSp macro="">
      <xdr:nvCxnSpPr>
        <xdr:cNvPr id="63" name="line01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CxnSpPr/>
      </xdr:nvCxnSpPr>
      <xdr:spPr>
        <a:xfrm>
          <a:off x="521970" y="3312795"/>
          <a:ext cx="0" cy="73152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541020</xdr:colOff>
      <xdr:row>21</xdr:row>
      <xdr:rowOff>24765</xdr:rowOff>
    </xdr:from>
    <xdr:to>
      <xdr:col>1</xdr:col>
      <xdr:colOff>541020</xdr:colOff>
      <xdr:row>25</xdr:row>
      <xdr:rowOff>131445</xdr:rowOff>
    </xdr:to>
    <xdr:cxnSp macro="">
      <xdr:nvCxnSpPr>
        <xdr:cNvPr id="12672" name="line01">
          <a:extLst>
            <a:ext uri="{FF2B5EF4-FFF2-40B4-BE49-F238E27FC236}">
              <a16:creationId xmlns:a16="http://schemas.microsoft.com/office/drawing/2014/main" id="{00000000-0008-0000-0200-000080310000}"/>
            </a:ext>
          </a:extLst>
        </xdr:cNvPr>
        <xdr:cNvCxnSpPr/>
      </xdr:nvCxnSpPr>
      <xdr:spPr>
        <a:xfrm>
          <a:off x="712470" y="3312795"/>
          <a:ext cx="0" cy="73152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337820</xdr:colOff>
      <xdr:row>21</xdr:row>
      <xdr:rowOff>24765</xdr:rowOff>
    </xdr:from>
    <xdr:to>
      <xdr:col>1</xdr:col>
      <xdr:colOff>668020</xdr:colOff>
      <xdr:row>21</xdr:row>
      <xdr:rowOff>24765</xdr:rowOff>
    </xdr:to>
    <xdr:cxnSp macro="">
      <xdr:nvCxnSpPr>
        <xdr:cNvPr id="12673" name="line01">
          <a:extLst>
            <a:ext uri="{FF2B5EF4-FFF2-40B4-BE49-F238E27FC236}">
              <a16:creationId xmlns:a16="http://schemas.microsoft.com/office/drawing/2014/main" id="{00000000-0008-0000-0200-000081310000}"/>
            </a:ext>
          </a:extLst>
        </xdr:cNvPr>
        <xdr:cNvCxnSpPr/>
      </xdr:nvCxnSpPr>
      <xdr:spPr>
        <a:xfrm>
          <a:off x="509270" y="3312795"/>
          <a:ext cx="3302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128270</xdr:colOff>
      <xdr:row>22</xdr:row>
      <xdr:rowOff>50165</xdr:rowOff>
    </xdr:from>
    <xdr:to>
      <xdr:col>1</xdr:col>
      <xdr:colOff>318770</xdr:colOff>
      <xdr:row>25</xdr:row>
      <xdr:rowOff>89535</xdr:rowOff>
    </xdr:to>
    <xdr:sp macro="" textlink="">
      <xdr:nvSpPr>
        <xdr:cNvPr id="12674" name="textbox02">
          <a:extLst>
            <a:ext uri="{FF2B5EF4-FFF2-40B4-BE49-F238E27FC236}">
              <a16:creationId xmlns:a16="http://schemas.microsoft.com/office/drawing/2014/main" id="{00000000-0008-0000-0200-000082310000}"/>
            </a:ext>
          </a:extLst>
        </xdr:cNvPr>
        <xdr:cNvSpPr txBox="1"/>
      </xdr:nvSpPr>
      <xdr:spPr>
        <a:xfrm rot="16200000">
          <a:off x="140970" y="3653155"/>
          <a:ext cx="508000" cy="190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1000</a:t>
          </a:r>
          <a:endParaRPr kumimoji="1" lang="ja-JP" altLang="en-US" sz="1100"/>
        </a:p>
      </xdr:txBody>
    </xdr:sp>
    <xdr:clientData/>
  </xdr:twoCellAnchor>
  <xdr:twoCellAnchor>
    <xdr:from>
      <xdr:col>1</xdr:col>
      <xdr:colOff>337820</xdr:colOff>
      <xdr:row>25</xdr:row>
      <xdr:rowOff>131445</xdr:rowOff>
    </xdr:from>
    <xdr:to>
      <xdr:col>1</xdr:col>
      <xdr:colOff>668020</xdr:colOff>
      <xdr:row>25</xdr:row>
      <xdr:rowOff>131445</xdr:rowOff>
    </xdr:to>
    <xdr:cxnSp macro="">
      <xdr:nvCxnSpPr>
        <xdr:cNvPr id="12675" name="line01">
          <a:extLst>
            <a:ext uri="{FF2B5EF4-FFF2-40B4-BE49-F238E27FC236}">
              <a16:creationId xmlns:a16="http://schemas.microsoft.com/office/drawing/2014/main" id="{00000000-0008-0000-0200-000083310000}"/>
            </a:ext>
          </a:extLst>
        </xdr:cNvPr>
        <xdr:cNvCxnSpPr/>
      </xdr:nvCxnSpPr>
      <xdr:spPr>
        <a:xfrm>
          <a:off x="509270" y="4044315"/>
          <a:ext cx="3302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318770</xdr:colOff>
      <xdr:row>24</xdr:row>
      <xdr:rowOff>103505</xdr:rowOff>
    </xdr:from>
    <xdr:to>
      <xdr:col>1</xdr:col>
      <xdr:colOff>509270</xdr:colOff>
      <xdr:row>27</xdr:row>
      <xdr:rowOff>142875</xdr:rowOff>
    </xdr:to>
    <xdr:sp macro="" textlink="">
      <xdr:nvSpPr>
        <xdr:cNvPr id="12676" name="textbox02">
          <a:extLst>
            <a:ext uri="{FF2B5EF4-FFF2-40B4-BE49-F238E27FC236}">
              <a16:creationId xmlns:a16="http://schemas.microsoft.com/office/drawing/2014/main" id="{00000000-0008-0000-0200-000084310000}"/>
            </a:ext>
          </a:extLst>
        </xdr:cNvPr>
        <xdr:cNvSpPr txBox="1"/>
      </xdr:nvSpPr>
      <xdr:spPr>
        <a:xfrm rot="16200000">
          <a:off x="331470" y="4018915"/>
          <a:ext cx="508000" cy="190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100</a:t>
          </a:r>
          <a:endParaRPr kumimoji="1" lang="ja-JP" altLang="en-US" sz="1100"/>
        </a:p>
      </xdr:txBody>
    </xdr:sp>
    <xdr:clientData/>
  </xdr:twoCellAnchor>
  <xdr:twoCellAnchor>
    <xdr:from>
      <xdr:col>1</xdr:col>
      <xdr:colOff>528320</xdr:colOff>
      <xdr:row>25</xdr:row>
      <xdr:rowOff>58293</xdr:rowOff>
    </xdr:from>
    <xdr:to>
      <xdr:col>1</xdr:col>
      <xdr:colOff>668020</xdr:colOff>
      <xdr:row>25</xdr:row>
      <xdr:rowOff>58293</xdr:rowOff>
    </xdr:to>
    <xdr:cxnSp macro="">
      <xdr:nvCxnSpPr>
        <xdr:cNvPr id="12677" name="line01">
          <a:extLst>
            <a:ext uri="{FF2B5EF4-FFF2-40B4-BE49-F238E27FC236}">
              <a16:creationId xmlns:a16="http://schemas.microsoft.com/office/drawing/2014/main" id="{00000000-0008-0000-0200-000085310000}"/>
            </a:ext>
          </a:extLst>
        </xdr:cNvPr>
        <xdr:cNvCxnSpPr/>
      </xdr:nvCxnSpPr>
      <xdr:spPr>
        <a:xfrm>
          <a:off x="699770" y="3971163"/>
          <a:ext cx="1397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318770</xdr:colOff>
      <xdr:row>21</xdr:row>
      <xdr:rowOff>79375</xdr:rowOff>
    </xdr:from>
    <xdr:to>
      <xdr:col>1</xdr:col>
      <xdr:colOff>509270</xdr:colOff>
      <xdr:row>24</xdr:row>
      <xdr:rowOff>118745</xdr:rowOff>
    </xdr:to>
    <xdr:sp macro="" textlink="">
      <xdr:nvSpPr>
        <xdr:cNvPr id="12678" name="textbox02">
          <a:extLst>
            <a:ext uri="{FF2B5EF4-FFF2-40B4-BE49-F238E27FC236}">
              <a16:creationId xmlns:a16="http://schemas.microsoft.com/office/drawing/2014/main" id="{00000000-0008-0000-0200-000086310000}"/>
            </a:ext>
          </a:extLst>
        </xdr:cNvPr>
        <xdr:cNvSpPr txBox="1"/>
      </xdr:nvSpPr>
      <xdr:spPr>
        <a:xfrm rot="16200000">
          <a:off x="331470" y="3526155"/>
          <a:ext cx="508000" cy="190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800</a:t>
          </a:r>
          <a:endParaRPr kumimoji="1" lang="ja-JP" altLang="en-US" sz="1100"/>
        </a:p>
      </xdr:txBody>
    </xdr:sp>
    <xdr:clientData/>
  </xdr:twoCellAnchor>
  <xdr:twoCellAnchor>
    <xdr:from>
      <xdr:col>1</xdr:col>
      <xdr:colOff>528320</xdr:colOff>
      <xdr:row>21</xdr:row>
      <xdr:rowOff>97917</xdr:rowOff>
    </xdr:from>
    <xdr:to>
      <xdr:col>1</xdr:col>
      <xdr:colOff>668020</xdr:colOff>
      <xdr:row>21</xdr:row>
      <xdr:rowOff>97917</xdr:rowOff>
    </xdr:to>
    <xdr:cxnSp macro="">
      <xdr:nvCxnSpPr>
        <xdr:cNvPr id="12679" name="line01">
          <a:extLst>
            <a:ext uri="{FF2B5EF4-FFF2-40B4-BE49-F238E27FC236}">
              <a16:creationId xmlns:a16="http://schemas.microsoft.com/office/drawing/2014/main" id="{00000000-0008-0000-0200-000087310000}"/>
            </a:ext>
          </a:extLst>
        </xdr:cNvPr>
        <xdr:cNvCxnSpPr/>
      </xdr:nvCxnSpPr>
      <xdr:spPr>
        <a:xfrm>
          <a:off x="699770" y="3385947"/>
          <a:ext cx="1397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318770</xdr:colOff>
      <xdr:row>18</xdr:row>
      <xdr:rowOff>55245</xdr:rowOff>
    </xdr:from>
    <xdr:to>
      <xdr:col>1</xdr:col>
      <xdr:colOff>509270</xdr:colOff>
      <xdr:row>21</xdr:row>
      <xdr:rowOff>94615</xdr:rowOff>
    </xdr:to>
    <xdr:sp macro="" textlink="">
      <xdr:nvSpPr>
        <xdr:cNvPr id="12680" name="textbox02">
          <a:extLst>
            <a:ext uri="{FF2B5EF4-FFF2-40B4-BE49-F238E27FC236}">
              <a16:creationId xmlns:a16="http://schemas.microsoft.com/office/drawing/2014/main" id="{00000000-0008-0000-0200-000088310000}"/>
            </a:ext>
          </a:extLst>
        </xdr:cNvPr>
        <xdr:cNvSpPr txBox="1"/>
      </xdr:nvSpPr>
      <xdr:spPr>
        <a:xfrm rot="16200000">
          <a:off x="331470" y="3033395"/>
          <a:ext cx="508000" cy="190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100</a:t>
          </a:r>
          <a:endParaRPr kumimoji="1" lang="ja-JP" altLang="en-US" sz="1100"/>
        </a:p>
      </xdr:txBody>
    </xdr:sp>
    <xdr:clientData/>
  </xdr:twoCellAnchor>
  <xdr:twoCellAnchor>
    <xdr:from>
      <xdr:col>2</xdr:col>
      <xdr:colOff>438912</xdr:colOff>
      <xdr:row>21</xdr:row>
      <xdr:rowOff>97917</xdr:rowOff>
    </xdr:from>
    <xdr:to>
      <xdr:col>3</xdr:col>
      <xdr:colOff>292608</xdr:colOff>
      <xdr:row>25</xdr:row>
      <xdr:rowOff>58293</xdr:rowOff>
    </xdr:to>
    <xdr:sp macro="" textlink="">
      <xdr:nvSpPr>
        <xdr:cNvPr id="12681" name="正方形/長方形 12680">
          <a:extLst>
            <a:ext uri="{FF2B5EF4-FFF2-40B4-BE49-F238E27FC236}">
              <a16:creationId xmlns:a16="http://schemas.microsoft.com/office/drawing/2014/main" id="{00000000-0008-0000-0200-000089310000}"/>
            </a:ext>
          </a:extLst>
        </xdr:cNvPr>
        <xdr:cNvSpPr/>
      </xdr:nvSpPr>
      <xdr:spPr>
        <a:xfrm>
          <a:off x="1341882" y="3385947"/>
          <a:ext cx="585216" cy="585216"/>
        </a:xfrm>
        <a:prstGeom prst="rect">
          <a:avLst/>
        </a:prstGeom>
        <a:noFill/>
        <a:ln w="12700" cap="flat" cmpd="sng" algn="ctr">
          <a:solidFill>
            <a:schemeClr val="tx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137160</xdr:colOff>
          <xdr:row>48</xdr:row>
          <xdr:rowOff>0</xdr:rowOff>
        </xdr:from>
        <xdr:to>
          <xdr:col>1</xdr:col>
          <xdr:colOff>571500</xdr:colOff>
          <xdr:row>49</xdr:row>
          <xdr:rowOff>0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2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2004" rIns="54864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ボタン 3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53</xdr:row>
      <xdr:rowOff>146685</xdr:rowOff>
    </xdr:from>
    <xdr:to>
      <xdr:col>4</xdr:col>
      <xdr:colOff>0</xdr:colOff>
      <xdr:row>57</xdr:row>
      <xdr:rowOff>9525</xdr:rowOff>
    </xdr:to>
    <xdr:sp macro="" textlink="">
      <xdr:nvSpPr>
        <xdr:cNvPr id="12682" name="正方形/長方形 12681">
          <a:extLst>
            <a:ext uri="{FF2B5EF4-FFF2-40B4-BE49-F238E27FC236}">
              <a16:creationId xmlns:a16="http://schemas.microsoft.com/office/drawing/2014/main" id="{00000000-0008-0000-0200-00008A310000}"/>
            </a:ext>
          </a:extLst>
        </xdr:cNvPr>
        <xdr:cNvSpPr/>
      </xdr:nvSpPr>
      <xdr:spPr>
        <a:xfrm>
          <a:off x="902970" y="8433435"/>
          <a:ext cx="1463040" cy="487680"/>
        </a:xfrm>
        <a:prstGeom prst="rect">
          <a:avLst/>
        </a:prstGeom>
        <a:noFill/>
        <a:ln w="12700" cap="flat" cmpd="sng" algn="ctr">
          <a:solidFill>
            <a:schemeClr val="tx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51</xdr:row>
      <xdr:rowOff>78105</xdr:rowOff>
    </xdr:from>
    <xdr:to>
      <xdr:col>4</xdr:col>
      <xdr:colOff>0</xdr:colOff>
      <xdr:row>51</xdr:row>
      <xdr:rowOff>78105</xdr:rowOff>
    </xdr:to>
    <xdr:cxnSp macro="">
      <xdr:nvCxnSpPr>
        <xdr:cNvPr id="12683" name="line01">
          <a:extLst>
            <a:ext uri="{FF2B5EF4-FFF2-40B4-BE49-F238E27FC236}">
              <a16:creationId xmlns:a16="http://schemas.microsoft.com/office/drawing/2014/main" id="{00000000-0008-0000-0200-00008B310000}"/>
            </a:ext>
          </a:extLst>
        </xdr:cNvPr>
        <xdr:cNvCxnSpPr/>
      </xdr:nvCxnSpPr>
      <xdr:spPr>
        <a:xfrm>
          <a:off x="902970" y="8052435"/>
          <a:ext cx="146304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477520</xdr:colOff>
      <xdr:row>50</xdr:row>
      <xdr:rowOff>18415</xdr:rowOff>
    </xdr:from>
    <xdr:to>
      <xdr:col>3</xdr:col>
      <xdr:colOff>254000</xdr:colOff>
      <xdr:row>51</xdr:row>
      <xdr:rowOff>52705</xdr:rowOff>
    </xdr:to>
    <xdr:sp macro="" textlink="">
      <xdr:nvSpPr>
        <xdr:cNvPr id="12684" name="textbox01">
          <a:extLst>
            <a:ext uri="{FF2B5EF4-FFF2-40B4-BE49-F238E27FC236}">
              <a16:creationId xmlns:a16="http://schemas.microsoft.com/office/drawing/2014/main" id="{00000000-0008-0000-0200-00008C310000}"/>
            </a:ext>
          </a:extLst>
        </xdr:cNvPr>
        <xdr:cNvSpPr txBox="1"/>
      </xdr:nvSpPr>
      <xdr:spPr>
        <a:xfrm>
          <a:off x="1380490" y="7836535"/>
          <a:ext cx="508000" cy="190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3000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52</xdr:row>
      <xdr:rowOff>112395</xdr:rowOff>
    </xdr:from>
    <xdr:to>
      <xdr:col>4</xdr:col>
      <xdr:colOff>0</xdr:colOff>
      <xdr:row>52</xdr:row>
      <xdr:rowOff>112395</xdr:rowOff>
    </xdr:to>
    <xdr:cxnSp macro="">
      <xdr:nvCxnSpPr>
        <xdr:cNvPr id="12685" name="line01">
          <a:extLst>
            <a:ext uri="{FF2B5EF4-FFF2-40B4-BE49-F238E27FC236}">
              <a16:creationId xmlns:a16="http://schemas.microsoft.com/office/drawing/2014/main" id="{00000000-0008-0000-0200-00008D310000}"/>
            </a:ext>
          </a:extLst>
        </xdr:cNvPr>
        <xdr:cNvCxnSpPr/>
      </xdr:nvCxnSpPr>
      <xdr:spPr>
        <a:xfrm>
          <a:off x="902970" y="8242935"/>
          <a:ext cx="146304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51</xdr:row>
      <xdr:rowOff>65405</xdr:rowOff>
    </xdr:from>
    <xdr:to>
      <xdr:col>2</xdr:col>
      <xdr:colOff>0</xdr:colOff>
      <xdr:row>53</xdr:row>
      <xdr:rowOff>83185</xdr:rowOff>
    </xdr:to>
    <xdr:cxnSp macro="">
      <xdr:nvCxnSpPr>
        <xdr:cNvPr id="12686" name="line01">
          <a:extLst>
            <a:ext uri="{FF2B5EF4-FFF2-40B4-BE49-F238E27FC236}">
              <a16:creationId xmlns:a16="http://schemas.microsoft.com/office/drawing/2014/main" id="{00000000-0008-0000-0200-00008E310000}"/>
            </a:ext>
          </a:extLst>
        </xdr:cNvPr>
        <xdr:cNvCxnSpPr/>
      </xdr:nvCxnSpPr>
      <xdr:spPr>
        <a:xfrm flipV="1">
          <a:off x="902970" y="8039735"/>
          <a:ext cx="0" cy="3302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51</xdr:row>
      <xdr:rowOff>65405</xdr:rowOff>
    </xdr:from>
    <xdr:to>
      <xdr:col>4</xdr:col>
      <xdr:colOff>0</xdr:colOff>
      <xdr:row>53</xdr:row>
      <xdr:rowOff>83185</xdr:rowOff>
    </xdr:to>
    <xdr:cxnSp macro="">
      <xdr:nvCxnSpPr>
        <xdr:cNvPr id="12687" name="line01">
          <a:extLst>
            <a:ext uri="{FF2B5EF4-FFF2-40B4-BE49-F238E27FC236}">
              <a16:creationId xmlns:a16="http://schemas.microsoft.com/office/drawing/2014/main" id="{00000000-0008-0000-0200-00008F310000}"/>
            </a:ext>
          </a:extLst>
        </xdr:cNvPr>
        <xdr:cNvCxnSpPr/>
      </xdr:nvCxnSpPr>
      <xdr:spPr>
        <a:xfrm flipV="1">
          <a:off x="2366010" y="8039735"/>
          <a:ext cx="0" cy="3302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51</xdr:row>
      <xdr:rowOff>65405</xdr:rowOff>
    </xdr:from>
    <xdr:to>
      <xdr:col>4</xdr:col>
      <xdr:colOff>0</xdr:colOff>
      <xdr:row>53</xdr:row>
      <xdr:rowOff>83185</xdr:rowOff>
    </xdr:to>
    <xdr:cxnSp macro="">
      <xdr:nvCxnSpPr>
        <xdr:cNvPr id="12688" name="line01">
          <a:extLst>
            <a:ext uri="{FF2B5EF4-FFF2-40B4-BE49-F238E27FC236}">
              <a16:creationId xmlns:a16="http://schemas.microsoft.com/office/drawing/2014/main" id="{00000000-0008-0000-0200-000090310000}"/>
            </a:ext>
          </a:extLst>
        </xdr:cNvPr>
        <xdr:cNvCxnSpPr/>
      </xdr:nvCxnSpPr>
      <xdr:spPr>
        <a:xfrm flipV="1">
          <a:off x="2366010" y="8039735"/>
          <a:ext cx="0" cy="3302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51</xdr:row>
      <xdr:rowOff>65405</xdr:rowOff>
    </xdr:from>
    <xdr:to>
      <xdr:col>4</xdr:col>
      <xdr:colOff>0</xdr:colOff>
      <xdr:row>53</xdr:row>
      <xdr:rowOff>83185</xdr:rowOff>
    </xdr:to>
    <xdr:cxnSp macro="">
      <xdr:nvCxnSpPr>
        <xdr:cNvPr id="12689" name="line01">
          <a:extLst>
            <a:ext uri="{FF2B5EF4-FFF2-40B4-BE49-F238E27FC236}">
              <a16:creationId xmlns:a16="http://schemas.microsoft.com/office/drawing/2014/main" id="{00000000-0008-0000-0200-000091310000}"/>
            </a:ext>
          </a:extLst>
        </xdr:cNvPr>
        <xdr:cNvCxnSpPr/>
      </xdr:nvCxnSpPr>
      <xdr:spPr>
        <a:xfrm flipV="1">
          <a:off x="2366010" y="8039735"/>
          <a:ext cx="0" cy="3302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536448</xdr:colOff>
      <xdr:row>52</xdr:row>
      <xdr:rowOff>99695</xdr:rowOff>
    </xdr:from>
    <xdr:to>
      <xdr:col>2</xdr:col>
      <xdr:colOff>536448</xdr:colOff>
      <xdr:row>53</xdr:row>
      <xdr:rowOff>83185</xdr:rowOff>
    </xdr:to>
    <xdr:cxnSp macro="">
      <xdr:nvCxnSpPr>
        <xdr:cNvPr id="12690" name="line01">
          <a:extLst>
            <a:ext uri="{FF2B5EF4-FFF2-40B4-BE49-F238E27FC236}">
              <a16:creationId xmlns:a16="http://schemas.microsoft.com/office/drawing/2014/main" id="{00000000-0008-0000-0200-000092310000}"/>
            </a:ext>
          </a:extLst>
        </xdr:cNvPr>
        <xdr:cNvCxnSpPr/>
      </xdr:nvCxnSpPr>
      <xdr:spPr>
        <a:xfrm flipV="1">
          <a:off x="1439418" y="8230235"/>
          <a:ext cx="0" cy="1397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51</xdr:row>
      <xdr:rowOff>52705</xdr:rowOff>
    </xdr:from>
    <xdr:to>
      <xdr:col>2</xdr:col>
      <xdr:colOff>508000</xdr:colOff>
      <xdr:row>52</xdr:row>
      <xdr:rowOff>86995</xdr:rowOff>
    </xdr:to>
    <xdr:sp macro="" textlink="">
      <xdr:nvSpPr>
        <xdr:cNvPr id="12691" name="textbox01">
          <a:extLst>
            <a:ext uri="{FF2B5EF4-FFF2-40B4-BE49-F238E27FC236}">
              <a16:creationId xmlns:a16="http://schemas.microsoft.com/office/drawing/2014/main" id="{00000000-0008-0000-0200-000093310000}"/>
            </a:ext>
          </a:extLst>
        </xdr:cNvPr>
        <xdr:cNvSpPr txBox="1"/>
      </xdr:nvSpPr>
      <xdr:spPr>
        <a:xfrm>
          <a:off x="902970" y="8027035"/>
          <a:ext cx="508000" cy="190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1100</a:t>
          </a:r>
          <a:endParaRPr kumimoji="1" lang="ja-JP" altLang="en-US" sz="1100"/>
        </a:p>
      </xdr:txBody>
    </xdr:sp>
    <xdr:clientData/>
  </xdr:twoCellAnchor>
  <xdr:twoCellAnchor>
    <xdr:from>
      <xdr:col>2</xdr:col>
      <xdr:colOff>536448</xdr:colOff>
      <xdr:row>51</xdr:row>
      <xdr:rowOff>52705</xdr:rowOff>
    </xdr:from>
    <xdr:to>
      <xdr:col>3</xdr:col>
      <xdr:colOff>262128</xdr:colOff>
      <xdr:row>52</xdr:row>
      <xdr:rowOff>86995</xdr:rowOff>
    </xdr:to>
    <xdr:sp macro="" textlink="">
      <xdr:nvSpPr>
        <xdr:cNvPr id="12692" name="textbox01">
          <a:extLst>
            <a:ext uri="{FF2B5EF4-FFF2-40B4-BE49-F238E27FC236}">
              <a16:creationId xmlns:a16="http://schemas.microsoft.com/office/drawing/2014/main" id="{00000000-0008-0000-0200-000094310000}"/>
            </a:ext>
          </a:extLst>
        </xdr:cNvPr>
        <xdr:cNvSpPr txBox="1"/>
      </xdr:nvSpPr>
      <xdr:spPr>
        <a:xfrm>
          <a:off x="1439418" y="8027035"/>
          <a:ext cx="457200" cy="190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800</a:t>
          </a:r>
          <a:endParaRPr kumimoji="1" lang="ja-JP" altLang="en-US" sz="1100"/>
        </a:p>
      </xdr:txBody>
    </xdr:sp>
    <xdr:clientData/>
  </xdr:twoCellAnchor>
  <xdr:twoCellAnchor>
    <xdr:from>
      <xdr:col>3</xdr:col>
      <xdr:colOff>195072</xdr:colOff>
      <xdr:row>52</xdr:row>
      <xdr:rowOff>99695</xdr:rowOff>
    </xdr:from>
    <xdr:to>
      <xdr:col>3</xdr:col>
      <xdr:colOff>195072</xdr:colOff>
      <xdr:row>53</xdr:row>
      <xdr:rowOff>83185</xdr:rowOff>
    </xdr:to>
    <xdr:cxnSp macro="">
      <xdr:nvCxnSpPr>
        <xdr:cNvPr id="12693" name="line01">
          <a:extLst>
            <a:ext uri="{FF2B5EF4-FFF2-40B4-BE49-F238E27FC236}">
              <a16:creationId xmlns:a16="http://schemas.microsoft.com/office/drawing/2014/main" id="{00000000-0008-0000-0200-000095310000}"/>
            </a:ext>
          </a:extLst>
        </xdr:cNvPr>
        <xdr:cNvCxnSpPr/>
      </xdr:nvCxnSpPr>
      <xdr:spPr>
        <a:xfrm flipV="1">
          <a:off x="1829562" y="8230235"/>
          <a:ext cx="0" cy="1397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195072</xdr:colOff>
      <xdr:row>51</xdr:row>
      <xdr:rowOff>52705</xdr:rowOff>
    </xdr:from>
    <xdr:to>
      <xdr:col>3</xdr:col>
      <xdr:colOff>703072</xdr:colOff>
      <xdr:row>52</xdr:row>
      <xdr:rowOff>86995</xdr:rowOff>
    </xdr:to>
    <xdr:sp macro="" textlink="">
      <xdr:nvSpPr>
        <xdr:cNvPr id="12694" name="textbox01">
          <a:extLst>
            <a:ext uri="{FF2B5EF4-FFF2-40B4-BE49-F238E27FC236}">
              <a16:creationId xmlns:a16="http://schemas.microsoft.com/office/drawing/2014/main" id="{00000000-0008-0000-0200-000096310000}"/>
            </a:ext>
          </a:extLst>
        </xdr:cNvPr>
        <xdr:cNvSpPr txBox="1"/>
      </xdr:nvSpPr>
      <xdr:spPr>
        <a:xfrm>
          <a:off x="1829562" y="8027035"/>
          <a:ext cx="508000" cy="190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1100</a:t>
          </a:r>
          <a:endParaRPr kumimoji="1" lang="ja-JP" altLang="en-US" sz="1100"/>
        </a:p>
      </xdr:txBody>
    </xdr:sp>
    <xdr:clientData/>
  </xdr:twoCellAnchor>
  <xdr:twoCellAnchor>
    <xdr:from>
      <xdr:col>1</xdr:col>
      <xdr:colOff>350520</xdr:colOff>
      <xdr:row>53</xdr:row>
      <xdr:rowOff>146685</xdr:rowOff>
    </xdr:from>
    <xdr:to>
      <xdr:col>1</xdr:col>
      <xdr:colOff>350520</xdr:colOff>
      <xdr:row>57</xdr:row>
      <xdr:rowOff>9525</xdr:rowOff>
    </xdr:to>
    <xdr:cxnSp macro="">
      <xdr:nvCxnSpPr>
        <xdr:cNvPr id="12719" name="line01">
          <a:extLst>
            <a:ext uri="{FF2B5EF4-FFF2-40B4-BE49-F238E27FC236}">
              <a16:creationId xmlns:a16="http://schemas.microsoft.com/office/drawing/2014/main" id="{00000000-0008-0000-0200-0000AF310000}"/>
            </a:ext>
          </a:extLst>
        </xdr:cNvPr>
        <xdr:cNvCxnSpPr/>
      </xdr:nvCxnSpPr>
      <xdr:spPr>
        <a:xfrm>
          <a:off x="521970" y="8433435"/>
          <a:ext cx="0" cy="48768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541020</xdr:colOff>
      <xdr:row>53</xdr:row>
      <xdr:rowOff>146685</xdr:rowOff>
    </xdr:from>
    <xdr:to>
      <xdr:col>1</xdr:col>
      <xdr:colOff>541020</xdr:colOff>
      <xdr:row>57</xdr:row>
      <xdr:rowOff>9525</xdr:rowOff>
    </xdr:to>
    <xdr:cxnSp macro="">
      <xdr:nvCxnSpPr>
        <xdr:cNvPr id="12720" name="line01">
          <a:extLst>
            <a:ext uri="{FF2B5EF4-FFF2-40B4-BE49-F238E27FC236}">
              <a16:creationId xmlns:a16="http://schemas.microsoft.com/office/drawing/2014/main" id="{00000000-0008-0000-0200-0000B0310000}"/>
            </a:ext>
          </a:extLst>
        </xdr:cNvPr>
        <xdr:cNvCxnSpPr/>
      </xdr:nvCxnSpPr>
      <xdr:spPr>
        <a:xfrm>
          <a:off x="712470" y="8433435"/>
          <a:ext cx="0" cy="48768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337820</xdr:colOff>
      <xdr:row>53</xdr:row>
      <xdr:rowOff>146685</xdr:rowOff>
    </xdr:from>
    <xdr:to>
      <xdr:col>1</xdr:col>
      <xdr:colOff>668020</xdr:colOff>
      <xdr:row>53</xdr:row>
      <xdr:rowOff>146685</xdr:rowOff>
    </xdr:to>
    <xdr:cxnSp macro="">
      <xdr:nvCxnSpPr>
        <xdr:cNvPr id="12721" name="line01">
          <a:extLst>
            <a:ext uri="{FF2B5EF4-FFF2-40B4-BE49-F238E27FC236}">
              <a16:creationId xmlns:a16="http://schemas.microsoft.com/office/drawing/2014/main" id="{00000000-0008-0000-0200-0000B1310000}"/>
            </a:ext>
          </a:extLst>
        </xdr:cNvPr>
        <xdr:cNvCxnSpPr/>
      </xdr:nvCxnSpPr>
      <xdr:spPr>
        <a:xfrm>
          <a:off x="509270" y="8433435"/>
          <a:ext cx="3302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128270</xdr:colOff>
      <xdr:row>54</xdr:row>
      <xdr:rowOff>50165</xdr:rowOff>
    </xdr:from>
    <xdr:to>
      <xdr:col>1</xdr:col>
      <xdr:colOff>318770</xdr:colOff>
      <xdr:row>57</xdr:row>
      <xdr:rowOff>89535</xdr:rowOff>
    </xdr:to>
    <xdr:sp macro="" textlink="">
      <xdr:nvSpPr>
        <xdr:cNvPr id="12722" name="textbox02">
          <a:extLst>
            <a:ext uri="{FF2B5EF4-FFF2-40B4-BE49-F238E27FC236}">
              <a16:creationId xmlns:a16="http://schemas.microsoft.com/office/drawing/2014/main" id="{00000000-0008-0000-0200-0000B2310000}"/>
            </a:ext>
          </a:extLst>
        </xdr:cNvPr>
        <xdr:cNvSpPr txBox="1"/>
      </xdr:nvSpPr>
      <xdr:spPr>
        <a:xfrm rot="16200000">
          <a:off x="140970" y="8651875"/>
          <a:ext cx="508000" cy="190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1000</a:t>
          </a:r>
          <a:endParaRPr kumimoji="1" lang="ja-JP" altLang="en-US" sz="1100"/>
        </a:p>
      </xdr:txBody>
    </xdr:sp>
    <xdr:clientData/>
  </xdr:twoCellAnchor>
  <xdr:twoCellAnchor>
    <xdr:from>
      <xdr:col>1</xdr:col>
      <xdr:colOff>337820</xdr:colOff>
      <xdr:row>57</xdr:row>
      <xdr:rowOff>9525</xdr:rowOff>
    </xdr:from>
    <xdr:to>
      <xdr:col>1</xdr:col>
      <xdr:colOff>668020</xdr:colOff>
      <xdr:row>57</xdr:row>
      <xdr:rowOff>9525</xdr:rowOff>
    </xdr:to>
    <xdr:cxnSp macro="">
      <xdr:nvCxnSpPr>
        <xdr:cNvPr id="12723" name="line01">
          <a:extLst>
            <a:ext uri="{FF2B5EF4-FFF2-40B4-BE49-F238E27FC236}">
              <a16:creationId xmlns:a16="http://schemas.microsoft.com/office/drawing/2014/main" id="{00000000-0008-0000-0200-0000B3310000}"/>
            </a:ext>
          </a:extLst>
        </xdr:cNvPr>
        <xdr:cNvCxnSpPr/>
      </xdr:nvCxnSpPr>
      <xdr:spPr>
        <a:xfrm>
          <a:off x="509270" y="8921115"/>
          <a:ext cx="3302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318770</xdr:colOff>
      <xdr:row>55</xdr:row>
      <xdr:rowOff>137795</xdr:rowOff>
    </xdr:from>
    <xdr:to>
      <xdr:col>1</xdr:col>
      <xdr:colOff>509270</xdr:colOff>
      <xdr:row>59</xdr:row>
      <xdr:rowOff>20955</xdr:rowOff>
    </xdr:to>
    <xdr:sp macro="" textlink="">
      <xdr:nvSpPr>
        <xdr:cNvPr id="12724" name="textbox02">
          <a:extLst>
            <a:ext uri="{FF2B5EF4-FFF2-40B4-BE49-F238E27FC236}">
              <a16:creationId xmlns:a16="http://schemas.microsoft.com/office/drawing/2014/main" id="{00000000-0008-0000-0200-0000B4310000}"/>
            </a:ext>
          </a:extLst>
        </xdr:cNvPr>
        <xdr:cNvSpPr txBox="1"/>
      </xdr:nvSpPr>
      <xdr:spPr>
        <a:xfrm rot="16200000">
          <a:off x="331470" y="8895715"/>
          <a:ext cx="508000" cy="190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100</a:t>
          </a:r>
          <a:endParaRPr kumimoji="1" lang="ja-JP" altLang="en-US" sz="1100"/>
        </a:p>
      </xdr:txBody>
    </xdr:sp>
    <xdr:clientData/>
  </xdr:twoCellAnchor>
  <xdr:twoCellAnchor>
    <xdr:from>
      <xdr:col>1</xdr:col>
      <xdr:colOff>528320</xdr:colOff>
      <xdr:row>56</xdr:row>
      <xdr:rowOff>116967</xdr:rowOff>
    </xdr:from>
    <xdr:to>
      <xdr:col>1</xdr:col>
      <xdr:colOff>668020</xdr:colOff>
      <xdr:row>56</xdr:row>
      <xdr:rowOff>116967</xdr:rowOff>
    </xdr:to>
    <xdr:cxnSp macro="">
      <xdr:nvCxnSpPr>
        <xdr:cNvPr id="12725" name="line01">
          <a:extLst>
            <a:ext uri="{FF2B5EF4-FFF2-40B4-BE49-F238E27FC236}">
              <a16:creationId xmlns:a16="http://schemas.microsoft.com/office/drawing/2014/main" id="{00000000-0008-0000-0200-0000B5310000}"/>
            </a:ext>
          </a:extLst>
        </xdr:cNvPr>
        <xdr:cNvCxnSpPr/>
      </xdr:nvCxnSpPr>
      <xdr:spPr>
        <a:xfrm>
          <a:off x="699770" y="8872347"/>
          <a:ext cx="1397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318770</xdr:colOff>
      <xdr:row>53</xdr:row>
      <xdr:rowOff>79375</xdr:rowOff>
    </xdr:from>
    <xdr:to>
      <xdr:col>1</xdr:col>
      <xdr:colOff>509270</xdr:colOff>
      <xdr:row>56</xdr:row>
      <xdr:rowOff>118745</xdr:rowOff>
    </xdr:to>
    <xdr:sp macro="" textlink="">
      <xdr:nvSpPr>
        <xdr:cNvPr id="12726" name="textbox02">
          <a:extLst>
            <a:ext uri="{FF2B5EF4-FFF2-40B4-BE49-F238E27FC236}">
              <a16:creationId xmlns:a16="http://schemas.microsoft.com/office/drawing/2014/main" id="{00000000-0008-0000-0200-0000B6310000}"/>
            </a:ext>
          </a:extLst>
        </xdr:cNvPr>
        <xdr:cNvSpPr txBox="1"/>
      </xdr:nvSpPr>
      <xdr:spPr>
        <a:xfrm rot="16200000">
          <a:off x="331470" y="8524875"/>
          <a:ext cx="508000" cy="190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800</a:t>
          </a:r>
          <a:endParaRPr kumimoji="1" lang="ja-JP" altLang="en-US" sz="1100"/>
        </a:p>
      </xdr:txBody>
    </xdr:sp>
    <xdr:clientData/>
  </xdr:twoCellAnchor>
  <xdr:twoCellAnchor>
    <xdr:from>
      <xdr:col>1</xdr:col>
      <xdr:colOff>528320</xdr:colOff>
      <xdr:row>54</xdr:row>
      <xdr:rowOff>39243</xdr:rowOff>
    </xdr:from>
    <xdr:to>
      <xdr:col>1</xdr:col>
      <xdr:colOff>668020</xdr:colOff>
      <xdr:row>54</xdr:row>
      <xdr:rowOff>39243</xdr:rowOff>
    </xdr:to>
    <xdr:cxnSp macro="">
      <xdr:nvCxnSpPr>
        <xdr:cNvPr id="12727" name="line01">
          <a:extLst>
            <a:ext uri="{FF2B5EF4-FFF2-40B4-BE49-F238E27FC236}">
              <a16:creationId xmlns:a16="http://schemas.microsoft.com/office/drawing/2014/main" id="{00000000-0008-0000-0200-0000B7310000}"/>
            </a:ext>
          </a:extLst>
        </xdr:cNvPr>
        <xdr:cNvCxnSpPr/>
      </xdr:nvCxnSpPr>
      <xdr:spPr>
        <a:xfrm>
          <a:off x="699770" y="8482203"/>
          <a:ext cx="1397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318770</xdr:colOff>
      <xdr:row>51</xdr:row>
      <xdr:rowOff>20955</xdr:rowOff>
    </xdr:from>
    <xdr:to>
      <xdr:col>1</xdr:col>
      <xdr:colOff>509270</xdr:colOff>
      <xdr:row>54</xdr:row>
      <xdr:rowOff>60325</xdr:rowOff>
    </xdr:to>
    <xdr:sp macro="" textlink="">
      <xdr:nvSpPr>
        <xdr:cNvPr id="12728" name="textbox02">
          <a:extLst>
            <a:ext uri="{FF2B5EF4-FFF2-40B4-BE49-F238E27FC236}">
              <a16:creationId xmlns:a16="http://schemas.microsoft.com/office/drawing/2014/main" id="{00000000-0008-0000-0200-0000B8310000}"/>
            </a:ext>
          </a:extLst>
        </xdr:cNvPr>
        <xdr:cNvSpPr txBox="1"/>
      </xdr:nvSpPr>
      <xdr:spPr>
        <a:xfrm rot="16200000">
          <a:off x="331470" y="8154035"/>
          <a:ext cx="508000" cy="190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100</a:t>
          </a:r>
          <a:endParaRPr kumimoji="1" lang="ja-JP" altLang="en-US" sz="1100"/>
        </a:p>
      </xdr:txBody>
    </xdr:sp>
    <xdr:clientData/>
  </xdr:twoCellAnchor>
  <xdr:twoCellAnchor>
    <xdr:from>
      <xdr:col>2</xdr:col>
      <xdr:colOff>536448</xdr:colOff>
      <xdr:row>54</xdr:row>
      <xdr:rowOff>39243</xdr:rowOff>
    </xdr:from>
    <xdr:to>
      <xdr:col>3</xdr:col>
      <xdr:colOff>195072</xdr:colOff>
      <xdr:row>56</xdr:row>
      <xdr:rowOff>116967</xdr:rowOff>
    </xdr:to>
    <xdr:sp macro="" textlink="">
      <xdr:nvSpPr>
        <xdr:cNvPr id="12729" name="正方形/長方形 12728">
          <a:extLst>
            <a:ext uri="{FF2B5EF4-FFF2-40B4-BE49-F238E27FC236}">
              <a16:creationId xmlns:a16="http://schemas.microsoft.com/office/drawing/2014/main" id="{00000000-0008-0000-0200-0000B9310000}"/>
            </a:ext>
          </a:extLst>
        </xdr:cNvPr>
        <xdr:cNvSpPr/>
      </xdr:nvSpPr>
      <xdr:spPr>
        <a:xfrm>
          <a:off x="1439418" y="8482203"/>
          <a:ext cx="390144" cy="390144"/>
        </a:xfrm>
        <a:prstGeom prst="rect">
          <a:avLst/>
        </a:prstGeom>
        <a:noFill/>
        <a:ln w="12700" cap="flat" cmpd="sng" algn="ctr">
          <a:solidFill>
            <a:schemeClr val="tx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25134/AppData/Roaming/Microsoft/AddIns/xfunx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Bar"/>
      <sheetName val="Deck"/>
      <sheetName val="Xfunx"/>
      <sheetName val="Steel"/>
      <sheetName val="Data"/>
    </sheetNames>
    <definedNames>
      <definedName name="Bar"/>
    </defined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BE9FF-0FBD-4463-A484-4C5443DEED4B}">
  <sheetPr codeName="Sheet27"/>
  <dimension ref="B2:R50"/>
  <sheetViews>
    <sheetView zoomScale="150" zoomScaleNormal="150" workbookViewId="0">
      <selection activeCell="K25" sqref="K25"/>
    </sheetView>
  </sheetViews>
  <sheetFormatPr defaultColWidth="8.15625" defaultRowHeight="12.3" x14ac:dyDescent="0.3"/>
  <cols>
    <col min="1" max="1" width="2.41796875" style="22" customWidth="1"/>
    <col min="2" max="14" width="7.3671875" style="22" customWidth="1"/>
    <col min="15" max="16384" width="8.15625" style="22"/>
  </cols>
  <sheetData>
    <row r="2" spans="2:17" x14ac:dyDescent="0.3">
      <c r="B2" s="22" t="s">
        <v>164</v>
      </c>
      <c r="D2" s="22" t="s">
        <v>124</v>
      </c>
    </row>
    <row r="3" spans="2:17" x14ac:dyDescent="0.3">
      <c r="B3" s="22" t="s">
        <v>125</v>
      </c>
      <c r="H3" s="50"/>
      <c r="I3" s="50"/>
      <c r="J3" s="50"/>
      <c r="N3" s="23"/>
      <c r="P3" s="23"/>
    </row>
    <row r="4" spans="2:17" ht="13.5" x14ac:dyDescent="0.3">
      <c r="D4" s="24" t="s">
        <v>126</v>
      </c>
      <c r="E4" s="51">
        <v>21</v>
      </c>
      <c r="F4" s="52" t="s">
        <v>127</v>
      </c>
      <c r="G4" s="24" t="s">
        <v>128</v>
      </c>
      <c r="H4" s="81">
        <f>RC_shear(E4)</f>
        <v>0.7</v>
      </c>
      <c r="I4" s="53" t="s">
        <v>127</v>
      </c>
      <c r="J4" s="50"/>
      <c r="N4" s="23"/>
      <c r="P4" s="54"/>
      <c r="Q4" s="55"/>
    </row>
    <row r="5" spans="2:17" ht="13.5" x14ac:dyDescent="0.3">
      <c r="D5" s="24" t="s">
        <v>129</v>
      </c>
      <c r="E5" s="56" t="s">
        <v>131</v>
      </c>
      <c r="G5" s="35" t="s">
        <v>130</v>
      </c>
      <c r="H5" s="57">
        <v>195</v>
      </c>
      <c r="I5" s="53" t="s">
        <v>127</v>
      </c>
      <c r="J5" s="50"/>
      <c r="K5" s="58" t="s">
        <v>133</v>
      </c>
      <c r="N5" s="23"/>
      <c r="P5" s="54"/>
      <c r="Q5" s="55"/>
    </row>
    <row r="6" spans="2:17" ht="13.5" x14ac:dyDescent="0.3">
      <c r="D6" s="24" t="s">
        <v>163</v>
      </c>
      <c r="E6" s="56" t="s">
        <v>131</v>
      </c>
      <c r="G6" s="35" t="s">
        <v>132</v>
      </c>
      <c r="H6" s="57">
        <v>195</v>
      </c>
      <c r="I6" s="53" t="s">
        <v>127</v>
      </c>
      <c r="J6" s="50"/>
      <c r="K6" s="58" t="s">
        <v>133</v>
      </c>
      <c r="N6" s="23"/>
      <c r="P6" s="54"/>
      <c r="Q6" s="55"/>
    </row>
    <row r="7" spans="2:17" x14ac:dyDescent="0.3">
      <c r="D7" s="24" t="s">
        <v>162</v>
      </c>
      <c r="E7" s="56">
        <v>1100</v>
      </c>
      <c r="F7" s="22" t="s">
        <v>134</v>
      </c>
      <c r="G7" s="35"/>
      <c r="H7" s="50"/>
      <c r="I7" s="59"/>
      <c r="J7" s="50"/>
      <c r="N7" s="23"/>
      <c r="P7" s="54"/>
      <c r="Q7" s="55"/>
    </row>
    <row r="8" spans="2:17" x14ac:dyDescent="0.3">
      <c r="D8" s="24" t="s">
        <v>135</v>
      </c>
      <c r="E8" s="56">
        <v>1000</v>
      </c>
      <c r="F8" s="25" t="s">
        <v>134</v>
      </c>
      <c r="G8" s="60" t="s">
        <v>136</v>
      </c>
      <c r="H8" s="51">
        <v>600</v>
      </c>
      <c r="I8" s="61" t="s">
        <v>134</v>
      </c>
      <c r="N8" s="23"/>
      <c r="P8" s="54"/>
      <c r="Q8" s="55"/>
    </row>
    <row r="9" spans="2:17" x14ac:dyDescent="0.3">
      <c r="D9" s="24"/>
      <c r="E9" s="56"/>
      <c r="H9" s="35"/>
      <c r="I9" s="51"/>
      <c r="J9" s="61"/>
      <c r="N9" s="23"/>
      <c r="P9" s="54"/>
      <c r="Q9" s="55"/>
    </row>
    <row r="10" spans="2:17" x14ac:dyDescent="0.3">
      <c r="D10" s="24" t="s">
        <v>167</v>
      </c>
      <c r="E10" s="56" t="s">
        <v>179</v>
      </c>
      <c r="F10" s="24" t="s">
        <v>137</v>
      </c>
      <c r="G10" s="59">
        <f t="array" ref="G10">barX(E10,"a")</f>
        <v>1143</v>
      </c>
      <c r="H10" s="50" t="s">
        <v>138</v>
      </c>
      <c r="I10" s="60" t="s">
        <v>139</v>
      </c>
      <c r="J10" s="62">
        <v>70</v>
      </c>
      <c r="K10" s="22" t="s">
        <v>134</v>
      </c>
      <c r="N10" s="23"/>
      <c r="P10" s="54"/>
      <c r="Q10" s="55"/>
    </row>
    <row r="11" spans="2:17" x14ac:dyDescent="0.3">
      <c r="D11" s="24" t="s">
        <v>161</v>
      </c>
      <c r="E11" s="24" t="s">
        <v>140</v>
      </c>
      <c r="F11" s="59">
        <f>RC_dt1(J10,K6,K5)</f>
        <v>91</v>
      </c>
      <c r="H11" s="62"/>
      <c r="I11" s="24"/>
      <c r="J11" s="63"/>
      <c r="K11" s="24"/>
      <c r="L11" s="64"/>
      <c r="N11" s="23"/>
      <c r="P11" s="23"/>
    </row>
    <row r="12" spans="2:17" x14ac:dyDescent="0.3">
      <c r="D12" s="24" t="s">
        <v>168</v>
      </c>
      <c r="F12" s="83" t="s">
        <v>141</v>
      </c>
      <c r="G12" s="65">
        <f>H8-F11</f>
        <v>509</v>
      </c>
      <c r="H12" s="61" t="s">
        <v>134</v>
      </c>
      <c r="I12" s="82" t="s">
        <v>142</v>
      </c>
      <c r="J12" s="66">
        <f>G12*7/8</f>
        <v>445.375</v>
      </c>
      <c r="L12" s="64"/>
      <c r="N12" s="23"/>
      <c r="P12" s="23"/>
    </row>
    <row r="13" spans="2:17" x14ac:dyDescent="0.3">
      <c r="D13" s="24" t="s">
        <v>143</v>
      </c>
      <c r="E13" s="56" t="s">
        <v>178</v>
      </c>
      <c r="F13" s="24" t="s">
        <v>137</v>
      </c>
      <c r="G13" s="59">
        <f t="array" ref="G13">barX(E13,"a")</f>
        <v>254</v>
      </c>
      <c r="H13" s="61" t="s">
        <v>138</v>
      </c>
      <c r="I13" s="67" t="s">
        <v>144</v>
      </c>
      <c r="J13" s="57">
        <v>100</v>
      </c>
      <c r="K13" s="22" t="s">
        <v>134</v>
      </c>
      <c r="L13" s="64"/>
      <c r="N13" s="23"/>
      <c r="P13" s="23"/>
    </row>
    <row r="14" spans="2:17" x14ac:dyDescent="0.3">
      <c r="N14" s="23"/>
      <c r="P14" s="23"/>
    </row>
    <row r="15" spans="2:17" x14ac:dyDescent="0.3">
      <c r="B15" s="22" t="s">
        <v>165</v>
      </c>
      <c r="N15" s="23"/>
      <c r="P15" s="23"/>
    </row>
    <row r="16" spans="2:17" x14ac:dyDescent="0.3">
      <c r="D16" s="24" t="s">
        <v>147</v>
      </c>
      <c r="E16" s="24" t="s">
        <v>171</v>
      </c>
      <c r="F16" s="68">
        <v>22</v>
      </c>
      <c r="G16" s="22" t="s">
        <v>148</v>
      </c>
      <c r="N16" s="23"/>
      <c r="P16" s="23"/>
    </row>
    <row r="17" spans="2:18" x14ac:dyDescent="0.3">
      <c r="D17" s="24" t="s">
        <v>166</v>
      </c>
      <c r="F17" s="24" t="s">
        <v>173</v>
      </c>
      <c r="G17" s="64">
        <f>G10*H5*J12/1000/1000</f>
        <v>99.267406875000006</v>
      </c>
      <c r="H17" s="22" t="s">
        <v>170</v>
      </c>
      <c r="N17" s="23"/>
      <c r="P17" s="23"/>
    </row>
    <row r="18" spans="2:18" x14ac:dyDescent="0.3">
      <c r="E18" s="24" t="s">
        <v>174</v>
      </c>
      <c r="F18" s="73">
        <f>F16/G17</f>
        <v>0.221623599251494</v>
      </c>
      <c r="G18" s="22" t="str">
        <f>IF(F18&lt;1,"OK","NG")</f>
        <v>OK</v>
      </c>
      <c r="N18" s="23"/>
      <c r="P18" s="23"/>
    </row>
    <row r="19" spans="2:18" x14ac:dyDescent="0.3">
      <c r="B19" s="22" t="s">
        <v>169</v>
      </c>
      <c r="D19" s="24"/>
      <c r="F19" s="62"/>
      <c r="G19" s="62"/>
      <c r="H19" s="61"/>
      <c r="I19" s="50"/>
      <c r="J19" s="50"/>
      <c r="N19" s="54"/>
      <c r="P19" s="23"/>
    </row>
    <row r="20" spans="2:18" x14ac:dyDescent="0.3">
      <c r="D20" s="24" t="s">
        <v>145</v>
      </c>
      <c r="E20" s="24" t="s">
        <v>172</v>
      </c>
      <c r="F20" s="62">
        <v>72</v>
      </c>
      <c r="G20" s="22" t="s">
        <v>146</v>
      </c>
      <c r="H20" s="24"/>
      <c r="I20" s="62"/>
      <c r="J20" s="26"/>
      <c r="N20" s="23"/>
      <c r="P20" s="23"/>
    </row>
    <row r="21" spans="2:18" x14ac:dyDescent="0.3">
      <c r="D21" s="24" t="s">
        <v>147</v>
      </c>
      <c r="E21" s="24" t="s">
        <v>171</v>
      </c>
      <c r="F21" s="68">
        <v>22</v>
      </c>
      <c r="G21" s="22" t="s">
        <v>148</v>
      </c>
      <c r="H21" s="24"/>
      <c r="I21" s="68"/>
      <c r="N21" s="23"/>
      <c r="P21" s="23"/>
    </row>
    <row r="22" spans="2:18" x14ac:dyDescent="0.3">
      <c r="D22" s="24" t="s">
        <v>149</v>
      </c>
      <c r="E22" s="24"/>
      <c r="F22" s="24" t="s">
        <v>150</v>
      </c>
      <c r="G22" s="69">
        <f>G10/(E8*G12)</f>
        <v>2.2455795677799608E-3</v>
      </c>
      <c r="H22" s="24"/>
      <c r="I22" s="62"/>
      <c r="J22" s="26"/>
      <c r="K22" s="22">
        <v>312</v>
      </c>
      <c r="N22" s="23"/>
      <c r="P22" s="23"/>
    </row>
    <row r="23" spans="2:18" x14ac:dyDescent="0.3">
      <c r="D23" s="24" t="s">
        <v>151</v>
      </c>
      <c r="E23" s="24"/>
      <c r="F23" s="24" t="s">
        <v>152</v>
      </c>
      <c r="G23" s="69">
        <f>IF(E13="","",G13/(E8*J13))</f>
        <v>2.5400000000000002E-3</v>
      </c>
      <c r="H23" s="24"/>
      <c r="I23" s="62"/>
      <c r="J23" s="26"/>
      <c r="K23" s="22">
        <v>220</v>
      </c>
      <c r="M23" s="62"/>
      <c r="N23" s="26"/>
      <c r="O23" s="62"/>
      <c r="P23" s="26"/>
    </row>
    <row r="24" spans="2:18" x14ac:dyDescent="0.3">
      <c r="D24" s="24" t="s">
        <v>157</v>
      </c>
      <c r="E24" s="70">
        <f>IF(E13="",1,IF(G23&lt;0.002,1,MIN(2,J24)))</f>
        <v>2</v>
      </c>
      <c r="F24" s="62"/>
      <c r="H24" s="71"/>
      <c r="I24" s="24" t="s">
        <v>158</v>
      </c>
      <c r="J24" s="79">
        <f>4/(F21/(F20*G12/1000+1))</f>
        <v>6.84509090909091</v>
      </c>
      <c r="K24" s="22">
        <f>K23/K22</f>
        <v>0.70512820512820518</v>
      </c>
      <c r="N24" s="23"/>
      <c r="P24" s="23"/>
    </row>
    <row r="25" spans="2:18" x14ac:dyDescent="0.3">
      <c r="D25" s="24" t="s">
        <v>153</v>
      </c>
      <c r="E25" s="24" t="s">
        <v>156</v>
      </c>
      <c r="F25" s="26" t="s">
        <v>155</v>
      </c>
      <c r="G25" s="24"/>
      <c r="H25" s="26"/>
      <c r="I25" s="22" t="s">
        <v>159</v>
      </c>
      <c r="J25" s="72">
        <f>E8*J12*H4/1000</f>
        <v>311.76249999999999</v>
      </c>
      <c r="N25" s="23"/>
      <c r="P25" s="23"/>
    </row>
    <row r="26" spans="2:18" x14ac:dyDescent="0.3">
      <c r="D26" s="24"/>
      <c r="E26" s="24" t="s">
        <v>156</v>
      </c>
      <c r="F26" s="72">
        <f>E8*J12*E24*H4/1000</f>
        <v>623.52499999999998</v>
      </c>
      <c r="G26" s="26" t="s">
        <v>146</v>
      </c>
      <c r="H26" s="26"/>
      <c r="I26" s="62"/>
      <c r="J26" s="26"/>
      <c r="K26" s="26"/>
      <c r="N26" s="23"/>
      <c r="P26" s="23"/>
    </row>
    <row r="27" spans="2:18" x14ac:dyDescent="0.3">
      <c r="D27" s="24"/>
      <c r="E27" s="24" t="s">
        <v>160</v>
      </c>
      <c r="F27" s="73">
        <f>F20/F26</f>
        <v>0.11547251513572031</v>
      </c>
      <c r="G27" s="22" t="str">
        <f>IF(F27&lt;1,"OK","NG")</f>
        <v>OK</v>
      </c>
      <c r="I27" s="24"/>
      <c r="J27" s="26"/>
      <c r="N27" s="23"/>
      <c r="P27" s="23"/>
    </row>
    <row r="28" spans="2:18" x14ac:dyDescent="0.3">
      <c r="D28" s="24"/>
      <c r="E28" s="24"/>
      <c r="F28" s="26"/>
      <c r="G28" s="24"/>
      <c r="H28" s="26"/>
      <c r="J28" s="26"/>
      <c r="K28" s="62"/>
      <c r="N28" s="23"/>
      <c r="P28" s="23"/>
    </row>
    <row r="29" spans="2:18" x14ac:dyDescent="0.3">
      <c r="B29" s="22" t="s">
        <v>175</v>
      </c>
      <c r="D29" s="24"/>
      <c r="E29" s="24"/>
      <c r="F29" s="72"/>
      <c r="G29" s="24"/>
      <c r="H29" s="26"/>
      <c r="I29" s="62"/>
      <c r="J29" s="26"/>
      <c r="K29" s="62"/>
      <c r="N29" s="23"/>
      <c r="P29" s="23"/>
    </row>
    <row r="30" spans="2:18" x14ac:dyDescent="0.3">
      <c r="B30" s="74"/>
      <c r="E30" s="62" t="s">
        <v>176</v>
      </c>
      <c r="F30" s="73"/>
      <c r="G30" s="62" t="s">
        <v>177</v>
      </c>
      <c r="I30" s="24"/>
      <c r="J30" s="26"/>
      <c r="L30" s="24"/>
      <c r="M30" s="76"/>
      <c r="N30" s="23"/>
      <c r="P30" s="23"/>
    </row>
    <row r="31" spans="2:18" x14ac:dyDescent="0.3">
      <c r="D31" s="24" t="s">
        <v>166</v>
      </c>
      <c r="E31" s="62">
        <v>65</v>
      </c>
      <c r="F31" s="62" t="str">
        <f>IF(E31&gt;G31,"&gt;","&lt;")</f>
        <v>&lt;</v>
      </c>
      <c r="G31" s="64">
        <f>G17</f>
        <v>99.267406875000006</v>
      </c>
      <c r="H31" s="75"/>
      <c r="I31" s="68"/>
      <c r="J31" s="24"/>
      <c r="L31" s="24"/>
      <c r="M31" s="76"/>
      <c r="N31" s="23"/>
      <c r="P31" s="23"/>
    </row>
    <row r="32" spans="2:18" x14ac:dyDescent="0.3">
      <c r="D32" s="24" t="s">
        <v>153</v>
      </c>
      <c r="E32" s="62">
        <v>312</v>
      </c>
      <c r="F32" s="62" t="str">
        <f>IF(E32&gt;G32,"&gt;","&lt;")</f>
        <v>&lt;</v>
      </c>
      <c r="G32" s="68">
        <f>F26</f>
        <v>623.52499999999998</v>
      </c>
      <c r="H32" s="74"/>
      <c r="I32" s="62"/>
      <c r="J32" s="26"/>
      <c r="N32" s="23"/>
      <c r="P32" s="23"/>
      <c r="R32" s="23"/>
    </row>
    <row r="33" spans="2:16" x14ac:dyDescent="0.3">
      <c r="D33" s="24"/>
      <c r="E33" s="73"/>
      <c r="F33" s="62"/>
      <c r="G33" s="62"/>
      <c r="H33" s="75"/>
      <c r="I33" s="62"/>
      <c r="J33" s="24"/>
      <c r="K33" s="77"/>
      <c r="L33" s="24"/>
      <c r="M33" s="76"/>
      <c r="N33" s="23"/>
      <c r="P33" s="23"/>
    </row>
    <row r="34" spans="2:16" x14ac:dyDescent="0.3">
      <c r="D34" s="24"/>
      <c r="E34" s="73"/>
      <c r="F34" s="62"/>
      <c r="G34" s="62"/>
      <c r="H34" s="75"/>
      <c r="I34" s="68"/>
      <c r="J34" s="24"/>
      <c r="K34" s="77"/>
      <c r="L34" s="24"/>
      <c r="M34" s="76"/>
      <c r="N34" s="23"/>
      <c r="P34" s="23"/>
    </row>
    <row r="35" spans="2:16" x14ac:dyDescent="0.3">
      <c r="B35" s="74"/>
      <c r="D35" s="24"/>
      <c r="F35" s="62"/>
      <c r="H35" s="74"/>
      <c r="I35" s="62"/>
      <c r="J35" s="26"/>
      <c r="N35" s="23"/>
      <c r="P35" s="23"/>
    </row>
    <row r="36" spans="2:16" x14ac:dyDescent="0.3">
      <c r="E36" s="24"/>
      <c r="F36" s="78"/>
      <c r="G36" s="62"/>
      <c r="H36" s="75"/>
      <c r="I36" s="62"/>
      <c r="K36" s="24"/>
      <c r="L36" s="76"/>
    </row>
    <row r="37" spans="2:16" x14ac:dyDescent="0.3">
      <c r="D37" s="24"/>
      <c r="E37" s="24"/>
      <c r="F37" s="26"/>
      <c r="G37" s="24"/>
      <c r="H37" s="26"/>
      <c r="I37" s="62"/>
      <c r="J37" s="26"/>
      <c r="N37" s="23"/>
      <c r="P37" s="23"/>
    </row>
    <row r="38" spans="2:16" x14ac:dyDescent="0.3">
      <c r="D38" s="24"/>
      <c r="E38" s="24"/>
      <c r="F38" s="79"/>
      <c r="G38" s="24"/>
      <c r="H38" s="26"/>
      <c r="I38" s="62"/>
      <c r="J38" s="26"/>
      <c r="N38" s="23"/>
      <c r="P38" s="23"/>
    </row>
    <row r="39" spans="2:16" x14ac:dyDescent="0.3">
      <c r="D39" s="24"/>
      <c r="E39" s="24"/>
      <c r="F39" s="73"/>
      <c r="I39" s="24"/>
      <c r="J39" s="26"/>
      <c r="K39" s="26"/>
      <c r="N39" s="23"/>
      <c r="P39" s="23"/>
    </row>
    <row r="40" spans="2:16" x14ac:dyDescent="0.3">
      <c r="D40" s="24"/>
      <c r="E40" s="24"/>
      <c r="F40" s="73"/>
      <c r="I40" s="24"/>
      <c r="J40" s="71"/>
      <c r="K40" s="26"/>
      <c r="N40" s="23"/>
      <c r="P40" s="23"/>
    </row>
    <row r="41" spans="2:16" x14ac:dyDescent="0.3">
      <c r="D41" s="24"/>
      <c r="E41" s="24"/>
      <c r="F41" s="73"/>
      <c r="I41" s="24"/>
      <c r="J41" s="79"/>
      <c r="K41" s="26"/>
      <c r="N41" s="23"/>
      <c r="P41" s="23"/>
    </row>
    <row r="42" spans="2:16" x14ac:dyDescent="0.3">
      <c r="D42" s="24"/>
      <c r="E42" s="24"/>
      <c r="F42" s="73"/>
      <c r="N42" s="23"/>
      <c r="P42" s="23"/>
    </row>
    <row r="43" spans="2:16" x14ac:dyDescent="0.3">
      <c r="D43" s="24"/>
      <c r="E43" s="24"/>
      <c r="F43" s="73"/>
      <c r="I43" s="24"/>
      <c r="J43" s="26"/>
      <c r="K43" s="26"/>
      <c r="N43" s="23"/>
      <c r="P43" s="23"/>
    </row>
    <row r="44" spans="2:16" x14ac:dyDescent="0.3">
      <c r="D44" s="24"/>
      <c r="E44" s="24"/>
      <c r="F44" s="73"/>
      <c r="I44" s="24"/>
      <c r="J44" s="26"/>
      <c r="K44" s="26"/>
      <c r="N44" s="23"/>
      <c r="P44" s="23"/>
    </row>
    <row r="45" spans="2:16" x14ac:dyDescent="0.3">
      <c r="D45" s="24"/>
      <c r="E45" s="24"/>
      <c r="F45" s="73"/>
      <c r="I45" s="24"/>
      <c r="J45" s="26"/>
      <c r="K45" s="26"/>
      <c r="N45" s="23"/>
      <c r="P45" s="23"/>
    </row>
    <row r="46" spans="2:16" x14ac:dyDescent="0.3">
      <c r="D46" s="24"/>
      <c r="E46" s="24"/>
      <c r="F46" s="73"/>
      <c r="I46" s="24"/>
      <c r="J46" s="26"/>
      <c r="K46" s="26"/>
      <c r="N46" s="23"/>
      <c r="P46" s="23"/>
    </row>
    <row r="47" spans="2:16" x14ac:dyDescent="0.3">
      <c r="D47" s="24"/>
      <c r="E47" s="24"/>
      <c r="F47" s="73"/>
      <c r="I47" s="24"/>
      <c r="J47" s="26"/>
      <c r="K47" s="26"/>
      <c r="N47" s="23"/>
      <c r="P47" s="23"/>
    </row>
    <row r="48" spans="2:16" x14ac:dyDescent="0.3">
      <c r="D48" s="24"/>
      <c r="E48" s="24"/>
      <c r="F48" s="73"/>
      <c r="I48" s="24"/>
      <c r="J48" s="26"/>
      <c r="K48" s="26"/>
      <c r="N48" s="23"/>
      <c r="P48" s="23"/>
    </row>
    <row r="49" spans="3:4" ht="13.5" x14ac:dyDescent="0.3">
      <c r="C49" s="24"/>
      <c r="D49" s="80"/>
    </row>
    <row r="50" spans="3:4" x14ac:dyDescent="0.3">
      <c r="C50" s="24"/>
    </row>
  </sheetData>
  <phoneticPr fontId="1"/>
  <pageMargins left="0.78740157480314965" right="0.27" top="0.98425196850393704" bottom="0.98425196850393704" header="0.51181102362204722" footer="0.51181102362204722"/>
  <pageSetup paperSize="9" orientation="portrait" verticalDpi="1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D6BAFC-9376-44D2-9E04-859CEB683F57}">
  <sheetPr codeName="Sheet26"/>
  <dimension ref="B2:R50"/>
  <sheetViews>
    <sheetView zoomScale="150" zoomScaleNormal="150" workbookViewId="0">
      <selection activeCell="J19" sqref="J19"/>
    </sheetView>
  </sheetViews>
  <sheetFormatPr defaultColWidth="8.15625" defaultRowHeight="12.3" x14ac:dyDescent="0.3"/>
  <cols>
    <col min="1" max="1" width="2.41796875" style="22" customWidth="1"/>
    <col min="2" max="14" width="7.3671875" style="22" customWidth="1"/>
    <col min="15" max="16384" width="8.15625" style="22"/>
  </cols>
  <sheetData>
    <row r="2" spans="2:17" x14ac:dyDescent="0.3">
      <c r="B2" s="22" t="s">
        <v>164</v>
      </c>
      <c r="D2" s="22" t="s">
        <v>124</v>
      </c>
    </row>
    <row r="3" spans="2:17" x14ac:dyDescent="0.3">
      <c r="B3" s="22" t="s">
        <v>125</v>
      </c>
      <c r="H3" s="50"/>
      <c r="I3" s="50"/>
      <c r="J3" s="50"/>
      <c r="N3" s="23"/>
      <c r="P3" s="23"/>
    </row>
    <row r="4" spans="2:17" ht="13.5" x14ac:dyDescent="0.3">
      <c r="D4" s="24" t="s">
        <v>126</v>
      </c>
      <c r="E4" s="51">
        <v>21</v>
      </c>
      <c r="F4" s="52" t="s">
        <v>127</v>
      </c>
      <c r="G4" s="24" t="s">
        <v>128</v>
      </c>
      <c r="H4" s="81">
        <f>RC_shear(E4)</f>
        <v>0.7</v>
      </c>
      <c r="I4" s="53" t="s">
        <v>127</v>
      </c>
      <c r="J4" s="50"/>
      <c r="N4" s="23"/>
      <c r="P4" s="54"/>
      <c r="Q4" s="55"/>
    </row>
    <row r="5" spans="2:17" ht="13.5" x14ac:dyDescent="0.3">
      <c r="D5" s="24" t="s">
        <v>129</v>
      </c>
      <c r="E5" s="56" t="s">
        <v>131</v>
      </c>
      <c r="G5" s="35" t="s">
        <v>130</v>
      </c>
      <c r="H5" s="57">
        <v>195</v>
      </c>
      <c r="I5" s="53" t="s">
        <v>127</v>
      </c>
      <c r="J5" s="50"/>
      <c r="K5" s="58" t="s">
        <v>133</v>
      </c>
      <c r="N5" s="23"/>
      <c r="P5" s="54"/>
      <c r="Q5" s="55"/>
    </row>
    <row r="6" spans="2:17" ht="13.5" x14ac:dyDescent="0.3">
      <c r="D6" s="24" t="s">
        <v>163</v>
      </c>
      <c r="E6" s="56" t="s">
        <v>131</v>
      </c>
      <c r="G6" s="35" t="s">
        <v>132</v>
      </c>
      <c r="H6" s="57">
        <v>195</v>
      </c>
      <c r="I6" s="53" t="s">
        <v>127</v>
      </c>
      <c r="J6" s="50"/>
      <c r="K6" s="58" t="s">
        <v>133</v>
      </c>
      <c r="N6" s="23"/>
      <c r="P6" s="54"/>
      <c r="Q6" s="55"/>
    </row>
    <row r="7" spans="2:17" x14ac:dyDescent="0.3">
      <c r="D7" s="24" t="s">
        <v>162</v>
      </c>
      <c r="E7" s="56">
        <v>1100</v>
      </c>
      <c r="F7" s="22" t="s">
        <v>134</v>
      </c>
      <c r="G7" s="35"/>
      <c r="H7" s="50"/>
      <c r="I7" s="59"/>
      <c r="J7" s="50"/>
      <c r="N7" s="23"/>
      <c r="P7" s="54"/>
      <c r="Q7" s="55"/>
    </row>
    <row r="8" spans="2:17" x14ac:dyDescent="0.3">
      <c r="D8" s="24" t="s">
        <v>135</v>
      </c>
      <c r="E8" s="56">
        <v>1000</v>
      </c>
      <c r="F8" s="25" t="s">
        <v>134</v>
      </c>
      <c r="G8" s="60" t="s">
        <v>136</v>
      </c>
      <c r="H8" s="51">
        <v>450</v>
      </c>
      <c r="I8" s="61" t="s">
        <v>134</v>
      </c>
      <c r="N8" s="23"/>
      <c r="P8" s="54"/>
      <c r="Q8" s="55"/>
    </row>
    <row r="9" spans="2:17" x14ac:dyDescent="0.3">
      <c r="D9" s="24"/>
      <c r="E9" s="56"/>
      <c r="H9" s="35"/>
      <c r="I9" s="51"/>
      <c r="J9" s="61"/>
      <c r="N9" s="23"/>
      <c r="P9" s="54"/>
      <c r="Q9" s="55"/>
    </row>
    <row r="10" spans="2:17" x14ac:dyDescent="0.3">
      <c r="D10" s="24" t="s">
        <v>167</v>
      </c>
      <c r="E10" s="56" t="s">
        <v>154</v>
      </c>
      <c r="F10" s="24" t="s">
        <v>137</v>
      </c>
      <c r="G10" s="59">
        <f t="array" ref="G10">barX(E10,"a")</f>
        <v>762</v>
      </c>
      <c r="H10" s="50" t="s">
        <v>138</v>
      </c>
      <c r="I10" s="60" t="s">
        <v>139</v>
      </c>
      <c r="J10" s="62">
        <v>70</v>
      </c>
      <c r="K10" s="22" t="s">
        <v>134</v>
      </c>
      <c r="N10" s="23"/>
      <c r="P10" s="54"/>
      <c r="Q10" s="55"/>
    </row>
    <row r="11" spans="2:17" x14ac:dyDescent="0.3">
      <c r="D11" s="24" t="s">
        <v>161</v>
      </c>
      <c r="E11" s="24" t="s">
        <v>140</v>
      </c>
      <c r="F11" s="59">
        <f>RC_dt1(J10,K6,K5)</f>
        <v>91</v>
      </c>
      <c r="H11" s="62"/>
      <c r="I11" s="24"/>
      <c r="J11" s="63"/>
      <c r="K11" s="24"/>
      <c r="L11" s="64"/>
      <c r="N11" s="23"/>
      <c r="P11" s="23"/>
    </row>
    <row r="12" spans="2:17" x14ac:dyDescent="0.3">
      <c r="D12" s="24" t="s">
        <v>168</v>
      </c>
      <c r="F12" s="83" t="s">
        <v>141</v>
      </c>
      <c r="G12" s="65">
        <f>H8-F11</f>
        <v>359</v>
      </c>
      <c r="H12" s="61" t="s">
        <v>134</v>
      </c>
      <c r="I12" s="82" t="s">
        <v>142</v>
      </c>
      <c r="J12" s="66">
        <f>G12*7/8</f>
        <v>314.125</v>
      </c>
      <c r="L12" s="64"/>
      <c r="N12" s="23"/>
      <c r="P12" s="23"/>
    </row>
    <row r="13" spans="2:17" x14ac:dyDescent="0.3">
      <c r="D13" s="24" t="s">
        <v>143</v>
      </c>
      <c r="E13" s="56"/>
      <c r="F13" s="24" t="s">
        <v>137</v>
      </c>
      <c r="G13" s="59">
        <f t="array" ref="G13">barX(E13,"a")</f>
        <v>0</v>
      </c>
      <c r="H13" s="61" t="s">
        <v>138</v>
      </c>
      <c r="I13" s="67" t="s">
        <v>144</v>
      </c>
      <c r="J13" s="57">
        <v>0</v>
      </c>
      <c r="K13" s="22" t="s">
        <v>134</v>
      </c>
      <c r="L13" s="64"/>
      <c r="N13" s="23"/>
      <c r="P13" s="23"/>
    </row>
    <row r="14" spans="2:17" x14ac:dyDescent="0.3">
      <c r="N14" s="23"/>
      <c r="P14" s="23"/>
    </row>
    <row r="15" spans="2:17" x14ac:dyDescent="0.3">
      <c r="B15" s="22" t="s">
        <v>165</v>
      </c>
      <c r="N15" s="23"/>
      <c r="P15" s="23"/>
    </row>
    <row r="16" spans="2:17" x14ac:dyDescent="0.3">
      <c r="D16" s="24" t="s">
        <v>147</v>
      </c>
      <c r="E16" s="24" t="s">
        <v>171</v>
      </c>
      <c r="F16" s="68">
        <v>22</v>
      </c>
      <c r="G16" s="22" t="s">
        <v>148</v>
      </c>
      <c r="N16" s="23"/>
      <c r="P16" s="23"/>
    </row>
    <row r="17" spans="2:18" x14ac:dyDescent="0.3">
      <c r="D17" s="24" t="s">
        <v>166</v>
      </c>
      <c r="F17" s="24" t="s">
        <v>173</v>
      </c>
      <c r="G17" s="64">
        <f>G10*H5*J12/1000/1000</f>
        <v>46.675833749999995</v>
      </c>
      <c r="H17" s="22" t="s">
        <v>170</v>
      </c>
      <c r="N17" s="23"/>
      <c r="P17" s="23"/>
    </row>
    <row r="18" spans="2:18" x14ac:dyDescent="0.3">
      <c r="E18" s="24" t="s">
        <v>174</v>
      </c>
      <c r="F18" s="73">
        <f>F16/G17</f>
        <v>0.47133598336633897</v>
      </c>
      <c r="G18" s="22" t="str">
        <f>IF(F18&lt;1,"OK","NG")</f>
        <v>OK</v>
      </c>
      <c r="N18" s="23"/>
      <c r="P18" s="23"/>
    </row>
    <row r="19" spans="2:18" x14ac:dyDescent="0.3">
      <c r="B19" s="22" t="s">
        <v>169</v>
      </c>
      <c r="D19" s="24"/>
      <c r="F19" s="62"/>
      <c r="G19" s="62"/>
      <c r="H19" s="61"/>
      <c r="I19" s="50"/>
      <c r="J19" s="50"/>
      <c r="N19" s="54"/>
      <c r="P19" s="23"/>
    </row>
    <row r="20" spans="2:18" x14ac:dyDescent="0.3">
      <c r="D20" s="24" t="s">
        <v>145</v>
      </c>
      <c r="E20" s="24" t="s">
        <v>172</v>
      </c>
      <c r="F20" s="62">
        <v>72</v>
      </c>
      <c r="G20" s="22" t="s">
        <v>146</v>
      </c>
      <c r="H20" s="24"/>
      <c r="I20" s="62"/>
      <c r="J20" s="26"/>
      <c r="N20" s="23"/>
      <c r="P20" s="23"/>
    </row>
    <row r="21" spans="2:18" x14ac:dyDescent="0.3">
      <c r="D21" s="24" t="s">
        <v>147</v>
      </c>
      <c r="E21" s="24" t="s">
        <v>171</v>
      </c>
      <c r="F21" s="68">
        <v>22</v>
      </c>
      <c r="G21" s="22" t="s">
        <v>148</v>
      </c>
      <c r="H21" s="24"/>
      <c r="I21" s="68"/>
      <c r="N21" s="23"/>
      <c r="P21" s="23"/>
    </row>
    <row r="22" spans="2:18" x14ac:dyDescent="0.3">
      <c r="D22" s="24" t="s">
        <v>149</v>
      </c>
      <c r="E22" s="24"/>
      <c r="F22" s="24" t="s">
        <v>150</v>
      </c>
      <c r="G22" s="69">
        <f>G10/(E8*G12)</f>
        <v>2.1225626740947077E-3</v>
      </c>
      <c r="H22" s="24"/>
      <c r="I22" s="62"/>
      <c r="J22" s="26"/>
      <c r="N22" s="23"/>
      <c r="P22" s="23"/>
    </row>
    <row r="23" spans="2:18" x14ac:dyDescent="0.3">
      <c r="D23" s="24" t="s">
        <v>151</v>
      </c>
      <c r="E23" s="24"/>
      <c r="F23" s="24" t="s">
        <v>152</v>
      </c>
      <c r="G23" s="69" t="str">
        <f>IF(E13="","",G13/(E8*J13))</f>
        <v/>
      </c>
      <c r="H23" s="24"/>
      <c r="I23" s="62"/>
      <c r="J23" s="26"/>
      <c r="M23" s="62"/>
      <c r="N23" s="26"/>
      <c r="O23" s="62"/>
      <c r="P23" s="26"/>
    </row>
    <row r="24" spans="2:18" x14ac:dyDescent="0.3">
      <c r="D24" s="24" t="s">
        <v>157</v>
      </c>
      <c r="E24" s="70">
        <f>IF(E13="",1,MIN(2,J24))</f>
        <v>1</v>
      </c>
      <c r="F24" s="62"/>
      <c r="H24" s="71"/>
      <c r="I24" s="24" t="s">
        <v>158</v>
      </c>
      <c r="J24" s="22">
        <f>4/(F21/(F20*G12/1000+1))</f>
        <v>4.8814545454545453</v>
      </c>
      <c r="N24" s="23"/>
      <c r="P24" s="23"/>
    </row>
    <row r="25" spans="2:18" x14ac:dyDescent="0.3">
      <c r="D25" s="24" t="s">
        <v>153</v>
      </c>
      <c r="E25" s="24" t="s">
        <v>156</v>
      </c>
      <c r="F25" s="26" t="s">
        <v>155</v>
      </c>
      <c r="G25" s="24"/>
      <c r="H25" s="26"/>
      <c r="I25" s="22" t="s">
        <v>159</v>
      </c>
      <c r="J25" s="26">
        <f>E8*J12*H4/1000</f>
        <v>219.88749999999999</v>
      </c>
      <c r="N25" s="23"/>
      <c r="P25" s="23"/>
    </row>
    <row r="26" spans="2:18" x14ac:dyDescent="0.3">
      <c r="D26" s="24"/>
      <c r="E26" s="24" t="s">
        <v>156</v>
      </c>
      <c r="F26" s="72">
        <f>E8*J12*E24*H4/1000</f>
        <v>219.88749999999999</v>
      </c>
      <c r="G26" s="24"/>
      <c r="H26" s="26"/>
      <c r="I26" s="62"/>
      <c r="J26" s="26"/>
      <c r="K26" s="26"/>
      <c r="N26" s="23"/>
      <c r="P26" s="23"/>
    </row>
    <row r="27" spans="2:18" x14ac:dyDescent="0.3">
      <c r="D27" s="24"/>
      <c r="E27" s="24" t="s">
        <v>160</v>
      </c>
      <c r="F27" s="73">
        <f>F20/F26</f>
        <v>0.32744016826786426</v>
      </c>
      <c r="G27" s="22" t="str">
        <f>IF(F27&lt;1,"OK","NG")</f>
        <v>OK</v>
      </c>
      <c r="I27" s="24"/>
      <c r="J27" s="26"/>
      <c r="N27" s="23"/>
      <c r="P27" s="23"/>
    </row>
    <row r="28" spans="2:18" x14ac:dyDescent="0.3">
      <c r="D28" s="24"/>
      <c r="E28" s="24"/>
      <c r="F28" s="26"/>
      <c r="G28" s="24"/>
      <c r="H28" s="26"/>
      <c r="J28" s="26"/>
      <c r="K28" s="62"/>
      <c r="N28" s="23"/>
      <c r="P28" s="23"/>
    </row>
    <row r="29" spans="2:18" x14ac:dyDescent="0.3">
      <c r="D29" s="24"/>
      <c r="E29" s="24"/>
      <c r="F29" s="72"/>
      <c r="G29" s="24"/>
      <c r="H29" s="26"/>
      <c r="I29" s="62"/>
      <c r="J29" s="26"/>
      <c r="K29" s="62"/>
      <c r="N29" s="23"/>
      <c r="P29" s="23"/>
    </row>
    <row r="30" spans="2:18" x14ac:dyDescent="0.3">
      <c r="B30" s="74"/>
      <c r="D30" s="24"/>
      <c r="E30" s="24"/>
      <c r="F30" s="73"/>
      <c r="I30" s="24"/>
      <c r="J30" s="26"/>
      <c r="L30" s="24"/>
      <c r="M30" s="76"/>
      <c r="N30" s="23"/>
      <c r="P30" s="23"/>
    </row>
    <row r="31" spans="2:18" x14ac:dyDescent="0.3">
      <c r="D31" s="24"/>
      <c r="E31" s="73"/>
      <c r="F31" s="62"/>
      <c r="G31" s="62"/>
      <c r="H31" s="75"/>
      <c r="I31" s="68"/>
      <c r="J31" s="24"/>
      <c r="L31" s="24"/>
      <c r="M31" s="76"/>
      <c r="N31" s="23"/>
      <c r="P31" s="23"/>
    </row>
    <row r="32" spans="2:18" x14ac:dyDescent="0.3">
      <c r="D32" s="24"/>
      <c r="F32" s="62"/>
      <c r="H32" s="74"/>
      <c r="I32" s="62"/>
      <c r="J32" s="26"/>
      <c r="N32" s="23"/>
      <c r="P32" s="23"/>
      <c r="R32" s="23"/>
    </row>
    <row r="33" spans="2:16" x14ac:dyDescent="0.3">
      <c r="D33" s="24"/>
      <c r="E33" s="73"/>
      <c r="F33" s="62"/>
      <c r="G33" s="62"/>
      <c r="H33" s="75"/>
      <c r="I33" s="62"/>
      <c r="J33" s="24"/>
      <c r="K33" s="77"/>
      <c r="L33" s="24"/>
      <c r="M33" s="76"/>
      <c r="N33" s="23"/>
      <c r="P33" s="23"/>
    </row>
    <row r="34" spans="2:16" x14ac:dyDescent="0.3">
      <c r="D34" s="24"/>
      <c r="E34" s="73"/>
      <c r="F34" s="62"/>
      <c r="G34" s="62"/>
      <c r="H34" s="75"/>
      <c r="I34" s="68"/>
      <c r="J34" s="24"/>
      <c r="K34" s="77"/>
      <c r="L34" s="24"/>
      <c r="M34" s="76"/>
      <c r="N34" s="23"/>
      <c r="P34" s="23"/>
    </row>
    <row r="35" spans="2:16" x14ac:dyDescent="0.3">
      <c r="B35" s="74"/>
      <c r="D35" s="24"/>
      <c r="F35" s="62"/>
      <c r="H35" s="74"/>
      <c r="I35" s="62"/>
      <c r="J35" s="26"/>
      <c r="N35" s="23"/>
      <c r="P35" s="23"/>
    </row>
    <row r="36" spans="2:16" x14ac:dyDescent="0.3">
      <c r="E36" s="24"/>
      <c r="F36" s="78"/>
      <c r="G36" s="62"/>
      <c r="H36" s="75"/>
      <c r="I36" s="62"/>
      <c r="K36" s="24"/>
      <c r="L36" s="76"/>
    </row>
    <row r="37" spans="2:16" x14ac:dyDescent="0.3">
      <c r="D37" s="24"/>
      <c r="E37" s="24"/>
      <c r="F37" s="26"/>
      <c r="G37" s="24"/>
      <c r="H37" s="26"/>
      <c r="I37" s="62"/>
      <c r="J37" s="26"/>
      <c r="N37" s="23"/>
      <c r="P37" s="23"/>
    </row>
    <row r="38" spans="2:16" x14ac:dyDescent="0.3">
      <c r="D38" s="24"/>
      <c r="E38" s="24"/>
      <c r="F38" s="79"/>
      <c r="G38" s="24"/>
      <c r="H38" s="26"/>
      <c r="I38" s="62"/>
      <c r="J38" s="26"/>
      <c r="N38" s="23"/>
      <c r="P38" s="23"/>
    </row>
    <row r="39" spans="2:16" x14ac:dyDescent="0.3">
      <c r="D39" s="24"/>
      <c r="E39" s="24"/>
      <c r="F39" s="73"/>
      <c r="I39" s="24"/>
      <c r="J39" s="26"/>
      <c r="K39" s="26"/>
      <c r="N39" s="23"/>
      <c r="P39" s="23"/>
    </row>
    <row r="40" spans="2:16" x14ac:dyDescent="0.3">
      <c r="D40" s="24"/>
      <c r="E40" s="24"/>
      <c r="F40" s="73"/>
      <c r="I40" s="24"/>
      <c r="J40" s="71"/>
      <c r="K40" s="26"/>
      <c r="N40" s="23"/>
      <c r="P40" s="23"/>
    </row>
    <row r="41" spans="2:16" x14ac:dyDescent="0.3">
      <c r="D41" s="24"/>
      <c r="E41" s="24"/>
      <c r="F41" s="73"/>
      <c r="I41" s="24"/>
      <c r="J41" s="79"/>
      <c r="K41" s="26"/>
      <c r="N41" s="23"/>
      <c r="P41" s="23"/>
    </row>
    <row r="42" spans="2:16" x14ac:dyDescent="0.3">
      <c r="D42" s="24"/>
      <c r="E42" s="24"/>
      <c r="F42" s="73"/>
      <c r="N42" s="23"/>
      <c r="P42" s="23"/>
    </row>
    <row r="43" spans="2:16" x14ac:dyDescent="0.3">
      <c r="D43" s="24"/>
      <c r="E43" s="24"/>
      <c r="F43" s="73"/>
      <c r="I43" s="24"/>
      <c r="J43" s="26"/>
      <c r="K43" s="26"/>
      <c r="N43" s="23"/>
      <c r="P43" s="23"/>
    </row>
    <row r="44" spans="2:16" x14ac:dyDescent="0.3">
      <c r="D44" s="24"/>
      <c r="E44" s="24"/>
      <c r="F44" s="73"/>
      <c r="I44" s="24"/>
      <c r="J44" s="26"/>
      <c r="K44" s="26"/>
      <c r="N44" s="23"/>
      <c r="P44" s="23"/>
    </row>
    <row r="45" spans="2:16" x14ac:dyDescent="0.3">
      <c r="D45" s="24"/>
      <c r="E45" s="24"/>
      <c r="F45" s="73"/>
      <c r="I45" s="24"/>
      <c r="J45" s="26"/>
      <c r="K45" s="26"/>
      <c r="N45" s="23"/>
      <c r="P45" s="23"/>
    </row>
    <row r="46" spans="2:16" x14ac:dyDescent="0.3">
      <c r="D46" s="24"/>
      <c r="E46" s="24"/>
      <c r="F46" s="73"/>
      <c r="I46" s="24"/>
      <c r="J46" s="26"/>
      <c r="K46" s="26"/>
      <c r="N46" s="23"/>
      <c r="P46" s="23"/>
    </row>
    <row r="47" spans="2:16" x14ac:dyDescent="0.3">
      <c r="D47" s="24"/>
      <c r="E47" s="24"/>
      <c r="F47" s="73"/>
      <c r="I47" s="24"/>
      <c r="J47" s="26"/>
      <c r="K47" s="26"/>
      <c r="N47" s="23"/>
      <c r="P47" s="23"/>
    </row>
    <row r="48" spans="2:16" x14ac:dyDescent="0.3">
      <c r="D48" s="24"/>
      <c r="E48" s="24"/>
      <c r="F48" s="73"/>
      <c r="I48" s="24"/>
      <c r="J48" s="26"/>
      <c r="K48" s="26"/>
      <c r="N48" s="23"/>
      <c r="P48" s="23"/>
    </row>
    <row r="49" spans="3:4" ht="13.5" x14ac:dyDescent="0.3">
      <c r="C49" s="24"/>
      <c r="D49" s="80"/>
    </row>
    <row r="50" spans="3:4" x14ac:dyDescent="0.3">
      <c r="C50" s="24"/>
    </row>
  </sheetData>
  <phoneticPr fontId="1"/>
  <pageMargins left="0.78740157480314965" right="0.27" top="0.98425196850393704" bottom="0.98425196850393704" header="0.51181102362204722" footer="0.51181102362204722"/>
  <pageSetup paperSize="9" orientation="portrait" verticalDpi="1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5FF99-51AD-449C-9142-66763402902E}">
  <sheetPr codeName="Sheet10"/>
  <dimension ref="B2:L64"/>
  <sheetViews>
    <sheetView workbookViewId="0">
      <selection activeCell="O40" sqref="O40"/>
    </sheetView>
  </sheetViews>
  <sheetFormatPr defaultColWidth="9" defaultRowHeight="12.3" x14ac:dyDescent="0.3"/>
  <cols>
    <col min="1" max="1" width="2.3671875" style="22" customWidth="1"/>
    <col min="2" max="5" width="10.1015625" style="22" customWidth="1"/>
    <col min="6" max="6" width="3.578125" style="22" customWidth="1"/>
    <col min="7" max="7" width="6.83984375" style="22" customWidth="1"/>
    <col min="8" max="12" width="8.578125" style="22" customWidth="1"/>
    <col min="13" max="16384" width="9" style="22"/>
  </cols>
  <sheetData>
    <row r="2" spans="2:12" x14ac:dyDescent="0.3">
      <c r="B2" s="24" t="s">
        <v>101</v>
      </c>
      <c r="C2" s="26">
        <v>21</v>
      </c>
      <c r="G2" s="24" t="s">
        <v>103</v>
      </c>
      <c r="H2" s="26">
        <v>295</v>
      </c>
    </row>
    <row r="3" spans="2:12" x14ac:dyDescent="0.3">
      <c r="B3" s="24" t="s">
        <v>100</v>
      </c>
      <c r="C3" s="26">
        <f>C2/30</f>
        <v>0.7</v>
      </c>
      <c r="D3" s="24" t="s">
        <v>180</v>
      </c>
      <c r="E3" s="70">
        <f>Rc_fa(C2)</f>
        <v>2.1</v>
      </c>
      <c r="G3" s="24" t="s">
        <v>104</v>
      </c>
      <c r="H3" s="26">
        <v>195</v>
      </c>
    </row>
    <row r="4" spans="2:12" x14ac:dyDescent="0.3">
      <c r="B4" s="24" t="s">
        <v>102</v>
      </c>
      <c r="C4" s="26">
        <f>C3*1.5</f>
        <v>1.0499999999999998</v>
      </c>
      <c r="G4" s="24" t="s">
        <v>105</v>
      </c>
      <c r="H4" s="26">
        <v>295</v>
      </c>
      <c r="J4" s="23"/>
    </row>
    <row r="5" spans="2:12" x14ac:dyDescent="0.3">
      <c r="B5" s="97" t="s">
        <v>116</v>
      </c>
      <c r="C5" s="97"/>
      <c r="D5" s="97"/>
      <c r="E5" s="97"/>
      <c r="F5" s="102"/>
      <c r="G5" s="102"/>
      <c r="H5" s="102"/>
      <c r="I5" s="97" t="s">
        <v>6</v>
      </c>
      <c r="J5" s="97"/>
      <c r="K5" s="97" t="s">
        <v>7</v>
      </c>
      <c r="L5" s="97"/>
    </row>
    <row r="6" spans="2:12" x14ac:dyDescent="0.3">
      <c r="B6" s="97"/>
      <c r="C6" s="97"/>
      <c r="D6" s="97"/>
      <c r="E6" s="97"/>
      <c r="F6" s="102"/>
      <c r="G6" s="102"/>
      <c r="H6" s="102"/>
      <c r="I6" s="97"/>
      <c r="J6" s="97"/>
      <c r="K6" s="97"/>
      <c r="L6" s="97"/>
    </row>
    <row r="7" spans="2:12" x14ac:dyDescent="0.3">
      <c r="B7" s="28" t="s">
        <v>83</v>
      </c>
      <c r="C7" s="29">
        <v>930</v>
      </c>
      <c r="D7" s="30" t="s">
        <v>107</v>
      </c>
      <c r="E7" s="31">
        <f>C8*C9/1000/1000</f>
        <v>2</v>
      </c>
      <c r="F7" s="103" t="s">
        <v>114</v>
      </c>
      <c r="G7" s="101" t="s">
        <v>68</v>
      </c>
      <c r="H7" s="101"/>
      <c r="I7" s="101" t="s">
        <v>67</v>
      </c>
      <c r="J7" s="101"/>
      <c r="K7" s="101" t="s">
        <v>111</v>
      </c>
      <c r="L7" s="101"/>
    </row>
    <row r="8" spans="2:12" x14ac:dyDescent="0.3">
      <c r="B8" s="32" t="s">
        <v>87</v>
      </c>
      <c r="C8" s="25">
        <v>2000</v>
      </c>
      <c r="D8" s="35" t="s">
        <v>109</v>
      </c>
      <c r="E8" s="34">
        <f>I8/E7</f>
        <v>119</v>
      </c>
      <c r="F8" s="103"/>
      <c r="G8" s="93" t="s">
        <v>69</v>
      </c>
      <c r="H8" s="93"/>
      <c r="I8" s="93">
        <v>238</v>
      </c>
      <c r="J8" s="93"/>
      <c r="K8" s="93">
        <v>305</v>
      </c>
      <c r="L8" s="93"/>
    </row>
    <row r="9" spans="2:12" x14ac:dyDescent="0.3">
      <c r="B9" s="32" t="s">
        <v>86</v>
      </c>
      <c r="C9" s="25">
        <v>1000</v>
      </c>
      <c r="D9" s="35" t="s">
        <v>110</v>
      </c>
      <c r="E9" s="34">
        <f>K8/E7</f>
        <v>152.5</v>
      </c>
      <c r="F9" s="103"/>
      <c r="G9" s="93" t="s">
        <v>71</v>
      </c>
      <c r="H9" s="93"/>
      <c r="I9" s="93">
        <f>E7*C7/1000*20</f>
        <v>37.200000000000003</v>
      </c>
      <c r="J9" s="93"/>
      <c r="K9" s="93">
        <f>+I9</f>
        <v>37.200000000000003</v>
      </c>
      <c r="L9" s="93"/>
    </row>
    <row r="10" spans="2:12" x14ac:dyDescent="0.3">
      <c r="B10" s="32" t="s">
        <v>84</v>
      </c>
      <c r="C10" s="25">
        <v>600</v>
      </c>
      <c r="D10" s="35" t="s">
        <v>90</v>
      </c>
      <c r="E10" s="34">
        <f>barX(I21,"A")</f>
        <v>762</v>
      </c>
      <c r="F10" s="103"/>
      <c r="G10" s="93" t="s">
        <v>70</v>
      </c>
      <c r="H10" s="93"/>
      <c r="I10" s="93">
        <f>I8+I9</f>
        <v>275.2</v>
      </c>
      <c r="J10" s="93"/>
      <c r="K10" s="93">
        <f>K8+K9</f>
        <v>342.2</v>
      </c>
      <c r="L10" s="93"/>
    </row>
    <row r="11" spans="2:12" x14ac:dyDescent="0.3">
      <c r="B11" s="32" t="s">
        <v>99</v>
      </c>
      <c r="C11" s="25">
        <f>RC_dt1(70,I21,J21)</f>
        <v>91</v>
      </c>
      <c r="D11" s="35" t="s">
        <v>91</v>
      </c>
      <c r="E11" s="34">
        <f>barX(J21,"A")</f>
        <v>1397</v>
      </c>
      <c r="F11" s="103"/>
      <c r="G11" s="93" t="s">
        <v>72</v>
      </c>
      <c r="H11" s="93"/>
      <c r="I11" s="93">
        <v>0</v>
      </c>
      <c r="J11" s="93"/>
      <c r="K11" s="93">
        <v>0</v>
      </c>
      <c r="L11" s="93"/>
    </row>
    <row r="12" spans="2:12" x14ac:dyDescent="0.3">
      <c r="B12" s="32" t="s">
        <v>96</v>
      </c>
      <c r="C12" s="25">
        <f>C10-C11</f>
        <v>509</v>
      </c>
      <c r="D12" s="35" t="s">
        <v>120</v>
      </c>
      <c r="E12" s="34">
        <f>llr(C8,C14,E14)</f>
        <v>600</v>
      </c>
      <c r="F12" s="103"/>
      <c r="G12" s="93" t="s">
        <v>73</v>
      </c>
      <c r="H12" s="93"/>
      <c r="I12" s="93">
        <v>0</v>
      </c>
      <c r="J12" s="93"/>
      <c r="K12" s="93">
        <v>0</v>
      </c>
      <c r="L12" s="93"/>
    </row>
    <row r="13" spans="2:12" x14ac:dyDescent="0.3">
      <c r="B13" s="32" t="s">
        <v>85</v>
      </c>
      <c r="C13" s="25">
        <f>C12*7/8</f>
        <v>445.375</v>
      </c>
      <c r="D13" s="35" t="s">
        <v>121</v>
      </c>
      <c r="E13" s="34">
        <f>llr(C9,C15,E15)</f>
        <v>100</v>
      </c>
      <c r="F13" s="103"/>
      <c r="G13" s="93" t="s">
        <v>75</v>
      </c>
      <c r="H13" s="93"/>
      <c r="I13" s="93">
        <f>I10/E7</f>
        <v>137.6</v>
      </c>
      <c r="J13" s="93"/>
      <c r="K13" s="93">
        <f>K10/E7</f>
        <v>171.1</v>
      </c>
      <c r="L13" s="93"/>
    </row>
    <row r="14" spans="2:12" x14ac:dyDescent="0.3">
      <c r="B14" s="32" t="s">
        <v>88</v>
      </c>
      <c r="C14" s="25">
        <v>800</v>
      </c>
      <c r="D14" s="35" t="s">
        <v>122</v>
      </c>
      <c r="E14" s="34">
        <v>0</v>
      </c>
      <c r="F14" s="103"/>
      <c r="G14" s="93" t="s">
        <v>74</v>
      </c>
      <c r="H14" s="93"/>
      <c r="I14" s="93">
        <v>190</v>
      </c>
      <c r="J14" s="93"/>
      <c r="K14" s="93">
        <v>380</v>
      </c>
      <c r="L14" s="93"/>
    </row>
    <row r="15" spans="2:12" x14ac:dyDescent="0.3">
      <c r="B15" s="32" t="s">
        <v>89</v>
      </c>
      <c r="C15" s="25">
        <v>800</v>
      </c>
      <c r="D15" s="35" t="s">
        <v>123</v>
      </c>
      <c r="E15" s="34">
        <v>0</v>
      </c>
      <c r="F15" s="103"/>
      <c r="G15" s="95" t="s">
        <v>92</v>
      </c>
      <c r="H15" s="95"/>
      <c r="I15" s="96">
        <f>I13/I14</f>
        <v>0.72421052631578942</v>
      </c>
      <c r="J15" s="96"/>
      <c r="K15" s="96">
        <f>K13/K14</f>
        <v>0.45026315789473681</v>
      </c>
      <c r="L15" s="96"/>
    </row>
    <row r="16" spans="2:12" ht="12.9" customHeight="1" x14ac:dyDescent="0.3">
      <c r="B16" s="37"/>
      <c r="C16" s="33"/>
      <c r="D16" s="33"/>
      <c r="E16" s="36"/>
      <c r="F16" s="97" t="s">
        <v>106</v>
      </c>
      <c r="G16" s="97"/>
      <c r="H16" s="97"/>
      <c r="I16" s="27" t="s">
        <v>76</v>
      </c>
      <c r="J16" s="27" t="s">
        <v>77</v>
      </c>
      <c r="K16" s="27" t="s">
        <v>76</v>
      </c>
      <c r="L16" s="27" t="s">
        <v>77</v>
      </c>
    </row>
    <row r="17" spans="2:12" x14ac:dyDescent="0.3">
      <c r="B17" s="37"/>
      <c r="C17" s="33"/>
      <c r="D17" s="33"/>
      <c r="E17" s="36"/>
      <c r="F17" s="98" t="s">
        <v>115</v>
      </c>
      <c r="G17" s="97" t="s">
        <v>117</v>
      </c>
      <c r="H17" s="41" t="s">
        <v>68</v>
      </c>
      <c r="I17" s="41" t="s">
        <v>67</v>
      </c>
      <c r="J17" s="41" t="s">
        <v>67</v>
      </c>
      <c r="K17" s="41" t="s">
        <v>67</v>
      </c>
      <c r="L17" s="41" t="s">
        <v>67</v>
      </c>
    </row>
    <row r="18" spans="2:12" x14ac:dyDescent="0.3">
      <c r="B18" s="37"/>
      <c r="C18" s="33"/>
      <c r="D18" s="33"/>
      <c r="E18" s="36"/>
      <c r="F18" s="99"/>
      <c r="G18" s="97"/>
      <c r="H18" s="42" t="s">
        <v>78</v>
      </c>
      <c r="I18" s="42"/>
      <c r="J18" s="43"/>
      <c r="K18" s="42"/>
      <c r="L18" s="43"/>
    </row>
    <row r="19" spans="2:12" x14ac:dyDescent="0.3">
      <c r="B19" s="37"/>
      <c r="C19" s="33"/>
      <c r="D19" s="33"/>
      <c r="E19" s="36"/>
      <c r="F19" s="99"/>
      <c r="G19" s="97"/>
      <c r="H19" s="42" t="s">
        <v>79</v>
      </c>
      <c r="I19" s="44">
        <f>1/2*E8*C9/1000*(E12/1000)^2</f>
        <v>21.419999999999998</v>
      </c>
      <c r="J19" s="44">
        <f>1/2*E8*C8/1000*(E13/1000)^2</f>
        <v>1.1900000000000002</v>
      </c>
      <c r="K19" s="44">
        <f>1/2*E9*C9/1000*(E12/1000)^2</f>
        <v>27.45</v>
      </c>
      <c r="L19" s="44">
        <f>1/2*E9*C8/1000*(E13/1000)^2</f>
        <v>1.5250000000000004</v>
      </c>
    </row>
    <row r="20" spans="2:12" x14ac:dyDescent="0.3">
      <c r="B20" s="37"/>
      <c r="C20" s="33"/>
      <c r="D20" s="33"/>
      <c r="E20" s="36"/>
      <c r="F20" s="99"/>
      <c r="G20" s="97"/>
      <c r="H20" s="42"/>
      <c r="I20" s="90">
        <f>RC_Ldb_foot(I19,I21,C12,C2,1)</f>
        <v>631.09917768137529</v>
      </c>
      <c r="J20" s="90">
        <f>RC_Ldb_foot(J19,J21,C12,C2,1)</f>
        <v>512.6999750812538</v>
      </c>
      <c r="K20" s="90">
        <f>RC_Ldb_foot(K19,K21,C12,C2,2)</f>
        <v>613.31442350929819</v>
      </c>
      <c r="L20" s="92">
        <f>RC_Ldb_foot(L19,L21,C12,C2,2)</f>
        <v>512.16104313664539</v>
      </c>
    </row>
    <row r="21" spans="2:12" x14ac:dyDescent="0.3">
      <c r="B21" s="37"/>
      <c r="C21" s="33"/>
      <c r="D21" s="33"/>
      <c r="E21" s="36"/>
      <c r="F21" s="99"/>
      <c r="G21" s="97"/>
      <c r="H21" s="42" t="s">
        <v>80</v>
      </c>
      <c r="I21" s="42" t="s">
        <v>81</v>
      </c>
      <c r="J21" s="42" t="s">
        <v>108</v>
      </c>
      <c r="K21" s="42" t="s">
        <v>81</v>
      </c>
      <c r="L21" s="42" t="s">
        <v>108</v>
      </c>
    </row>
    <row r="22" spans="2:12" x14ac:dyDescent="0.3">
      <c r="B22" s="37"/>
      <c r="C22" s="33"/>
      <c r="D22" s="33"/>
      <c r="E22" s="36"/>
      <c r="F22" s="99"/>
      <c r="G22" s="97"/>
      <c r="H22" s="42" t="s">
        <v>82</v>
      </c>
      <c r="I22" s="44">
        <f>H3*E10*C13/1000/1000</f>
        <v>66.178271250000009</v>
      </c>
      <c r="J22" s="44">
        <f>H3*E11*C13/1000/1000</f>
        <v>121.326830625</v>
      </c>
      <c r="K22" s="44">
        <f>H4*E10*C13/1000/1000</f>
        <v>100.11584625</v>
      </c>
      <c r="L22" s="44">
        <f>H4*E11*C13/1000/1000</f>
        <v>183.54571812500001</v>
      </c>
    </row>
    <row r="23" spans="2:12" x14ac:dyDescent="0.3">
      <c r="B23" s="37"/>
      <c r="C23" s="33"/>
      <c r="D23" s="33"/>
      <c r="E23" s="36"/>
      <c r="F23" s="99"/>
      <c r="G23" s="97"/>
      <c r="H23" s="45" t="s">
        <v>92</v>
      </c>
      <c r="I23" s="46" t="str">
        <f>_xlfn.TEXTJOIN(,,ROUND(I19/I22,2),IF((I19/I22)&lt;1," OK","NG"))</f>
        <v>0.32 OK</v>
      </c>
      <c r="J23" s="46" t="str">
        <f>_xlfn.TEXTJOIN(,,ROUND(J19/J22,2),IF((J19/J22)&lt;1," OK","NG"))</f>
        <v>0.01 OK</v>
      </c>
      <c r="K23" s="46" t="str">
        <f>_xlfn.TEXTJOIN(,,ROUND(K19/K22,2),IF((K19/K22)&lt;1," OK","NG"))</f>
        <v>0.27 OK</v>
      </c>
      <c r="L23" s="46" t="str">
        <f>_xlfn.TEXTJOIN(,,ROUND(L19/L22,2),IF((L19/L22)&lt;1," OK","NG"))</f>
        <v>0.01 OK</v>
      </c>
    </row>
    <row r="24" spans="2:12" x14ac:dyDescent="0.3">
      <c r="B24" s="37"/>
      <c r="C24" s="33"/>
      <c r="D24" s="33"/>
      <c r="E24" s="36"/>
      <c r="F24" s="99"/>
      <c r="G24" s="101" t="s">
        <v>118</v>
      </c>
      <c r="H24" s="41" t="s">
        <v>68</v>
      </c>
      <c r="I24" s="41" t="s">
        <v>67</v>
      </c>
      <c r="J24" s="41" t="s">
        <v>67</v>
      </c>
      <c r="K24" s="41" t="s">
        <v>67</v>
      </c>
      <c r="L24" s="41" t="s">
        <v>67</v>
      </c>
    </row>
    <row r="25" spans="2:12" x14ac:dyDescent="0.3">
      <c r="B25" s="37"/>
      <c r="C25" s="33"/>
      <c r="D25" s="33"/>
      <c r="E25" s="36"/>
      <c r="F25" s="99"/>
      <c r="G25" s="93"/>
      <c r="H25" s="42" t="s">
        <v>93</v>
      </c>
      <c r="I25" s="42">
        <f>E8*C9/1000*E12/1000</f>
        <v>71.400000000000006</v>
      </c>
      <c r="J25" s="42">
        <f>E8*E13*C8/1000/1000</f>
        <v>23.8</v>
      </c>
      <c r="K25" s="42">
        <f>E9*E12*C9/1000/1000</f>
        <v>91.5</v>
      </c>
      <c r="L25" s="42">
        <f>E9*E13/1000*C8/1000</f>
        <v>30.5</v>
      </c>
    </row>
    <row r="26" spans="2:12" x14ac:dyDescent="0.3">
      <c r="B26" s="37"/>
      <c r="C26" s="33"/>
      <c r="D26" s="33"/>
      <c r="E26" s="36"/>
      <c r="F26" s="99"/>
      <c r="G26" s="93"/>
      <c r="H26" s="42" t="s">
        <v>94</v>
      </c>
      <c r="I26" s="47">
        <f>I25*1000/(C9*C13)</f>
        <v>0.16031434184675836</v>
      </c>
      <c r="J26" s="47">
        <f>J25*1000/(C8*C13)</f>
        <v>2.6719056974459726E-2</v>
      </c>
      <c r="K26" s="47">
        <f>K25*1000/(C9*C13)</f>
        <v>0.20544484984563571</v>
      </c>
      <c r="L26" s="47">
        <f>L25*1000/(C8*C13)</f>
        <v>3.4240808307605952E-2</v>
      </c>
    </row>
    <row r="27" spans="2:12" x14ac:dyDescent="0.3">
      <c r="B27" s="37"/>
      <c r="C27" s="33"/>
      <c r="D27" s="33"/>
      <c r="E27" s="36"/>
      <c r="F27" s="99"/>
      <c r="G27" s="93"/>
      <c r="H27" s="42" t="s">
        <v>95</v>
      </c>
      <c r="I27" s="42">
        <f>C2/30</f>
        <v>0.7</v>
      </c>
      <c r="J27" s="42">
        <f>C3</f>
        <v>0.7</v>
      </c>
      <c r="K27" s="42">
        <f>C4</f>
        <v>1.0499999999999998</v>
      </c>
      <c r="L27" s="42">
        <f>C4</f>
        <v>1.0499999999999998</v>
      </c>
    </row>
    <row r="28" spans="2:12" x14ac:dyDescent="0.3">
      <c r="B28" s="37"/>
      <c r="C28" s="33"/>
      <c r="D28" s="33"/>
      <c r="E28" s="36"/>
      <c r="F28" s="99"/>
      <c r="G28" s="95"/>
      <c r="H28" s="45" t="s">
        <v>92</v>
      </c>
      <c r="I28" s="46" t="str">
        <f>_xlfn.TEXTJOIN(,,ROUND(I26/I27,2),IF((I26/I27)&lt;1," OK","NG"))</f>
        <v>0.23 OK</v>
      </c>
      <c r="J28" s="46" t="str">
        <f>_xlfn.TEXTJOIN(,,ROUND(J26/J27,2),IF((J26/J27)&lt;1," OK","NG"))</f>
        <v>0.04 OK</v>
      </c>
      <c r="K28" s="46" t="str">
        <f>_xlfn.TEXTJOIN(,,ROUND(K26/K27,2),IF((K26/K27)&lt;1," OK","NG"))</f>
        <v>0.2 OK</v>
      </c>
      <c r="L28" s="46" t="str">
        <f>_xlfn.TEXTJOIN(,,ROUND(L26/L27,2),IF((L26/L27)&lt;1," OK","NG"))</f>
        <v>0.03 OK</v>
      </c>
    </row>
    <row r="29" spans="2:12" x14ac:dyDescent="0.3">
      <c r="B29" s="37"/>
      <c r="C29" s="33"/>
      <c r="D29" s="33"/>
      <c r="E29" s="36"/>
      <c r="F29" s="99"/>
      <c r="G29" s="101" t="s">
        <v>119</v>
      </c>
      <c r="H29" s="41" t="s">
        <v>68</v>
      </c>
      <c r="I29" s="101" t="s">
        <v>112</v>
      </c>
      <c r="J29" s="101"/>
      <c r="K29" s="101" t="s">
        <v>113</v>
      </c>
      <c r="L29" s="101"/>
    </row>
    <row r="30" spans="2:12" x14ac:dyDescent="0.3">
      <c r="B30" s="37"/>
      <c r="C30" s="33"/>
      <c r="D30" s="33"/>
      <c r="E30" s="36"/>
      <c r="F30" s="99"/>
      <c r="G30" s="93"/>
      <c r="H30" s="42" t="s">
        <v>97</v>
      </c>
      <c r="I30" s="93">
        <f>I8*(C8*C9-C9*(C14+C12))/(C8*C9)</f>
        <v>82.228999999999999</v>
      </c>
      <c r="J30" s="93"/>
      <c r="K30" s="94">
        <f>K8*(E7-(C14+C12)/1000*C9/1000)/E7</f>
        <v>105.37750000000001</v>
      </c>
      <c r="L30" s="94"/>
    </row>
    <row r="31" spans="2:12" x14ac:dyDescent="0.3">
      <c r="B31" s="37"/>
      <c r="C31" s="33"/>
      <c r="D31" s="33"/>
      <c r="E31" s="36"/>
      <c r="F31" s="99"/>
      <c r="G31" s="93"/>
      <c r="H31" s="42" t="s">
        <v>98</v>
      </c>
      <c r="I31" s="94">
        <f>1.5*(C9+C9)*C13*I27/1000</f>
        <v>935.28749999999991</v>
      </c>
      <c r="J31" s="94"/>
      <c r="K31" s="94">
        <f>I31*1.5</f>
        <v>1402.9312499999999</v>
      </c>
      <c r="L31" s="94"/>
    </row>
    <row r="32" spans="2:12" x14ac:dyDescent="0.3">
      <c r="B32" s="38"/>
      <c r="C32" s="39"/>
      <c r="D32" s="39"/>
      <c r="E32" s="40"/>
      <c r="F32" s="100"/>
      <c r="G32" s="95"/>
      <c r="H32" s="45" t="s">
        <v>92</v>
      </c>
      <c r="I32" s="48">
        <f>I30/I31</f>
        <v>8.7918420806436526E-2</v>
      </c>
      <c r="J32" s="40" t="str">
        <f>IF(I32&lt;1,"OK","NG")</f>
        <v>OK</v>
      </c>
      <c r="K32" s="48">
        <f>K30/K31</f>
        <v>7.5112376319224503E-2</v>
      </c>
      <c r="L32" s="40" t="str">
        <f>IF(K32&lt;1,"OK","NG")</f>
        <v>OK</v>
      </c>
    </row>
    <row r="34" spans="2:12" x14ac:dyDescent="0.3">
      <c r="B34" s="24" t="s">
        <v>101</v>
      </c>
      <c r="C34" s="26">
        <v>21</v>
      </c>
      <c r="G34" s="24" t="s">
        <v>103</v>
      </c>
      <c r="H34" s="26">
        <v>295</v>
      </c>
    </row>
    <row r="35" spans="2:12" x14ac:dyDescent="0.3">
      <c r="B35" s="24" t="s">
        <v>100</v>
      </c>
      <c r="C35" s="26">
        <f>C34/30</f>
        <v>0.7</v>
      </c>
      <c r="D35" s="24" t="s">
        <v>180</v>
      </c>
      <c r="E35" s="70">
        <f>Rc_fa(C34)</f>
        <v>2.1</v>
      </c>
      <c r="G35" s="24" t="s">
        <v>104</v>
      </c>
      <c r="H35" s="26">
        <v>195</v>
      </c>
    </row>
    <row r="36" spans="2:12" x14ac:dyDescent="0.3">
      <c r="B36" s="24" t="s">
        <v>102</v>
      </c>
      <c r="C36" s="26">
        <f>C35*1.5</f>
        <v>1.0499999999999998</v>
      </c>
      <c r="G36" s="24" t="s">
        <v>105</v>
      </c>
      <c r="H36" s="26">
        <v>295</v>
      </c>
      <c r="J36" s="23"/>
    </row>
    <row r="37" spans="2:12" x14ac:dyDescent="0.3">
      <c r="B37" s="97" t="s">
        <v>116</v>
      </c>
      <c r="C37" s="97"/>
      <c r="D37" s="97"/>
      <c r="E37" s="97"/>
      <c r="F37" s="102"/>
      <c r="G37" s="102"/>
      <c r="H37" s="102"/>
      <c r="I37" s="97" t="s">
        <v>6</v>
      </c>
      <c r="J37" s="97"/>
      <c r="K37" s="97" t="s">
        <v>7</v>
      </c>
      <c r="L37" s="97"/>
    </row>
    <row r="38" spans="2:12" x14ac:dyDescent="0.3">
      <c r="B38" s="97"/>
      <c r="C38" s="97"/>
      <c r="D38" s="97"/>
      <c r="E38" s="97"/>
      <c r="F38" s="102"/>
      <c r="G38" s="102"/>
      <c r="H38" s="102"/>
      <c r="I38" s="97"/>
      <c r="J38" s="97"/>
      <c r="K38" s="97"/>
      <c r="L38" s="97"/>
    </row>
    <row r="39" spans="2:12" ht="12.3" customHeight="1" x14ac:dyDescent="0.3">
      <c r="B39" s="28" t="s">
        <v>83</v>
      </c>
      <c r="C39" s="29">
        <v>930</v>
      </c>
      <c r="D39" s="30" t="s">
        <v>107</v>
      </c>
      <c r="E39" s="31">
        <f>C40*C41/1000/1000</f>
        <v>3</v>
      </c>
      <c r="F39" s="103" t="s">
        <v>114</v>
      </c>
      <c r="G39" s="101" t="s">
        <v>68</v>
      </c>
      <c r="H39" s="101"/>
      <c r="I39" s="101" t="s">
        <v>67</v>
      </c>
      <c r="J39" s="101"/>
      <c r="K39" s="101" t="s">
        <v>111</v>
      </c>
      <c r="L39" s="101"/>
    </row>
    <row r="40" spans="2:12" x14ac:dyDescent="0.3">
      <c r="B40" s="32" t="s">
        <v>87</v>
      </c>
      <c r="C40" s="25">
        <v>3000</v>
      </c>
      <c r="D40" s="35" t="s">
        <v>109</v>
      </c>
      <c r="E40" s="49">
        <f>I40/E39</f>
        <v>79.333333333333329</v>
      </c>
      <c r="F40" s="103"/>
      <c r="G40" s="93" t="s">
        <v>69</v>
      </c>
      <c r="H40" s="93"/>
      <c r="I40" s="93">
        <v>238</v>
      </c>
      <c r="J40" s="93"/>
      <c r="K40" s="93">
        <v>305</v>
      </c>
      <c r="L40" s="93"/>
    </row>
    <row r="41" spans="2:12" x14ac:dyDescent="0.3">
      <c r="B41" s="32" t="s">
        <v>86</v>
      </c>
      <c r="C41" s="25">
        <v>1000</v>
      </c>
      <c r="D41" s="35" t="s">
        <v>110</v>
      </c>
      <c r="E41" s="49">
        <f>K40/E39</f>
        <v>101.66666666666667</v>
      </c>
      <c r="F41" s="103"/>
      <c r="G41" s="93" t="s">
        <v>71</v>
      </c>
      <c r="H41" s="93"/>
      <c r="I41" s="93">
        <f>E39*C39/1000*20</f>
        <v>55.8</v>
      </c>
      <c r="J41" s="93"/>
      <c r="K41" s="93">
        <f>+I41</f>
        <v>55.8</v>
      </c>
      <c r="L41" s="93"/>
    </row>
    <row r="42" spans="2:12" x14ac:dyDescent="0.3">
      <c r="B42" s="32" t="s">
        <v>84</v>
      </c>
      <c r="C42" s="25">
        <v>600</v>
      </c>
      <c r="D42" s="35" t="s">
        <v>90</v>
      </c>
      <c r="E42" s="34">
        <f>barX(I53,"A")</f>
        <v>762</v>
      </c>
      <c r="F42" s="103"/>
      <c r="G42" s="93" t="s">
        <v>70</v>
      </c>
      <c r="H42" s="93"/>
      <c r="I42" s="93">
        <f>I40+I41</f>
        <v>293.8</v>
      </c>
      <c r="J42" s="93"/>
      <c r="K42" s="93">
        <f>K40+K41</f>
        <v>360.8</v>
      </c>
      <c r="L42" s="93"/>
    </row>
    <row r="43" spans="2:12" x14ac:dyDescent="0.3">
      <c r="B43" s="32" t="s">
        <v>99</v>
      </c>
      <c r="C43" s="25">
        <f>RC_dt1(70,I53,J53)</f>
        <v>91</v>
      </c>
      <c r="D43" s="35" t="s">
        <v>91</v>
      </c>
      <c r="E43" s="34">
        <f>barX(J53,"A")</f>
        <v>1397</v>
      </c>
      <c r="F43" s="103"/>
      <c r="G43" s="93" t="s">
        <v>72</v>
      </c>
      <c r="H43" s="93"/>
      <c r="I43" s="93">
        <v>0</v>
      </c>
      <c r="J43" s="93"/>
      <c r="K43" s="93">
        <v>0</v>
      </c>
      <c r="L43" s="93"/>
    </row>
    <row r="44" spans="2:12" x14ac:dyDescent="0.3">
      <c r="B44" s="32" t="s">
        <v>96</v>
      </c>
      <c r="C44" s="25">
        <f>C42-C43</f>
        <v>509</v>
      </c>
      <c r="D44" s="35" t="s">
        <v>120</v>
      </c>
      <c r="E44" s="34">
        <f>llr(C40,C46,E46)</f>
        <v>1100</v>
      </c>
      <c r="F44" s="103"/>
      <c r="G44" s="93" t="s">
        <v>73</v>
      </c>
      <c r="H44" s="93"/>
      <c r="I44" s="93">
        <v>0</v>
      </c>
      <c r="J44" s="93"/>
      <c r="K44" s="93">
        <v>0</v>
      </c>
      <c r="L44" s="93"/>
    </row>
    <row r="45" spans="2:12" x14ac:dyDescent="0.3">
      <c r="B45" s="32" t="s">
        <v>85</v>
      </c>
      <c r="C45" s="25">
        <f>C44*7/8</f>
        <v>445.375</v>
      </c>
      <c r="D45" s="35" t="s">
        <v>121</v>
      </c>
      <c r="E45" s="34">
        <f>llr(C41,C47,E47)</f>
        <v>100</v>
      </c>
      <c r="F45" s="103"/>
      <c r="G45" s="93" t="s">
        <v>75</v>
      </c>
      <c r="H45" s="93"/>
      <c r="I45" s="93">
        <f>I42/E39</f>
        <v>97.933333333333337</v>
      </c>
      <c r="J45" s="93"/>
      <c r="K45" s="93">
        <f>K42/E39</f>
        <v>120.26666666666667</v>
      </c>
      <c r="L45" s="93"/>
    </row>
    <row r="46" spans="2:12" x14ac:dyDescent="0.3">
      <c r="B46" s="32" t="s">
        <v>88</v>
      </c>
      <c r="C46" s="25">
        <v>800</v>
      </c>
      <c r="D46" s="35" t="s">
        <v>122</v>
      </c>
      <c r="E46" s="34">
        <v>0</v>
      </c>
      <c r="F46" s="103"/>
      <c r="G46" s="93" t="s">
        <v>74</v>
      </c>
      <c r="H46" s="93"/>
      <c r="I46" s="93">
        <v>190</v>
      </c>
      <c r="J46" s="93"/>
      <c r="K46" s="93">
        <v>380</v>
      </c>
      <c r="L46" s="93"/>
    </row>
    <row r="47" spans="2:12" x14ac:dyDescent="0.3">
      <c r="B47" s="32" t="s">
        <v>89</v>
      </c>
      <c r="C47" s="25">
        <v>800</v>
      </c>
      <c r="D47" s="35" t="s">
        <v>123</v>
      </c>
      <c r="E47" s="34">
        <v>0</v>
      </c>
      <c r="F47" s="103"/>
      <c r="G47" s="95" t="s">
        <v>92</v>
      </c>
      <c r="H47" s="95"/>
      <c r="I47" s="96">
        <f>I45/I46</f>
        <v>0.51543859649122814</v>
      </c>
      <c r="J47" s="96"/>
      <c r="K47" s="96">
        <f>K45/K46</f>
        <v>0.31649122807017543</v>
      </c>
      <c r="L47" s="96"/>
    </row>
    <row r="48" spans="2:12" x14ac:dyDescent="0.3">
      <c r="B48" s="37"/>
      <c r="C48" s="33"/>
      <c r="D48" s="33"/>
      <c r="E48" s="36"/>
      <c r="F48" s="97" t="s">
        <v>106</v>
      </c>
      <c r="G48" s="97"/>
      <c r="H48" s="97"/>
      <c r="I48" s="88" t="s">
        <v>76</v>
      </c>
      <c r="J48" s="88" t="s">
        <v>77</v>
      </c>
      <c r="K48" s="88" t="s">
        <v>76</v>
      </c>
      <c r="L48" s="88" t="s">
        <v>77</v>
      </c>
    </row>
    <row r="49" spans="2:12" ht="12.3" customHeight="1" x14ac:dyDescent="0.3">
      <c r="B49" s="37"/>
      <c r="C49" s="33"/>
      <c r="D49" s="33"/>
      <c r="E49" s="36"/>
      <c r="F49" s="98" t="s">
        <v>115</v>
      </c>
      <c r="G49" s="97" t="s">
        <v>117</v>
      </c>
      <c r="H49" s="89" t="s">
        <v>68</v>
      </c>
      <c r="I49" s="89" t="s">
        <v>67</v>
      </c>
      <c r="J49" s="89" t="s">
        <v>67</v>
      </c>
      <c r="K49" s="89" t="s">
        <v>67</v>
      </c>
      <c r="L49" s="89" t="s">
        <v>67</v>
      </c>
    </row>
    <row r="50" spans="2:12" x14ac:dyDescent="0.3">
      <c r="B50" s="37"/>
      <c r="C50" s="33"/>
      <c r="D50" s="33"/>
      <c r="E50" s="36"/>
      <c r="F50" s="99"/>
      <c r="G50" s="97"/>
      <c r="H50" s="84" t="s">
        <v>78</v>
      </c>
      <c r="I50" s="84"/>
      <c r="J50" s="91"/>
      <c r="K50" s="84"/>
      <c r="L50" s="91"/>
    </row>
    <row r="51" spans="2:12" x14ac:dyDescent="0.3">
      <c r="B51" s="37"/>
      <c r="C51" s="33"/>
      <c r="D51" s="33"/>
      <c r="E51" s="36"/>
      <c r="F51" s="99"/>
      <c r="G51" s="97"/>
      <c r="H51" s="84" t="s">
        <v>79</v>
      </c>
      <c r="I51" s="85">
        <f>1/2*E40*C41/1000*(E44/1000)^2</f>
        <v>47.99666666666667</v>
      </c>
      <c r="J51" s="85">
        <f>1/2*E40*C40/1000*(E45/1000)^2</f>
        <v>1.1900000000000002</v>
      </c>
      <c r="K51" s="85">
        <f>1/2*E41*C41/1000*(E44/1000)^2</f>
        <v>61.508333333333347</v>
      </c>
      <c r="L51" s="85">
        <f>1/2*E41*C40/1000*(E45/1000)^2</f>
        <v>1.5250000000000004</v>
      </c>
    </row>
    <row r="52" spans="2:12" x14ac:dyDescent="0.3">
      <c r="B52" s="37"/>
      <c r="C52" s="33"/>
      <c r="D52" s="33"/>
      <c r="E52" s="36"/>
      <c r="F52" s="99"/>
      <c r="G52" s="97"/>
      <c r="H52" s="84"/>
      <c r="I52" s="90">
        <f>RC_Ldb_foot(I51,I53,C44,C34,1)</f>
        <v>782.59260184160007</v>
      </c>
      <c r="J52" s="90">
        <f>RC_Ldb_foot(J51,J53,C44,C34,1)</f>
        <v>512.6999750812538</v>
      </c>
      <c r="K52" s="90">
        <f>RC_Ldb_foot(K51,K53,C44,C34,2)</f>
        <v>742.74157860416824</v>
      </c>
      <c r="L52" s="92">
        <f>RC_Ldb_foot(L51,L53,C44,C34,2)</f>
        <v>512.16104313664539</v>
      </c>
    </row>
    <row r="53" spans="2:12" x14ac:dyDescent="0.3">
      <c r="B53" s="37"/>
      <c r="C53" s="33"/>
      <c r="D53" s="33"/>
      <c r="E53" s="36"/>
      <c r="F53" s="99"/>
      <c r="G53" s="97"/>
      <c r="H53" s="84" t="s">
        <v>80</v>
      </c>
      <c r="I53" s="84" t="s">
        <v>81</v>
      </c>
      <c r="J53" s="84" t="s">
        <v>108</v>
      </c>
      <c r="K53" s="84" t="s">
        <v>81</v>
      </c>
      <c r="L53" s="84" t="s">
        <v>108</v>
      </c>
    </row>
    <row r="54" spans="2:12" x14ac:dyDescent="0.3">
      <c r="B54" s="37"/>
      <c r="C54" s="33"/>
      <c r="D54" s="33"/>
      <c r="E54" s="36"/>
      <c r="F54" s="99"/>
      <c r="G54" s="97"/>
      <c r="H54" s="84" t="s">
        <v>82</v>
      </c>
      <c r="I54" s="85">
        <f>H35*E42*C45/1000/1000</f>
        <v>66.178271250000009</v>
      </c>
      <c r="J54" s="85">
        <f>H35*E43*C45/1000/1000</f>
        <v>121.326830625</v>
      </c>
      <c r="K54" s="85">
        <f>H36*E42*C45/1000/1000</f>
        <v>100.11584625</v>
      </c>
      <c r="L54" s="85">
        <f>H36*E43*C45/1000/1000</f>
        <v>183.54571812500001</v>
      </c>
    </row>
    <row r="55" spans="2:12" x14ac:dyDescent="0.3">
      <c r="B55" s="37"/>
      <c r="C55" s="33"/>
      <c r="D55" s="33"/>
      <c r="E55" s="36"/>
      <c r="F55" s="99"/>
      <c r="G55" s="97"/>
      <c r="H55" s="86" t="s">
        <v>92</v>
      </c>
      <c r="I55" s="87" t="str">
        <f>_xlfn.TEXTJOIN(,,ROUND(I51/I54,2),IF((I51/I54)&lt;1," OK","NG"))</f>
        <v>0.73 OK</v>
      </c>
      <c r="J55" s="87" t="str">
        <f>_xlfn.TEXTJOIN(,,ROUND(J51/J54,2),IF((J51/J54)&lt;1," OK","NG"))</f>
        <v>0.01 OK</v>
      </c>
      <c r="K55" s="87" t="str">
        <f>_xlfn.TEXTJOIN(,,ROUND(K51/K54,2),IF((K51/K54)&lt;1," OK","NG"))</f>
        <v>0.61 OK</v>
      </c>
      <c r="L55" s="87" t="str">
        <f>_xlfn.TEXTJOIN(,,ROUND(L51/L54,2),IF((L51/L54)&lt;1," OK","NG"))</f>
        <v>0.01 OK</v>
      </c>
    </row>
    <row r="56" spans="2:12" x14ac:dyDescent="0.3">
      <c r="B56" s="37"/>
      <c r="C56" s="33"/>
      <c r="D56" s="33"/>
      <c r="E56" s="36"/>
      <c r="F56" s="99"/>
      <c r="G56" s="101" t="s">
        <v>118</v>
      </c>
      <c r="H56" s="89" t="s">
        <v>68</v>
      </c>
      <c r="I56" s="89" t="s">
        <v>67</v>
      </c>
      <c r="J56" s="89" t="s">
        <v>67</v>
      </c>
      <c r="K56" s="89" t="s">
        <v>67</v>
      </c>
      <c r="L56" s="89" t="s">
        <v>67</v>
      </c>
    </row>
    <row r="57" spans="2:12" x14ac:dyDescent="0.3">
      <c r="B57" s="37"/>
      <c r="C57" s="33"/>
      <c r="D57" s="33"/>
      <c r="E57" s="36"/>
      <c r="F57" s="99"/>
      <c r="G57" s="93"/>
      <c r="H57" s="84" t="s">
        <v>93</v>
      </c>
      <c r="I57" s="85">
        <f>E40*C41/1000*E44/1000</f>
        <v>87.266666666666652</v>
      </c>
      <c r="J57" s="84">
        <f>E40*E45*C40/1000/1000</f>
        <v>23.8</v>
      </c>
      <c r="K57" s="85">
        <f>E41*E44*C41/1000/1000</f>
        <v>111.83333333333334</v>
      </c>
      <c r="L57" s="84">
        <f>E41*E45/1000*C40/1000</f>
        <v>30.500000000000004</v>
      </c>
    </row>
    <row r="58" spans="2:12" x14ac:dyDescent="0.3">
      <c r="B58" s="37"/>
      <c r="C58" s="33"/>
      <c r="D58" s="33"/>
      <c r="E58" s="36"/>
      <c r="F58" s="99"/>
      <c r="G58" s="93"/>
      <c r="H58" s="84" t="s">
        <v>94</v>
      </c>
      <c r="I58" s="47">
        <f>I57*1000/(C41*C45)</f>
        <v>0.19593975114603795</v>
      </c>
      <c r="J58" s="47">
        <f>J57*1000/(C40*C45)</f>
        <v>1.7812704649639816E-2</v>
      </c>
      <c r="K58" s="47">
        <f>K57*1000/(C41*C45)</f>
        <v>0.25109926092244367</v>
      </c>
      <c r="L58" s="47">
        <f>L57*1000/(C40*C45)</f>
        <v>2.282720553840397E-2</v>
      </c>
    </row>
    <row r="59" spans="2:12" x14ac:dyDescent="0.3">
      <c r="B59" s="37"/>
      <c r="C59" s="33"/>
      <c r="D59" s="33"/>
      <c r="E59" s="36"/>
      <c r="F59" s="99"/>
      <c r="G59" s="93"/>
      <c r="H59" s="84" t="s">
        <v>95</v>
      </c>
      <c r="I59" s="84">
        <f>C34/30</f>
        <v>0.7</v>
      </c>
      <c r="J59" s="84">
        <f>C35</f>
        <v>0.7</v>
      </c>
      <c r="K59" s="84">
        <f>C36</f>
        <v>1.0499999999999998</v>
      </c>
      <c r="L59" s="84">
        <f>C36</f>
        <v>1.0499999999999998</v>
      </c>
    </row>
    <row r="60" spans="2:12" x14ac:dyDescent="0.3">
      <c r="B60" s="37"/>
      <c r="C60" s="33"/>
      <c r="D60" s="33"/>
      <c r="E60" s="36"/>
      <c r="F60" s="99"/>
      <c r="G60" s="95"/>
      <c r="H60" s="86" t="s">
        <v>92</v>
      </c>
      <c r="I60" s="87" t="str">
        <f>_xlfn.TEXTJOIN(,,ROUND(I58/I59,2),IF((I58/I59)&lt;1," OK","NG"))</f>
        <v>0.28 OK</v>
      </c>
      <c r="J60" s="87" t="str">
        <f>_xlfn.TEXTJOIN(,,ROUND(J58/J59,2),IF((J58/J59)&lt;1," OK","NG"))</f>
        <v>0.03 OK</v>
      </c>
      <c r="K60" s="87" t="str">
        <f>_xlfn.TEXTJOIN(,,ROUND(K58/K59,2),IF((K58/K59)&lt;1," OK","NG"))</f>
        <v>0.24 OK</v>
      </c>
      <c r="L60" s="87" t="str">
        <f>_xlfn.TEXTJOIN(,,ROUND(L58/L59,2),IF((L58/L59)&lt;1," OK","NG"))</f>
        <v>0.02 OK</v>
      </c>
    </row>
    <row r="61" spans="2:12" x14ac:dyDescent="0.3">
      <c r="B61" s="37"/>
      <c r="C61" s="33"/>
      <c r="D61" s="33"/>
      <c r="E61" s="36"/>
      <c r="F61" s="99"/>
      <c r="G61" s="101" t="s">
        <v>119</v>
      </c>
      <c r="H61" s="89" t="s">
        <v>68</v>
      </c>
      <c r="I61" s="101" t="s">
        <v>67</v>
      </c>
      <c r="J61" s="101"/>
      <c r="K61" s="101" t="s">
        <v>113</v>
      </c>
      <c r="L61" s="101"/>
    </row>
    <row r="62" spans="2:12" x14ac:dyDescent="0.3">
      <c r="B62" s="37"/>
      <c r="C62" s="33"/>
      <c r="D62" s="33"/>
      <c r="E62" s="36"/>
      <c r="F62" s="99"/>
      <c r="G62" s="93"/>
      <c r="H62" s="84" t="s">
        <v>97</v>
      </c>
      <c r="I62" s="93">
        <f>I40*(C40*C41-C41*(C46+C44))/(C40*C41)</f>
        <v>134.15266666666668</v>
      </c>
      <c r="J62" s="93"/>
      <c r="K62" s="94">
        <f>K40*(E39-(C46+C44)/1000*C41/1000)/E39</f>
        <v>171.91833333333332</v>
      </c>
      <c r="L62" s="94"/>
    </row>
    <row r="63" spans="2:12" x14ac:dyDescent="0.3">
      <c r="B63" s="37"/>
      <c r="C63" s="33"/>
      <c r="D63" s="33"/>
      <c r="E63" s="36"/>
      <c r="F63" s="99"/>
      <c r="G63" s="93"/>
      <c r="H63" s="84" t="s">
        <v>98</v>
      </c>
      <c r="I63" s="94">
        <f>1.5*(C41+C41)*C45*I59/1000</f>
        <v>935.28749999999991</v>
      </c>
      <c r="J63" s="94"/>
      <c r="K63" s="94">
        <f>I63*1.5</f>
        <v>1402.9312499999999</v>
      </c>
      <c r="L63" s="94"/>
    </row>
    <row r="64" spans="2:12" x14ac:dyDescent="0.3">
      <c r="B64" s="38"/>
      <c r="C64" s="39"/>
      <c r="D64" s="39"/>
      <c r="E64" s="40"/>
      <c r="F64" s="100"/>
      <c r="G64" s="95"/>
      <c r="H64" s="86" t="s">
        <v>92</v>
      </c>
      <c r="I64" s="48">
        <f>I62/I63</f>
        <v>0.14343468363114731</v>
      </c>
      <c r="J64" s="40" t="str">
        <f>IF(I64&lt;1,"OK","NG")</f>
        <v>OK</v>
      </c>
      <c r="K64" s="48">
        <f>K62/K63</f>
        <v>0.12254223671568606</v>
      </c>
      <c r="L64" s="40" t="str">
        <f>IF(K64&lt;1,"OK","NG")</f>
        <v>OK</v>
      </c>
    </row>
  </sheetData>
  <mergeCells count="86">
    <mergeCell ref="I12:J12"/>
    <mergeCell ref="I13:J13"/>
    <mergeCell ref="I14:J14"/>
    <mergeCell ref="G7:H7"/>
    <mergeCell ref="G8:H8"/>
    <mergeCell ref="G9:H9"/>
    <mergeCell ref="G10:H10"/>
    <mergeCell ref="G11:H11"/>
    <mergeCell ref="G12:H12"/>
    <mergeCell ref="G13:H13"/>
    <mergeCell ref="G14:H14"/>
    <mergeCell ref="I7:J7"/>
    <mergeCell ref="I8:J8"/>
    <mergeCell ref="K8:L8"/>
    <mergeCell ref="K9:L9"/>
    <mergeCell ref="I9:J9"/>
    <mergeCell ref="I10:J10"/>
    <mergeCell ref="I11:J11"/>
    <mergeCell ref="K29:L29"/>
    <mergeCell ref="K30:L30"/>
    <mergeCell ref="K31:L31"/>
    <mergeCell ref="I5:J6"/>
    <mergeCell ref="K5:L6"/>
    <mergeCell ref="K13:L13"/>
    <mergeCell ref="K14:L14"/>
    <mergeCell ref="K15:L15"/>
    <mergeCell ref="K10:L10"/>
    <mergeCell ref="K11:L11"/>
    <mergeCell ref="K12:L12"/>
    <mergeCell ref="I15:J15"/>
    <mergeCell ref="I29:J29"/>
    <mergeCell ref="I30:J30"/>
    <mergeCell ref="I31:J31"/>
    <mergeCell ref="K7:L7"/>
    <mergeCell ref="B5:E6"/>
    <mergeCell ref="F16:H16"/>
    <mergeCell ref="F5:H6"/>
    <mergeCell ref="F7:F15"/>
    <mergeCell ref="G17:G23"/>
    <mergeCell ref="F17:F32"/>
    <mergeCell ref="G24:G28"/>
    <mergeCell ref="G29:G32"/>
    <mergeCell ref="G15:H15"/>
    <mergeCell ref="B37:E38"/>
    <mergeCell ref="F37:H38"/>
    <mergeCell ref="I37:J38"/>
    <mergeCell ref="K37:L38"/>
    <mergeCell ref="F39:F47"/>
    <mergeCell ref="G39:H39"/>
    <mergeCell ref="I39:J39"/>
    <mergeCell ref="K39:L39"/>
    <mergeCell ref="G40:H40"/>
    <mergeCell ref="I40:J40"/>
    <mergeCell ref="K40:L40"/>
    <mergeCell ref="G41:H41"/>
    <mergeCell ref="I41:J41"/>
    <mergeCell ref="K41:L41"/>
    <mergeCell ref="G42:H42"/>
    <mergeCell ref="I42:J42"/>
    <mergeCell ref="K42:L42"/>
    <mergeCell ref="G43:H43"/>
    <mergeCell ref="I43:J43"/>
    <mergeCell ref="K43:L43"/>
    <mergeCell ref="G44:H44"/>
    <mergeCell ref="I44:J44"/>
    <mergeCell ref="K44:L44"/>
    <mergeCell ref="G45:H45"/>
    <mergeCell ref="I45:J45"/>
    <mergeCell ref="K45:L45"/>
    <mergeCell ref="G46:H46"/>
    <mergeCell ref="I46:J46"/>
    <mergeCell ref="K46:L46"/>
    <mergeCell ref="I62:J62"/>
    <mergeCell ref="K62:L62"/>
    <mergeCell ref="I63:J63"/>
    <mergeCell ref="K63:L63"/>
    <mergeCell ref="G47:H47"/>
    <mergeCell ref="I47:J47"/>
    <mergeCell ref="K47:L47"/>
    <mergeCell ref="F48:H48"/>
    <mergeCell ref="F49:F64"/>
    <mergeCell ref="G49:G55"/>
    <mergeCell ref="G56:G60"/>
    <mergeCell ref="G61:G64"/>
    <mergeCell ref="I61:J61"/>
    <mergeCell ref="K61:L61"/>
  </mergeCells>
  <phoneticPr fontId="1"/>
  <pageMargins left="0.62992125984251968" right="0.23622047244094491" top="0.55118110236220474" bottom="0.35433070866141736" header="0.31496062992125984" footer="0.31496062992125984"/>
  <pageSetup paperSize="9" orientation="portrait" verticalDpi="1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3" r:id="rId4" name="Button 3">
              <controlPr defaultSize="0" print="0" autoFill="0" autoPict="0" macro="[0]!DRAW_PLAN">
                <anchor moveWithCells="1" sizeWithCells="1">
                  <from>
                    <xdr:col>1</xdr:col>
                    <xdr:colOff>137160</xdr:colOff>
                    <xdr:row>16</xdr:row>
                    <xdr:rowOff>0</xdr:rowOff>
                  </from>
                  <to>
                    <xdr:col>1</xdr:col>
                    <xdr:colOff>571500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5" name="Button 5">
              <controlPr defaultSize="0" print="0" autoFill="0" autoPict="0" macro="[0]!DRAW_PLAN">
                <anchor moveWithCells="1" sizeWithCells="1">
                  <from>
                    <xdr:col>1</xdr:col>
                    <xdr:colOff>137160</xdr:colOff>
                    <xdr:row>48</xdr:row>
                    <xdr:rowOff>0</xdr:rowOff>
                  </from>
                  <to>
                    <xdr:col>1</xdr:col>
                    <xdr:colOff>571500</xdr:colOff>
                    <xdr:row>49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B2:J74"/>
  <sheetViews>
    <sheetView tabSelected="1" workbookViewId="0">
      <selection activeCell="G31" sqref="G31"/>
    </sheetView>
  </sheetViews>
  <sheetFormatPr defaultRowHeight="12.9" x14ac:dyDescent="0.3"/>
  <cols>
    <col min="1" max="1" width="4.62890625" customWidth="1"/>
    <col min="2" max="2" width="8.62890625" customWidth="1"/>
    <col min="5" max="5" width="9" customWidth="1"/>
    <col min="6" max="6" width="8.62890625" customWidth="1"/>
    <col min="8" max="8" width="9" customWidth="1"/>
  </cols>
  <sheetData>
    <row r="2" spans="2:9" x14ac:dyDescent="0.3">
      <c r="B2" s="15" t="s">
        <v>55</v>
      </c>
      <c r="C2" s="15" t="s">
        <v>56</v>
      </c>
      <c r="D2" s="15" t="s">
        <v>57</v>
      </c>
      <c r="E2" s="15" t="s">
        <v>58</v>
      </c>
      <c r="F2" s="15" t="s">
        <v>60</v>
      </c>
      <c r="G2" s="15" t="s">
        <v>59</v>
      </c>
      <c r="H2" s="15" t="s">
        <v>60</v>
      </c>
    </row>
    <row r="3" spans="2:9" x14ac:dyDescent="0.3">
      <c r="B3" s="16">
        <v>21</v>
      </c>
      <c r="C3" s="17">
        <f>MIN(B3/30,0.5+1/100*B3)</f>
        <v>0.7</v>
      </c>
      <c r="D3" s="16">
        <f>+C3*1.5</f>
        <v>1.0499999999999998</v>
      </c>
      <c r="E3" s="16">
        <v>195</v>
      </c>
      <c r="F3" s="16">
        <v>295</v>
      </c>
      <c r="G3" s="16">
        <v>215</v>
      </c>
      <c r="H3" s="16">
        <v>345</v>
      </c>
    </row>
    <row r="4" spans="2:9" x14ac:dyDescent="0.3">
      <c r="B4" s="15" t="s">
        <v>61</v>
      </c>
      <c r="C4" s="15" t="s">
        <v>62</v>
      </c>
      <c r="D4" s="15" t="s">
        <v>63</v>
      </c>
      <c r="E4" s="15" t="s">
        <v>64</v>
      </c>
      <c r="F4" s="15" t="s">
        <v>65</v>
      </c>
      <c r="G4" s="15" t="s">
        <v>66</v>
      </c>
      <c r="H4" s="15"/>
    </row>
    <row r="5" spans="2:9" x14ac:dyDescent="0.3">
      <c r="B5" s="16">
        <v>300</v>
      </c>
      <c r="C5" s="16">
        <v>600</v>
      </c>
      <c r="D5" s="16">
        <v>60</v>
      </c>
      <c r="E5" s="16">
        <f>+C5-D5</f>
        <v>540</v>
      </c>
      <c r="F5" s="18">
        <f>E5*7/8</f>
        <v>472.5</v>
      </c>
      <c r="G5" s="16">
        <v>1</v>
      </c>
      <c r="H5" s="16"/>
    </row>
    <row r="6" spans="2:9" x14ac:dyDescent="0.3">
      <c r="B6" s="14"/>
      <c r="C6" s="14"/>
      <c r="D6" s="14"/>
      <c r="E6" s="14"/>
      <c r="F6" s="19"/>
      <c r="G6" s="14"/>
      <c r="H6" s="14"/>
    </row>
    <row r="7" spans="2:9" x14ac:dyDescent="0.3">
      <c r="B7" s="20"/>
      <c r="C7" s="21" t="s">
        <v>18</v>
      </c>
      <c r="D7" s="21" t="s">
        <v>32</v>
      </c>
      <c r="E7" s="21" t="s">
        <v>33</v>
      </c>
      <c r="F7" s="20"/>
      <c r="G7" s="21" t="s">
        <v>20</v>
      </c>
      <c r="H7" s="21" t="s">
        <v>21</v>
      </c>
    </row>
    <row r="8" spans="2:9" x14ac:dyDescent="0.3">
      <c r="B8" s="20" t="s">
        <v>17</v>
      </c>
      <c r="C8" s="20">
        <v>120</v>
      </c>
      <c r="D8" s="20">
        <v>330</v>
      </c>
      <c r="E8" s="20">
        <v>90</v>
      </c>
      <c r="F8" s="20"/>
      <c r="G8" s="20">
        <v>95</v>
      </c>
      <c r="H8" s="20">
        <v>235</v>
      </c>
    </row>
    <row r="9" spans="2:9" x14ac:dyDescent="0.3">
      <c r="B9" s="20" t="s">
        <v>19</v>
      </c>
      <c r="C9" s="20">
        <v>85</v>
      </c>
      <c r="D9" s="20"/>
      <c r="E9" s="20">
        <v>85</v>
      </c>
      <c r="F9" s="20"/>
      <c r="G9" s="20"/>
      <c r="H9" s="20"/>
    </row>
    <row r="10" spans="2:9" x14ac:dyDescent="0.3">
      <c r="B10" s="1" t="s">
        <v>3</v>
      </c>
      <c r="C10" s="5">
        <v>41</v>
      </c>
    </row>
    <row r="11" spans="2:9" x14ac:dyDescent="0.3">
      <c r="B11" s="1" t="s">
        <v>4</v>
      </c>
      <c r="C11" s="5">
        <v>95</v>
      </c>
    </row>
    <row r="13" spans="2:9" x14ac:dyDescent="0.3">
      <c r="B13" s="5" t="s">
        <v>6</v>
      </c>
      <c r="D13" s="1" t="s">
        <v>0</v>
      </c>
      <c r="E13" t="str">
        <f>CONCATENATE(B5,"^2","x",C5,"x(1.15)x",C3,"/3/1000/1000=")</f>
        <v>300^2x600x(1.15)x0.7/3/1000/1000=</v>
      </c>
      <c r="I13" s="3">
        <f>ROUND(answer1(E13),1)</f>
        <v>14.5</v>
      </c>
    </row>
    <row r="14" spans="2:9" x14ac:dyDescent="0.3">
      <c r="D14" s="1" t="s">
        <v>1</v>
      </c>
      <c r="E14" t="str">
        <f>CONCATENATE(B5,"x",F5,"x",G5,"x",C3,"/1000=")</f>
        <v>300x472.5x1x0.7/1000=</v>
      </c>
      <c r="H14" s="3">
        <f>ROUND(answer1(E14),1)</f>
        <v>99.2</v>
      </c>
    </row>
    <row r="15" spans="2:9" x14ac:dyDescent="0.3">
      <c r="D15" s="1" t="s">
        <v>5</v>
      </c>
      <c r="E15" t="str">
        <f>CONCATENATE("(",C10,"/",I13,")^2+(",C11,"/",H14,")^2=")</f>
        <v>(41/14.5)^2+(95/99.2)^2=</v>
      </c>
      <c r="H15" s="3">
        <f>ROUND(answer1(E15),1)</f>
        <v>8.9</v>
      </c>
    </row>
    <row r="16" spans="2:9" x14ac:dyDescent="0.3">
      <c r="B16" t="s">
        <v>7</v>
      </c>
      <c r="D16" s="1" t="s">
        <v>0</v>
      </c>
      <c r="E16" t="str">
        <f>CONCATENATE(B5,"^2","x",C5,"x(1.15)x",C3,"x1.5/3/1000/1000=")</f>
        <v>300^2x600x(1.15)x0.7x1.5/3/1000/1000=</v>
      </c>
      <c r="I16" s="3">
        <f>ROUND(answer1(E16),1)</f>
        <v>21.7</v>
      </c>
    </row>
    <row r="17" spans="2:10" x14ac:dyDescent="0.3">
      <c r="D17" s="1" t="s">
        <v>1</v>
      </c>
      <c r="E17" t="str">
        <f>CONCATENATE(B5,"x",F5,"x",G5,"x",C3,"x1.5/1000=")</f>
        <v>300x472.5x1x0.7x1.5/1000=</v>
      </c>
      <c r="H17" s="3">
        <f>ROUND(answer1(E17),1)</f>
        <v>148.80000000000001</v>
      </c>
    </row>
    <row r="18" spans="2:10" x14ac:dyDescent="0.3">
      <c r="D18" s="1" t="s">
        <v>5</v>
      </c>
      <c r="E18" s="8" t="str">
        <f>CONCATENATE("(",C10,"/",I16,")^2+(",C11,"/",H17,")^2=")</f>
        <v>(41/21.7)^2+(95/148.8)^2=</v>
      </c>
      <c r="H18" s="3">
        <f t="shared" ref="H18:H21" si="0">ROUND(answer1(E18),1)</f>
        <v>4</v>
      </c>
    </row>
    <row r="19" spans="2:10" x14ac:dyDescent="0.3">
      <c r="B19" t="s">
        <v>8</v>
      </c>
      <c r="H19" s="3"/>
    </row>
    <row r="20" spans="2:10" x14ac:dyDescent="0.3">
      <c r="D20" s="1" t="s">
        <v>2</v>
      </c>
      <c r="E20" t="str">
        <f>CONCATENATE("(",B5,"-",D5,"x2)x(",C5,"-",D5,"x2)=")</f>
        <v>(300-60x2)x(600-60x2)=</v>
      </c>
      <c r="H20" s="3">
        <f t="shared" si="0"/>
        <v>86400</v>
      </c>
    </row>
    <row r="21" spans="2:10" x14ac:dyDescent="0.3">
      <c r="D21" s="1" t="s">
        <v>9</v>
      </c>
      <c r="E21" t="str">
        <f>CONCATENATE("((",B5,"-",D5,"x2)+","(",C5,"-",D5,"x2))x2=")</f>
        <v>((300-60x2)+(600-60x2))x2=</v>
      </c>
      <c r="H21" s="3">
        <f t="shared" si="0"/>
        <v>1320</v>
      </c>
    </row>
    <row r="22" spans="2:10" x14ac:dyDescent="0.3">
      <c r="B22" t="s">
        <v>10</v>
      </c>
    </row>
    <row r="23" spans="2:10" x14ac:dyDescent="0.3">
      <c r="B23" t="s">
        <v>6</v>
      </c>
      <c r="E23" s="1" t="s">
        <v>11</v>
      </c>
      <c r="F23" t="str">
        <f>CONCATENATE(C10,"x1000x1000/(",E3,"x",H20,"x",B5,")=")</f>
        <v>41x1000x1000/(195x86400x300)=</v>
      </c>
      <c r="J23">
        <f>answer1(F23)</f>
        <v>8.1117442228553337E-3</v>
      </c>
    </row>
    <row r="24" spans="2:10" x14ac:dyDescent="0.3">
      <c r="B24" t="s">
        <v>7</v>
      </c>
      <c r="E24" s="1" t="s">
        <v>12</v>
      </c>
      <c r="F24" t="str">
        <f>CONCATENATE(C10,"x1000x1000/(",F3,"x",H20,"x",B5,")=")</f>
        <v>41x1000x1000/(295x86400x300)=</v>
      </c>
      <c r="J24">
        <f t="shared" ref="J24" si="1">answer1(F24)</f>
        <v>5.3620004184975938E-3</v>
      </c>
    </row>
    <row r="25" spans="2:10" x14ac:dyDescent="0.3">
      <c r="B25" t="s">
        <v>13</v>
      </c>
    </row>
    <row r="26" spans="2:10" x14ac:dyDescent="0.3">
      <c r="B26" s="1" t="s">
        <v>6</v>
      </c>
      <c r="D26" s="1" t="s">
        <v>14</v>
      </c>
      <c r="E26" t="str">
        <f>CONCATENATE(C10,"x1000x1000x",H21,"/(2x",G3,"x",H20,")=")</f>
        <v>41x1000x1000x1320/(2x215x86400)=</v>
      </c>
      <c r="I26" s="6">
        <f>answer1(E26)</f>
        <v>1456.71834625323</v>
      </c>
    </row>
    <row r="27" spans="2:10" x14ac:dyDescent="0.3">
      <c r="B27" s="1" t="s">
        <v>7</v>
      </c>
      <c r="D27" s="1" t="s">
        <v>48</v>
      </c>
      <c r="E27" t="str">
        <f>CONCATENATE(C10,"x1000x1000x",H21,"/(2x",H3,"x",H20,")=")</f>
        <v>41x1000x1000x1320/(2x345x86400)=</v>
      </c>
      <c r="I27" s="6">
        <f>answer1(E27)</f>
        <v>907.80998389694037</v>
      </c>
    </row>
    <row r="28" spans="2:10" x14ac:dyDescent="0.3">
      <c r="C28" s="1"/>
      <c r="E28" s="1"/>
    </row>
    <row r="29" spans="2:10" x14ac:dyDescent="0.3">
      <c r="C29" s="5" t="s">
        <v>15</v>
      </c>
      <c r="E29" s="1"/>
    </row>
    <row r="30" spans="2:10" x14ac:dyDescent="0.3">
      <c r="C30" s="5" t="s">
        <v>16</v>
      </c>
      <c r="E30" s="1"/>
    </row>
    <row r="31" spans="2:10" x14ac:dyDescent="0.3">
      <c r="C31" s="1" t="s">
        <v>22</v>
      </c>
      <c r="D31" t="s">
        <v>30</v>
      </c>
      <c r="F31" s="1" t="s">
        <v>23</v>
      </c>
      <c r="G31" t="str">
        <f>CONCATENATE(C8,"x1000x1000","/(",G3,"x",F5,")=")</f>
        <v>120x1000x1000/(215x472.5)=</v>
      </c>
      <c r="J31">
        <f>answer1(G31)</f>
        <v>1181.2476928755998</v>
      </c>
    </row>
    <row r="32" spans="2:10" x14ac:dyDescent="0.3">
      <c r="C32" s="1"/>
      <c r="E32" s="1" t="s">
        <v>26</v>
      </c>
      <c r="F32" s="4" t="s">
        <v>27</v>
      </c>
      <c r="G32">
        <f>barX(F32,"A")*100</f>
        <v>154800</v>
      </c>
    </row>
    <row r="33" spans="2:10" x14ac:dyDescent="0.3">
      <c r="C33" s="1" t="s">
        <v>19</v>
      </c>
      <c r="D33" t="s">
        <v>31</v>
      </c>
      <c r="F33" s="1" t="s">
        <v>23</v>
      </c>
      <c r="G33" t="str">
        <f>CONCATENATE(C9,"x1000x1000","/(",G3,"x",F5,")=")</f>
        <v>85x1000x1000/(215x472.5)=</v>
      </c>
      <c r="J33">
        <f t="shared" ref="J33:J44" si="2">answer1(G33)</f>
        <v>836.71711578688326</v>
      </c>
    </row>
    <row r="34" spans="2:10" x14ac:dyDescent="0.3">
      <c r="E34" s="1" t="s">
        <v>26</v>
      </c>
      <c r="F34" s="4" t="s">
        <v>28</v>
      </c>
      <c r="G34">
        <f>[1]!Bar(F34,"A")*100</f>
        <v>773.99997711181641</v>
      </c>
    </row>
    <row r="35" spans="2:10" x14ac:dyDescent="0.3">
      <c r="C35" s="1" t="s">
        <v>24</v>
      </c>
      <c r="D35" t="s">
        <v>30</v>
      </c>
      <c r="F35" s="1" t="s">
        <v>25</v>
      </c>
      <c r="G35" t="str">
        <f>CONCATENATE(D8,"x1000x1000","/(",H3,"x",F5,")=")</f>
        <v>330x1000x1000/(345x472.5)=</v>
      </c>
      <c r="J35">
        <f t="shared" si="2"/>
        <v>2024.3846330802853</v>
      </c>
    </row>
    <row r="36" spans="2:10" x14ac:dyDescent="0.3">
      <c r="C36" s="1"/>
      <c r="E36" s="1" t="s">
        <v>26</v>
      </c>
      <c r="F36" s="4" t="s">
        <v>27</v>
      </c>
      <c r="G36">
        <f>[1]!Bar(F36,"A")*100</f>
        <v>1547.9999542236328</v>
      </c>
    </row>
    <row r="37" spans="2:10" x14ac:dyDescent="0.3">
      <c r="C37" s="1"/>
      <c r="D37" t="s">
        <v>31</v>
      </c>
      <c r="F37" s="1" t="s">
        <v>25</v>
      </c>
      <c r="G37" t="str">
        <f>CONCATENATE(E8,"x1000x1000","/(",H3,"x",F5,")=")</f>
        <v>90x1000x1000/(345x472.5)=</v>
      </c>
      <c r="J37">
        <f t="shared" si="2"/>
        <v>552.1048999309869</v>
      </c>
    </row>
    <row r="38" spans="2:10" x14ac:dyDescent="0.3">
      <c r="C38" s="1"/>
      <c r="E38" s="1" t="s">
        <v>26</v>
      </c>
      <c r="F38" s="4" t="s">
        <v>29</v>
      </c>
      <c r="G38">
        <f>[1]!Bar(F38,"A")*100</f>
        <v>773.99997711181641</v>
      </c>
    </row>
    <row r="39" spans="2:10" x14ac:dyDescent="0.3">
      <c r="C39" s="1" t="s">
        <v>19</v>
      </c>
      <c r="D39" t="s">
        <v>31</v>
      </c>
      <c r="F39" s="1" t="s">
        <v>25</v>
      </c>
      <c r="G39" t="str">
        <f>CONCATENATE(E9,"x1000x1000","/(",H3,"x",F5,")=")</f>
        <v>85x1000x1000/(345x472.5)=</v>
      </c>
      <c r="J39">
        <f t="shared" si="2"/>
        <v>521.43240549037648</v>
      </c>
    </row>
    <row r="40" spans="2:10" x14ac:dyDescent="0.3">
      <c r="E40" s="1" t="s">
        <v>26</v>
      </c>
      <c r="F40" s="4" t="s">
        <v>29</v>
      </c>
      <c r="G40">
        <f>[1]!Bar(F40,"A")*100</f>
        <v>773.99997711181641</v>
      </c>
    </row>
    <row r="41" spans="2:10" x14ac:dyDescent="0.3">
      <c r="B41" t="s">
        <v>34</v>
      </c>
    </row>
    <row r="42" spans="2:10" x14ac:dyDescent="0.3">
      <c r="B42" t="s">
        <v>6</v>
      </c>
      <c r="F42" t="s">
        <v>36</v>
      </c>
      <c r="G42">
        <f>+G8</f>
        <v>95</v>
      </c>
      <c r="J42">
        <f t="shared" si="2"/>
        <v>95</v>
      </c>
    </row>
    <row r="43" spans="2:10" x14ac:dyDescent="0.3">
      <c r="D43" s="1" t="s">
        <v>35</v>
      </c>
      <c r="E43" t="str">
        <f>CONCATENATE("(",G42,"x1000/(",B5,"x",F5,")-",G5,"x",C3,")x2/",E3,"+",0.002)</f>
        <v>(95x1000/(300x472.5)-1x0.7)x2/195+0.002</v>
      </c>
      <c r="J43">
        <f>answer1(E43)</f>
        <v>1.69429747207525E-3</v>
      </c>
    </row>
    <row r="44" spans="2:10" x14ac:dyDescent="0.3">
      <c r="B44" t="s">
        <v>7</v>
      </c>
      <c r="F44" t="s">
        <v>36</v>
      </c>
      <c r="G44">
        <v>235</v>
      </c>
      <c r="J44">
        <f t="shared" si="2"/>
        <v>235</v>
      </c>
    </row>
    <row r="45" spans="2:10" x14ac:dyDescent="0.3">
      <c r="D45" s="1" t="s">
        <v>35</v>
      </c>
      <c r="E45" t="str">
        <f>CONCATENATE("(",G44,"x1000/(",B5,"x",F5,")-",G5,"x",D3,")x2/",H3,"+",0.002)</f>
        <v>(235x1000/(300x472.5)-1x1.05)x2/345+0.002</v>
      </c>
      <c r="J45">
        <f>answer1(E45)</f>
        <v>5.5237584029854559E-3</v>
      </c>
    </row>
    <row r="46" spans="2:10" x14ac:dyDescent="0.3">
      <c r="D46" s="1"/>
      <c r="E46" s="9" t="s">
        <v>6</v>
      </c>
      <c r="F46" s="4" t="s">
        <v>7</v>
      </c>
    </row>
    <row r="47" spans="2:10" x14ac:dyDescent="0.3">
      <c r="D47" s="1" t="s">
        <v>39</v>
      </c>
      <c r="E47" s="11">
        <f>+J23*100</f>
        <v>0.81117442228553338</v>
      </c>
      <c r="F47" s="7">
        <f>+J24*100</f>
        <v>0.53620004184975933</v>
      </c>
    </row>
    <row r="48" spans="2:10" x14ac:dyDescent="0.3">
      <c r="D48" s="1" t="s">
        <v>40</v>
      </c>
      <c r="E48" s="11">
        <f>IF(J43&lt;1,0,J43)</f>
        <v>0</v>
      </c>
      <c r="F48" s="7">
        <f>+J45*100</f>
        <v>0.55237584029854558</v>
      </c>
    </row>
    <row r="49" spans="4:10" x14ac:dyDescent="0.3">
      <c r="D49" s="1" t="s">
        <v>45</v>
      </c>
      <c r="E49" s="12">
        <f>SUM(E47:E48)</f>
        <v>0.81117442228553338</v>
      </c>
      <c r="F49" s="12">
        <f>SUM(F47:F48)</f>
        <v>1.0885758821483049</v>
      </c>
    </row>
    <row r="50" spans="4:10" x14ac:dyDescent="0.3">
      <c r="D50" s="4" t="s">
        <v>41</v>
      </c>
      <c r="E50" s="4" t="s">
        <v>42</v>
      </c>
      <c r="F50" t="str">
        <f>+E50</f>
        <v>2-D10</v>
      </c>
    </row>
    <row r="51" spans="4:10" x14ac:dyDescent="0.3">
      <c r="D51" s="4" t="s">
        <v>44</v>
      </c>
      <c r="E51" s="4">
        <f>barX(E50,"A")</f>
        <v>142</v>
      </c>
      <c r="F51">
        <f>+E51</f>
        <v>142</v>
      </c>
    </row>
    <row r="52" spans="4:10" x14ac:dyDescent="0.3">
      <c r="D52" s="4"/>
      <c r="E52" s="4">
        <v>100</v>
      </c>
      <c r="F52">
        <f>+E52</f>
        <v>100</v>
      </c>
    </row>
    <row r="53" spans="4:10" x14ac:dyDescent="0.3">
      <c r="D53" s="4" t="s">
        <v>43</v>
      </c>
      <c r="E53" s="4">
        <f>+E51/E52/B5*100</f>
        <v>0.47333333333333333</v>
      </c>
      <c r="F53">
        <f>+E53</f>
        <v>0.47333333333333333</v>
      </c>
      <c r="G53" s="2"/>
    </row>
    <row r="54" spans="4:10" x14ac:dyDescent="0.3">
      <c r="D54" s="4" t="s">
        <v>46</v>
      </c>
      <c r="E54" s="12">
        <f>+E49/E53</f>
        <v>1.713748779476479</v>
      </c>
      <c r="F54" s="12">
        <f>+F49/F53</f>
        <v>2.2998082017217709</v>
      </c>
      <c r="G54" s="2"/>
    </row>
    <row r="56" spans="4:10" x14ac:dyDescent="0.3">
      <c r="E56" t="s">
        <v>53</v>
      </c>
      <c r="G56" t="s">
        <v>54</v>
      </c>
      <c r="I56" t="s">
        <v>19</v>
      </c>
    </row>
    <row r="57" spans="4:10" x14ac:dyDescent="0.3">
      <c r="D57" s="1"/>
      <c r="E57" s="9" t="s">
        <v>6</v>
      </c>
      <c r="F57" s="4" t="s">
        <v>7</v>
      </c>
      <c r="G57" s="9" t="s">
        <v>6</v>
      </c>
      <c r="H57" s="4" t="s">
        <v>7</v>
      </c>
      <c r="I57" s="9" t="s">
        <v>6</v>
      </c>
      <c r="J57" s="4" t="s">
        <v>7</v>
      </c>
    </row>
    <row r="58" spans="4:10" x14ac:dyDescent="0.3">
      <c r="D58" s="1" t="s">
        <v>47</v>
      </c>
      <c r="E58" s="9">
        <f>+I26</f>
        <v>1456.71834625323</v>
      </c>
      <c r="F58" s="6">
        <f>+I27</f>
        <v>907.80998389694037</v>
      </c>
      <c r="G58" s="9">
        <f>+I26</f>
        <v>1456.71834625323</v>
      </c>
      <c r="H58" s="6">
        <f>+I27</f>
        <v>907.80998389694037</v>
      </c>
      <c r="I58" s="9">
        <f>+I26</f>
        <v>1456.71834625323</v>
      </c>
      <c r="J58" s="6">
        <f>+I27</f>
        <v>907.80998389694037</v>
      </c>
    </row>
    <row r="59" spans="4:10" x14ac:dyDescent="0.3">
      <c r="D59" s="4" t="s">
        <v>41</v>
      </c>
      <c r="E59" s="4" t="s">
        <v>37</v>
      </c>
      <c r="F59" s="4" t="str">
        <f>+E59</f>
        <v>4-D13</v>
      </c>
      <c r="G59" s="4" t="s">
        <v>37</v>
      </c>
      <c r="H59" s="4" t="str">
        <f>+G59</f>
        <v>4-D13</v>
      </c>
      <c r="I59" s="4" t="s">
        <v>37</v>
      </c>
      <c r="J59" s="4" t="str">
        <f>+I59</f>
        <v>4-D13</v>
      </c>
    </row>
    <row r="60" spans="4:10" x14ac:dyDescent="0.3">
      <c r="D60" s="4" t="s">
        <v>52</v>
      </c>
      <c r="E60" s="4">
        <f>barX(E59,"A")</f>
        <v>508</v>
      </c>
      <c r="F60" s="4">
        <f t="shared" ref="F60:J60" si="3">barX(F59,"A")</f>
        <v>508</v>
      </c>
      <c r="G60" s="4">
        <f t="shared" si="3"/>
        <v>508</v>
      </c>
      <c r="H60" s="4">
        <f t="shared" si="3"/>
        <v>508</v>
      </c>
      <c r="I60" s="4">
        <f t="shared" si="3"/>
        <v>508</v>
      </c>
      <c r="J60" s="4">
        <f t="shared" si="3"/>
        <v>508</v>
      </c>
    </row>
    <row r="61" spans="4:10" x14ac:dyDescent="0.3">
      <c r="D61" s="4" t="s">
        <v>49</v>
      </c>
      <c r="E61" s="9">
        <f t="shared" ref="E61:J61" si="4">+E58-E60</f>
        <v>948.71834625323004</v>
      </c>
      <c r="F61" s="9">
        <f t="shared" si="4"/>
        <v>399.80998389694037</v>
      </c>
      <c r="G61" s="13">
        <f t="shared" si="4"/>
        <v>948.71834625323004</v>
      </c>
      <c r="H61" s="13">
        <f t="shared" si="4"/>
        <v>399.80998389694037</v>
      </c>
      <c r="I61" s="13">
        <f t="shared" si="4"/>
        <v>948.71834625323004</v>
      </c>
      <c r="J61" s="13">
        <f t="shared" si="4"/>
        <v>399.80998389694037</v>
      </c>
    </row>
    <row r="62" spans="4:10" x14ac:dyDescent="0.3">
      <c r="D62" s="1" t="s">
        <v>50</v>
      </c>
      <c r="E62" s="9">
        <f>+J31</f>
        <v>1181.2476928755998</v>
      </c>
      <c r="F62" s="6">
        <f>+J35</f>
        <v>2024.3846330802853</v>
      </c>
      <c r="G62" s="9">
        <v>0</v>
      </c>
      <c r="H62" s="9">
        <f>+K37</f>
        <v>0</v>
      </c>
      <c r="I62" s="9">
        <f>+J33</f>
        <v>836.71711578688326</v>
      </c>
      <c r="J62" s="9">
        <f>+J39</f>
        <v>521.43240549037648</v>
      </c>
    </row>
    <row r="63" spans="4:10" x14ac:dyDescent="0.3">
      <c r="D63" s="1" t="s">
        <v>38</v>
      </c>
      <c r="E63" s="6">
        <f>+E62+E61/2</f>
        <v>1655.6068660022147</v>
      </c>
      <c r="F63" s="9">
        <f>+F62+F61</f>
        <v>2424.1946169772255</v>
      </c>
      <c r="G63" s="6">
        <f>+G62+G61/2</f>
        <v>474.35917312661502</v>
      </c>
      <c r="H63" s="9">
        <f>+H62+H61</f>
        <v>399.80998389694037</v>
      </c>
      <c r="I63" s="6">
        <f>+I62+I61/2</f>
        <v>1311.0762889134983</v>
      </c>
      <c r="J63" s="9">
        <f>+J62+J61</f>
        <v>921.24238938731685</v>
      </c>
    </row>
    <row r="64" spans="4:10" x14ac:dyDescent="0.3">
      <c r="D64" s="4" t="s">
        <v>51</v>
      </c>
      <c r="E64" s="4" t="s">
        <v>27</v>
      </c>
      <c r="F64" s="4" t="str">
        <f>+E64</f>
        <v>4-D22</v>
      </c>
      <c r="G64" s="4" t="s">
        <v>27</v>
      </c>
      <c r="H64" s="4" t="str">
        <f>+G64</f>
        <v>4-D22</v>
      </c>
      <c r="I64" s="4" t="s">
        <v>27</v>
      </c>
      <c r="J64" s="4" t="str">
        <f>+I64</f>
        <v>4-D22</v>
      </c>
    </row>
    <row r="65" spans="4:10" x14ac:dyDescent="0.3">
      <c r="D65" s="4" t="s">
        <v>52</v>
      </c>
      <c r="E65" s="4">
        <f>barX(E64,"A")</f>
        <v>1548</v>
      </c>
      <c r="F65" s="4">
        <f t="shared" ref="F65:J65" si="5">barX(F64,"A")</f>
        <v>1548</v>
      </c>
      <c r="G65" s="4">
        <f t="shared" si="5"/>
        <v>1548</v>
      </c>
      <c r="H65" s="4">
        <f t="shared" si="5"/>
        <v>1548</v>
      </c>
      <c r="I65" s="4">
        <f t="shared" si="5"/>
        <v>1548</v>
      </c>
      <c r="J65" s="4">
        <f t="shared" si="5"/>
        <v>1548</v>
      </c>
    </row>
    <row r="66" spans="4:10" x14ac:dyDescent="0.3">
      <c r="D66" s="1"/>
      <c r="E66" s="10">
        <f t="shared" ref="E66:J66" si="6">+E63/E65</f>
        <v>1.069513479329596</v>
      </c>
      <c r="F66" s="10">
        <f t="shared" si="6"/>
        <v>1.5660171944297323</v>
      </c>
      <c r="G66" s="10">
        <f t="shared" si="6"/>
        <v>0.30643357437119834</v>
      </c>
      <c r="H66" s="10">
        <f t="shared" si="6"/>
        <v>0.25827518339595629</v>
      </c>
      <c r="I66" s="10">
        <f t="shared" si="6"/>
        <v>0.84694850705006353</v>
      </c>
      <c r="J66" s="10">
        <f t="shared" si="6"/>
        <v>0.59511782260162582</v>
      </c>
    </row>
    <row r="67" spans="4:10" x14ac:dyDescent="0.3">
      <c r="D67" s="1"/>
      <c r="E67" s="13"/>
      <c r="F67" s="12"/>
    </row>
    <row r="72" spans="4:10" x14ac:dyDescent="0.3">
      <c r="D72" s="4"/>
      <c r="E72" s="4"/>
    </row>
    <row r="73" spans="4:10" x14ac:dyDescent="0.3">
      <c r="D73" s="4"/>
      <c r="E73" s="4"/>
    </row>
    <row r="74" spans="4:10" x14ac:dyDescent="0.3">
      <c r="D74" s="4"/>
      <c r="E74" s="12"/>
      <c r="F74" s="12"/>
    </row>
  </sheetData>
  <phoneticPr fontId="1"/>
  <pageMargins left="0.75" right="0.75" top="1" bottom="1" header="0.51200000000000001" footer="0.51200000000000001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長期 (2)</vt:lpstr>
      <vt:lpstr>長期せん断補強筋</vt:lpstr>
      <vt:lpstr>表SS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Makoto Matsushita</dc:creator>
  <cp:lastModifiedBy>Administrator</cp:lastModifiedBy>
  <cp:lastPrinted>2023-02-02T02:15:50Z</cp:lastPrinted>
  <dcterms:created xsi:type="dcterms:W3CDTF">1997-01-08T22:48:59Z</dcterms:created>
  <dcterms:modified xsi:type="dcterms:W3CDTF">2023-02-03T09:27:54Z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b313929-e9c4-48cb-bec8-1c8404fadbed_Enabled">
    <vt:lpwstr>true</vt:lpwstr>
  </property>
  <property fmtid="{D5CDD505-2E9C-101B-9397-08002B2CF9AE}" pid="3" name="MSIP_Label_bb313929-e9c4-48cb-bec8-1c8404fadbed_SetDate">
    <vt:lpwstr>2023-01-31T07:16:12Z</vt:lpwstr>
  </property>
  <property fmtid="{D5CDD505-2E9C-101B-9397-08002B2CF9AE}" pid="4" name="MSIP_Label_bb313929-e9c4-48cb-bec8-1c8404fadbed_Method">
    <vt:lpwstr>Privileged</vt:lpwstr>
  </property>
  <property fmtid="{D5CDD505-2E9C-101B-9397-08002B2CF9AE}" pid="5" name="MSIP_Label_bb313929-e9c4-48cb-bec8-1c8404fadbed_Name">
    <vt:lpwstr>一般公開</vt:lpwstr>
  </property>
  <property fmtid="{D5CDD505-2E9C-101B-9397-08002B2CF9AE}" pid="6" name="MSIP_Label_bb313929-e9c4-48cb-bec8-1c8404fadbed_SiteId">
    <vt:lpwstr>e7b9c1d5-0d8a-4ce9-84f5-a3b79615e52e</vt:lpwstr>
  </property>
  <property fmtid="{D5CDD505-2E9C-101B-9397-08002B2CF9AE}" pid="7" name="MSIP_Label_bb313929-e9c4-48cb-bec8-1c8404fadbed_ActionId">
    <vt:lpwstr>93aeecbf-6f40-402e-acbc-74973413a68d</vt:lpwstr>
  </property>
  <property fmtid="{D5CDD505-2E9C-101B-9397-08002B2CF9AE}" pid="8" name="MSIP_Label_bb313929-e9c4-48cb-bec8-1c8404fadbed_ContentBits">
    <vt:lpwstr>0</vt:lpwstr>
  </property>
</Properties>
</file>