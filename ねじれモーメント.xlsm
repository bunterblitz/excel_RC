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github\excel_RC\"/>
    </mc:Choice>
  </mc:AlternateContent>
  <xr:revisionPtr revIDLastSave="0" documentId="13_ncr:1_{F2974D41-A178-416E-B7D5-1678F051DC0B}" xr6:coauthVersionLast="36" xr6:coauthVersionMax="36" xr10:uidLastSave="{00000000-0000-0000-0000-000000000000}"/>
  <bookViews>
    <workbookView xWindow="480" yWindow="30" windowWidth="8478" windowHeight="4728" xr2:uid="{00000000-000D-0000-FFFF-FFFF00000000}"/>
  </bookViews>
  <sheets>
    <sheet name="ねじれモーメントの検討  (2)" sheetId="11" r:id="rId1"/>
    <sheet name="ねじれモーメントの検討 " sheetId="8" r:id="rId2"/>
    <sheet name="長方形 (2)" sheetId="5" r:id="rId3"/>
    <sheet name="PILE Footingねじれモーメントの検討 (2)" sheetId="7" r:id="rId4"/>
    <sheet name="ねじれモーメントの検討" sheetId="4" r:id="rId5"/>
    <sheet name="ねじれモーメントの検討(柱型芯にて検討)" sheetId="1" r:id="rId6"/>
    <sheet name="Sheet2 (3)" sheetId="10" r:id="rId7"/>
    <sheet name="Sheet2" sheetId="2" r:id="rId8"/>
    <sheet name="Sheet2 (2)" sheetId="6" r:id="rId9"/>
  </sheets>
  <functionGroups builtInGroupCount="19"/>
  <externalReferences>
    <externalReference r:id="rId10"/>
    <externalReference r:id="rId11"/>
    <externalReference r:id="rId12"/>
  </externalReferences>
  <definedNames>
    <definedName name="_xlnm.Print_Area" localSheetId="3">'PILE Footingねじれモーメントの検討 (2)'!$A$1:$U$34</definedName>
    <definedName name="_xlnm.Print_Area" localSheetId="4">ねじれモーメントの検討!$A$1:$W$38</definedName>
    <definedName name="_xlnm.Print_Area" localSheetId="1">'ねじれモーメントの検討 '!$A$1:$U$33</definedName>
    <definedName name="_xlnm.Print_Area" localSheetId="5">'ねじれモーメントの検討(柱型芯にて検討)'!$A$1:$X$39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9" i="11" l="1"/>
  <c r="E25" i="11"/>
  <c r="E26" i="11"/>
  <c r="E21" i="11"/>
  <c r="E23" i="11" s="1"/>
  <c r="C5" i="10"/>
  <c r="E12" i="10" s="1"/>
  <c r="G39" i="2"/>
  <c r="G43" i="2"/>
  <c r="G35" i="2"/>
  <c r="G33" i="2"/>
  <c r="G31" i="2"/>
  <c r="E46" i="11"/>
  <c r="E45" i="11"/>
  <c r="D14" i="11"/>
  <c r="D13" i="11"/>
  <c r="I12" i="10"/>
  <c r="E15" i="11" l="1"/>
  <c r="F36" i="11"/>
  <c r="G45" i="11"/>
  <c r="E16" i="11"/>
  <c r="G46" i="11"/>
  <c r="H29" i="11"/>
  <c r="E28" i="11"/>
  <c r="D5" i="10"/>
  <c r="E16" i="10"/>
  <c r="E7" i="10"/>
  <c r="F7" i="10" s="1"/>
  <c r="E29" i="11"/>
  <c r="I16" i="10"/>
  <c r="I29" i="11" l="1"/>
  <c r="F29" i="11"/>
  <c r="E18" i="11"/>
  <c r="E17" i="11"/>
  <c r="C35" i="11" s="1"/>
  <c r="G47" i="11"/>
  <c r="F41" i="11" s="1"/>
  <c r="E13" i="10"/>
  <c r="E17" i="10"/>
  <c r="C36" i="11"/>
  <c r="H17" i="10"/>
  <c r="H13" i="10"/>
  <c r="G36" i="11" l="1"/>
  <c r="C40" i="11"/>
  <c r="E14" i="10"/>
  <c r="E18" i="10"/>
  <c r="C41" i="11"/>
  <c r="H14" i="10"/>
  <c r="H18" i="10"/>
  <c r="G41" i="11" l="1"/>
  <c r="I18" i="10"/>
  <c r="I14" i="10"/>
  <c r="D44" i="2" l="1"/>
  <c r="G44" i="2" s="1"/>
  <c r="D43" i="2"/>
  <c r="D5" i="2"/>
  <c r="D6" i="8"/>
  <c r="D8" i="8" s="1"/>
  <c r="H14" i="8" s="1"/>
  <c r="E50" i="2"/>
  <c r="I64" i="2"/>
  <c r="G64" i="2"/>
  <c r="E64" i="2"/>
  <c r="F59" i="2"/>
  <c r="G59" i="2"/>
  <c r="H59" i="2"/>
  <c r="I59" i="2"/>
  <c r="J59" i="2"/>
  <c r="E59" i="2"/>
  <c r="I16" i="6"/>
  <c r="J15" i="6"/>
  <c r="I4" i="6"/>
  <c r="G40" i="2"/>
  <c r="G38" i="2"/>
  <c r="G36" i="2"/>
  <c r="G34" i="2"/>
  <c r="G32" i="2"/>
  <c r="O14" i="8"/>
  <c r="H60" i="2" l="1"/>
  <c r="G60" i="2"/>
  <c r="E52" i="2"/>
  <c r="E31" i="8"/>
  <c r="E32" i="8"/>
  <c r="O15" i="8"/>
  <c r="F22" i="8" l="1"/>
  <c r="G31" i="8"/>
  <c r="G32" i="8"/>
  <c r="G14" i="8"/>
  <c r="O19" i="8"/>
  <c r="O8" i="8"/>
  <c r="E31" i="7"/>
  <c r="G31" i="7" s="1"/>
  <c r="D8" i="7"/>
  <c r="O18" i="8" l="1"/>
  <c r="O20" i="8" s="1"/>
  <c r="C21" i="8" s="1"/>
  <c r="D10" i="8"/>
  <c r="D11" i="8"/>
  <c r="G33" i="8"/>
  <c r="F27" i="8" s="1"/>
  <c r="E32" i="7"/>
  <c r="G32" i="7" s="1"/>
  <c r="G33" i="7" s="1"/>
  <c r="F27" i="7" s="1"/>
  <c r="V18" i="7"/>
  <c r="O9" i="7"/>
  <c r="O14" i="7" s="1"/>
  <c r="O8" i="7"/>
  <c r="G14" i="7"/>
  <c r="Z11" i="7"/>
  <c r="Z10" i="7"/>
  <c r="Z8" i="7"/>
  <c r="Z7" i="7"/>
  <c r="Z6" i="7"/>
  <c r="F15" i="4"/>
  <c r="Q18" i="4"/>
  <c r="C22" i="8"/>
  <c r="O21" i="8" l="1"/>
  <c r="C26" i="8" s="1"/>
  <c r="G22" i="8"/>
  <c r="O20" i="7"/>
  <c r="D10" i="7"/>
  <c r="D13" i="8"/>
  <c r="T12" i="7"/>
  <c r="D11" i="7"/>
  <c r="T14" i="7"/>
  <c r="O13" i="7"/>
  <c r="O16" i="7" s="1"/>
  <c r="H56" i="6"/>
  <c r="H54" i="6"/>
  <c r="G44" i="6"/>
  <c r="H44" i="6" s="1"/>
  <c r="I44" i="6" s="1"/>
  <c r="J44" i="6" s="1"/>
  <c r="K44" i="6" s="1"/>
  <c r="G39" i="6"/>
  <c r="H39" i="6" s="1"/>
  <c r="I39" i="6" s="1"/>
  <c r="J39" i="6" s="1"/>
  <c r="K39" i="6" s="1"/>
  <c r="G23" i="6"/>
  <c r="G22" i="6"/>
  <c r="F13" i="6"/>
  <c r="G13" i="6" s="1"/>
  <c r="D11" i="6"/>
  <c r="X18" i="4"/>
  <c r="E21" i="2"/>
  <c r="E20" i="2"/>
  <c r="Q17" i="4"/>
  <c r="H61" i="2"/>
  <c r="F51" i="2"/>
  <c r="F49" i="2"/>
  <c r="E5" i="2"/>
  <c r="F5" i="2" s="1"/>
  <c r="C3" i="2"/>
  <c r="H32" i="4"/>
  <c r="Z6" i="4"/>
  <c r="Z7" i="4"/>
  <c r="Z8" i="4"/>
  <c r="Z10" i="4"/>
  <c r="Z11" i="4"/>
  <c r="H33" i="4"/>
  <c r="B29" i="4"/>
  <c r="W8" i="1"/>
  <c r="N16" i="1"/>
  <c r="C8" i="1" s="1"/>
  <c r="W26" i="1"/>
  <c r="W12" i="1"/>
  <c r="W11" i="1"/>
  <c r="X21" i="1"/>
  <c r="P29" i="1"/>
  <c r="AA10" i="1"/>
  <c r="AA9" i="1"/>
  <c r="AA8" i="1"/>
  <c r="AA7" i="1"/>
  <c r="AA6" i="1"/>
  <c r="C6" i="1"/>
  <c r="G22" i="1"/>
  <c r="G21" i="1"/>
  <c r="A31" i="1"/>
  <c r="C12" i="1"/>
  <c r="J3" i="1"/>
  <c r="N11" i="1"/>
  <c r="R5" i="1"/>
  <c r="N28" i="1"/>
  <c r="F40" i="6"/>
  <c r="J40" i="6"/>
  <c r="H40" i="6"/>
  <c r="I45" i="6"/>
  <c r="K45" i="6"/>
  <c r="H45" i="6"/>
  <c r="E14" i="5"/>
  <c r="J45" i="6"/>
  <c r="I14" i="5"/>
  <c r="I10" i="5"/>
  <c r="J23" i="6"/>
  <c r="G45" i="6"/>
  <c r="C14" i="5"/>
  <c r="G55" i="6"/>
  <c r="C10" i="5"/>
  <c r="E10" i="5"/>
  <c r="J22" i="6"/>
  <c r="G25" i="6" s="1"/>
  <c r="F45" i="6"/>
  <c r="D7" i="4"/>
  <c r="C27" i="8"/>
  <c r="F50" i="2"/>
  <c r="J64" i="2"/>
  <c r="H64" i="2"/>
  <c r="F64" i="2"/>
  <c r="I21" i="2"/>
  <c r="H20" i="2"/>
  <c r="D14" i="8"/>
  <c r="F27" i="2" l="1"/>
  <c r="F26" i="2"/>
  <c r="F24" i="2"/>
  <c r="F23" i="2"/>
  <c r="G37" i="2"/>
  <c r="G27" i="8"/>
  <c r="E12" i="2"/>
  <c r="E16" i="2"/>
  <c r="I14" i="8"/>
  <c r="F14" i="8"/>
  <c r="G25" i="1"/>
  <c r="V14" i="4"/>
  <c r="Q21" i="4"/>
  <c r="D10" i="4"/>
  <c r="D14" i="4" s="1"/>
  <c r="D11" i="4"/>
  <c r="D13" i="7"/>
  <c r="C10" i="1"/>
  <c r="B18" i="1" s="1"/>
  <c r="J25" i="1" s="1"/>
  <c r="O15" i="7"/>
  <c r="C26" i="7" s="1"/>
  <c r="H14" i="7"/>
  <c r="D8" i="4"/>
  <c r="G15" i="4" s="1"/>
  <c r="K14" i="5"/>
  <c r="N4" i="1"/>
  <c r="F48" i="6"/>
  <c r="G57" i="6"/>
  <c r="G26" i="6"/>
  <c r="F29" i="6"/>
  <c r="F18" i="6"/>
  <c r="F15" i="6"/>
  <c r="F16" i="6"/>
  <c r="F28" i="6"/>
  <c r="F19" i="6"/>
  <c r="H55" i="6"/>
  <c r="H57" i="6" s="1"/>
  <c r="G40" i="6"/>
  <c r="I40" i="6"/>
  <c r="K40" i="6"/>
  <c r="H34" i="6"/>
  <c r="H32" i="6"/>
  <c r="H35" i="6"/>
  <c r="E11" i="6"/>
  <c r="H33" i="6"/>
  <c r="H31" i="6"/>
  <c r="E17" i="2"/>
  <c r="E13" i="2"/>
  <c r="D3" i="2"/>
  <c r="H36" i="4"/>
  <c r="V12" i="4"/>
  <c r="F52" i="2"/>
  <c r="F14" i="5"/>
  <c r="J14" i="5" s="1"/>
  <c r="F10" i="5"/>
  <c r="J10" i="5" s="1"/>
  <c r="J29" i="6"/>
  <c r="J14" i="4"/>
  <c r="K48" i="6"/>
  <c r="K32" i="6"/>
  <c r="D14" i="7"/>
  <c r="K25" i="6"/>
  <c r="K33" i="6"/>
  <c r="K31" i="6"/>
  <c r="J18" i="6"/>
  <c r="I19" i="6"/>
  <c r="K35" i="6"/>
  <c r="C27" i="7"/>
  <c r="J28" i="6"/>
  <c r="K34" i="6"/>
  <c r="K26" i="6"/>
  <c r="I12" i="2"/>
  <c r="J37" i="2"/>
  <c r="J44" i="2"/>
  <c r="J43" i="2"/>
  <c r="J33" i="2"/>
  <c r="J31" i="2"/>
  <c r="J39" i="2"/>
  <c r="J35" i="2"/>
  <c r="H17" i="2"/>
  <c r="J26" i="2"/>
  <c r="H13" i="2"/>
  <c r="J27" i="2"/>
  <c r="I16" i="2"/>
  <c r="I23" i="2"/>
  <c r="I24" i="2"/>
  <c r="E61" i="2" l="1"/>
  <c r="E47" i="2"/>
  <c r="F47" i="2"/>
  <c r="E46" i="2"/>
  <c r="F57" i="2"/>
  <c r="F60" i="2" s="1"/>
  <c r="C20" i="4"/>
  <c r="K36" i="4" s="1"/>
  <c r="C21" i="7"/>
  <c r="F14" i="7"/>
  <c r="F12" i="1"/>
  <c r="I14" i="7"/>
  <c r="G27" i="7"/>
  <c r="C15" i="4"/>
  <c r="H15" i="4" s="1"/>
  <c r="I42" i="6"/>
  <c r="G42" i="6"/>
  <c r="G52" i="6"/>
  <c r="F49" i="6"/>
  <c r="I3" i="6"/>
  <c r="F17" i="6"/>
  <c r="F20" i="6"/>
  <c r="H51" i="6"/>
  <c r="G51" i="6"/>
  <c r="G53" i="6" s="1"/>
  <c r="J42" i="6"/>
  <c r="F42" i="6"/>
  <c r="J38" i="6"/>
  <c r="J41" i="6" s="1"/>
  <c r="H38" i="6"/>
  <c r="F38" i="6"/>
  <c r="F41" i="6" s="1"/>
  <c r="K38" i="6"/>
  <c r="K41" i="6" s="1"/>
  <c r="I38" i="6"/>
  <c r="G38" i="6"/>
  <c r="G41" i="6" s="1"/>
  <c r="K42" i="6"/>
  <c r="F61" i="2"/>
  <c r="J61" i="2"/>
  <c r="E18" i="2"/>
  <c r="E14" i="2"/>
  <c r="F29" i="4"/>
  <c r="I61" i="2"/>
  <c r="J57" i="2"/>
  <c r="J60" i="2" s="1"/>
  <c r="H62" i="2"/>
  <c r="H65" i="2" s="1"/>
  <c r="I57" i="2"/>
  <c r="I60" i="2" s="1"/>
  <c r="G62" i="2"/>
  <c r="G65" i="2" s="1"/>
  <c r="E57" i="2"/>
  <c r="E60" i="2" s="1"/>
  <c r="F46" i="2"/>
  <c r="B17" i="5"/>
  <c r="K49" i="6"/>
  <c r="I17" i="6"/>
  <c r="I20" i="6"/>
  <c r="C22" i="7"/>
  <c r="H18" i="2"/>
  <c r="H14" i="2"/>
  <c r="E62" i="2" l="1"/>
  <c r="E65" i="2" s="1"/>
  <c r="I14" i="2"/>
  <c r="I18" i="2"/>
  <c r="E48" i="2"/>
  <c r="E53" i="2" s="1"/>
  <c r="J62" i="2"/>
  <c r="J65" i="2" s="1"/>
  <c r="F62" i="2"/>
  <c r="F65" i="2" s="1"/>
  <c r="G12" i="1"/>
  <c r="E31" i="1"/>
  <c r="G22" i="7"/>
  <c r="I62" i="2"/>
  <c r="I65" i="2" s="1"/>
  <c r="G43" i="6"/>
  <c r="G46" i="6" s="1"/>
  <c r="H52" i="6"/>
  <c r="H53" i="6"/>
  <c r="H58" i="6" s="1"/>
  <c r="G58" i="6"/>
  <c r="F43" i="6"/>
  <c r="F46" i="6" s="1"/>
  <c r="H41" i="6"/>
  <c r="H43" i="6" s="1"/>
  <c r="H46" i="6" s="1"/>
  <c r="I41" i="6"/>
  <c r="I43" i="6" s="1"/>
  <c r="I46" i="6" s="1"/>
  <c r="K43" i="6"/>
  <c r="K46" i="6" s="1"/>
  <c r="J43" i="6"/>
  <c r="J46" i="6" s="1"/>
  <c r="F48" i="2"/>
  <c r="F53" i="2" s="1"/>
  <c r="K10" i="5"/>
  <c r="H6" i="5" l="1"/>
  <c r="I6" i="5" s="1"/>
  <c r="K6" i="5" s="1"/>
  <c r="C17" i="5"/>
  <c r="H17" i="5"/>
  <c r="G17" i="5"/>
  <c r="F17" i="5"/>
  <c r="K17" i="5"/>
  <c r="E17" i="5" l="1"/>
  <c r="J6" i="5"/>
  <c r="I17" i="5"/>
  <c r="D17" i="5"/>
  <c r="J17" i="5" l="1"/>
</calcChain>
</file>

<file path=xl/sharedStrings.xml><?xml version="1.0" encoding="utf-8"?>
<sst xmlns="http://schemas.openxmlformats.org/spreadsheetml/2006/main" count="748" uniqueCount="371">
  <si>
    <t>1）ねじれモーメント算出</t>
    <rPh sb="10" eb="12">
      <t>サンシュツ</t>
    </rPh>
    <phoneticPr fontId="1"/>
  </si>
  <si>
    <t>長期1</t>
    <rPh sb="0" eb="2">
      <t>チョウキ</t>
    </rPh>
    <phoneticPr fontId="1"/>
  </si>
  <si>
    <t>短期2</t>
    <rPh sb="0" eb="2">
      <t>タンキ</t>
    </rPh>
    <phoneticPr fontId="1"/>
  </si>
  <si>
    <t>a1=</t>
    <phoneticPr fontId="1"/>
  </si>
  <si>
    <t>e=</t>
    <phoneticPr fontId="1"/>
  </si>
  <si>
    <t>Le=</t>
    <phoneticPr fontId="1"/>
  </si>
  <si>
    <t>me=</t>
    <phoneticPr fontId="1"/>
  </si>
  <si>
    <t>Σme=</t>
    <phoneticPr fontId="1"/>
  </si>
  <si>
    <t>h</t>
    <phoneticPr fontId="1"/>
  </si>
  <si>
    <t>=</t>
    <phoneticPr fontId="1"/>
  </si>
  <si>
    <t>(cm2)</t>
    <phoneticPr fontId="1"/>
  </si>
  <si>
    <t>4fs x B^2 x D/3=</t>
    <phoneticPr fontId="1"/>
  </si>
  <si>
    <t>ψ0</t>
    <phoneticPr fontId="1"/>
  </si>
  <si>
    <t>(cm)</t>
    <phoneticPr fontId="1"/>
  </si>
  <si>
    <t>L(m)</t>
    <phoneticPr fontId="1"/>
  </si>
  <si>
    <t>h(m)</t>
    <phoneticPr fontId="1"/>
  </si>
  <si>
    <t>b1(m)</t>
    <phoneticPr fontId="1"/>
  </si>
  <si>
    <t>a1(m)</t>
    <phoneticPr fontId="1"/>
  </si>
  <si>
    <t>Fc=</t>
    <phoneticPr fontId="1"/>
  </si>
  <si>
    <t>(N/mm2)</t>
    <phoneticPr fontId="1"/>
  </si>
  <si>
    <t>2)必要軸補強筋の検討</t>
    <rPh sb="2" eb="4">
      <t>ヒツヨウ</t>
    </rPh>
    <rPh sb="4" eb="5">
      <t>ジク</t>
    </rPh>
    <rPh sb="5" eb="7">
      <t>ホキョウ</t>
    </rPh>
    <rPh sb="7" eb="8">
      <t>キン</t>
    </rPh>
    <rPh sb="9" eb="11">
      <t>ケントウ</t>
    </rPh>
    <phoneticPr fontId="1"/>
  </si>
  <si>
    <t xml:space="preserve"> 必要鉄筋量 ate</t>
    <rPh sb="1" eb="3">
      <t>ヒツヨウ</t>
    </rPh>
    <rPh sb="3" eb="5">
      <t>テッキン</t>
    </rPh>
    <rPh sb="5" eb="6">
      <t>リョウ</t>
    </rPh>
    <phoneticPr fontId="1"/>
  </si>
  <si>
    <t xml:space="preserve"> 単位幅当りのねじれモーメント me</t>
    <rPh sb="1" eb="3">
      <t>タンイ</t>
    </rPh>
    <rPh sb="3" eb="4">
      <t>ハバ</t>
    </rPh>
    <rPh sb="4" eb="5">
      <t>アタ</t>
    </rPh>
    <phoneticPr fontId="1"/>
  </si>
  <si>
    <t>腹筋　use-</t>
    <rPh sb="0" eb="1">
      <t>ハラ</t>
    </rPh>
    <rPh sb="1" eb="2">
      <t>キン</t>
    </rPh>
    <phoneticPr fontId="1"/>
  </si>
  <si>
    <t>D13</t>
  </si>
  <si>
    <t>3）STの検討              (ST use-</t>
    <rPh sb="5" eb="7">
      <t>ケントウ</t>
    </rPh>
    <phoneticPr fontId="1"/>
  </si>
  <si>
    <t xml:space="preserve"> ねじれモーメントの検討</t>
    <rPh sb="10" eb="12">
      <t>ケントウ</t>
    </rPh>
    <phoneticPr fontId="1"/>
  </si>
  <si>
    <t>L-b1　=</t>
    <phoneticPr fontId="1"/>
  </si>
  <si>
    <t>（m）</t>
    <phoneticPr fontId="1"/>
  </si>
  <si>
    <t>D10</t>
    <phoneticPr fontId="1"/>
  </si>
  <si>
    <t>D13</t>
    <phoneticPr fontId="1"/>
  </si>
  <si>
    <t>（kN･m/m）</t>
    <phoneticPr fontId="1"/>
  </si>
  <si>
    <t>D16</t>
    <phoneticPr fontId="1"/>
  </si>
  <si>
    <t>D19</t>
    <phoneticPr fontId="1"/>
  </si>
  <si>
    <t>me x Le　=</t>
    <phoneticPr fontId="1"/>
  </si>
  <si>
    <t>（kN･m）</t>
    <phoneticPr fontId="1"/>
  </si>
  <si>
    <t>地反力σ´</t>
    <phoneticPr fontId="1"/>
  </si>
  <si>
    <t>D22</t>
    <phoneticPr fontId="1"/>
  </si>
  <si>
    <t>≧</t>
    <phoneticPr fontId="1"/>
  </si>
  <si>
    <t>b2(m)</t>
    <phoneticPr fontId="1"/>
  </si>
  <si>
    <t>=</t>
    <phoneticPr fontId="1"/>
  </si>
  <si>
    <t>B(mm)</t>
    <phoneticPr fontId="1"/>
  </si>
  <si>
    <r>
      <t>軸</t>
    </r>
    <r>
      <rPr>
        <sz val="8"/>
        <rFont val="ＭＳ Ｐ明朝"/>
        <family val="1"/>
        <charset val="128"/>
      </rPr>
      <t>L</t>
    </r>
    <r>
      <rPr>
        <sz val="10.5"/>
        <rFont val="ＭＳ Ｐ明朝"/>
        <family val="1"/>
        <charset val="128"/>
      </rPr>
      <t>ft=</t>
    </r>
    <phoneticPr fontId="1"/>
  </si>
  <si>
    <t>(kN/cm2)</t>
    <phoneticPr fontId="1"/>
  </si>
  <si>
    <t>e(m)</t>
    <phoneticPr fontId="1"/>
  </si>
  <si>
    <t>D(mm)</t>
    <phoneticPr fontId="1"/>
  </si>
  <si>
    <r>
      <t>a</t>
    </r>
    <r>
      <rPr>
        <sz val="8"/>
        <rFont val="ＭＳ Ｐ明朝"/>
        <family val="1"/>
        <charset val="128"/>
      </rPr>
      <t>te</t>
    </r>
    <r>
      <rPr>
        <sz val="10.5"/>
        <rFont val="ＭＳ Ｐ明朝"/>
        <family val="1"/>
        <charset val="128"/>
      </rPr>
      <t>=</t>
    </r>
    <phoneticPr fontId="1"/>
  </si>
  <si>
    <r>
      <t xml:space="preserve">（Σme ｘ ψ0）/（2x </t>
    </r>
    <r>
      <rPr>
        <sz val="8"/>
        <rFont val="ＭＳ Ｐ明朝"/>
        <family val="1"/>
        <charset val="128"/>
      </rPr>
      <t>L</t>
    </r>
    <r>
      <rPr>
        <sz val="10.5"/>
        <rFont val="ＭＳ Ｐ明朝"/>
        <family val="1"/>
        <charset val="128"/>
      </rPr>
      <t>ft x Ae）</t>
    </r>
    <phoneticPr fontId="1"/>
  </si>
  <si>
    <t>σ´(kn/m2)</t>
    <phoneticPr fontId="1"/>
  </si>
  <si>
    <t>(cm2)</t>
    <phoneticPr fontId="1"/>
  </si>
  <si>
    <t>　ねじれ補強筋</t>
    <phoneticPr fontId="1"/>
  </si>
  <si>
    <t>軸筋  use-</t>
    <phoneticPr fontId="1"/>
  </si>
  <si>
    <t>-</t>
    <phoneticPr fontId="1"/>
  </si>
  <si>
    <t>D19</t>
    <phoneticPr fontId="1"/>
  </si>
  <si>
    <t>･･･</t>
    <phoneticPr fontId="1"/>
  </si>
  <si>
    <t>　(cm2)</t>
    <phoneticPr fontId="1"/>
  </si>
  <si>
    <t>h=</t>
    <phoneticPr fontId="1"/>
  </si>
  <si>
    <t>-</t>
    <phoneticPr fontId="1"/>
  </si>
  <si>
    <t>D13</t>
    <phoneticPr fontId="1"/>
  </si>
  <si>
    <t>･･･</t>
    <phoneticPr fontId="1"/>
  </si>
  <si>
    <t>　(cm2)</t>
    <phoneticPr fontId="1"/>
  </si>
  <si>
    <t>ΣA</t>
    <phoneticPr fontId="1"/>
  </si>
  <si>
    <t>＝</t>
    <phoneticPr fontId="1"/>
  </si>
  <si>
    <t>　(cm2)　≧</t>
    <phoneticPr fontId="1"/>
  </si>
  <si>
    <r>
      <t>a</t>
    </r>
    <r>
      <rPr>
        <sz val="8"/>
        <rFont val="ＭＳ Ｐ明朝"/>
        <family val="1"/>
        <charset val="128"/>
      </rPr>
      <t>te</t>
    </r>
    <phoneticPr fontId="1"/>
  </si>
  <si>
    <t>b1=</t>
    <phoneticPr fontId="1"/>
  </si>
  <si>
    <t>L=</t>
    <phoneticPr fontId="1"/>
  </si>
  <si>
    <t>)</t>
    <phoneticPr fontId="1"/>
  </si>
  <si>
    <t>よって</t>
    <phoneticPr fontId="1"/>
  </si>
  <si>
    <t>（a x 2 x wft x A0）/Σme</t>
    <phoneticPr fontId="1"/>
  </si>
  <si>
    <t>=</t>
    <phoneticPr fontId="1"/>
  </si>
  <si>
    <t>(cm)</t>
    <phoneticPr fontId="1"/>
  </si>
  <si>
    <t>→</t>
    <phoneticPr fontId="1"/>
  </si>
  <si>
    <t xml:space="preserve">   use  ST- </t>
    <phoneticPr fontId="1"/>
  </si>
  <si>
    <t>　とする</t>
    <phoneticPr fontId="1"/>
  </si>
  <si>
    <t>A0</t>
    <phoneticPr fontId="1"/>
  </si>
  <si>
    <t>@175</t>
  </si>
  <si>
    <t>b2＝</t>
    <phoneticPr fontId="1"/>
  </si>
  <si>
    <r>
      <t>ST</t>
    </r>
    <r>
      <rPr>
        <sz val="8"/>
        <rFont val="ＭＳ Ｐ明朝"/>
        <family val="1"/>
        <charset val="128"/>
      </rPr>
      <t>w</t>
    </r>
    <r>
      <rPr>
        <sz val="10.5"/>
        <rFont val="ＭＳ Ｐ明朝"/>
        <family val="1"/>
        <charset val="128"/>
      </rPr>
      <t>ft=</t>
    </r>
    <phoneticPr fontId="1"/>
  </si>
  <si>
    <t>σ´x 1 x h x e=</t>
    <phoneticPr fontId="1"/>
  </si>
  <si>
    <t>D10</t>
    <phoneticPr fontId="1"/>
  </si>
  <si>
    <t>A0</t>
    <phoneticPr fontId="1"/>
  </si>
  <si>
    <t>=</t>
    <phoneticPr fontId="1"/>
  </si>
  <si>
    <t>B(mm)</t>
    <phoneticPr fontId="1"/>
  </si>
  <si>
    <r>
      <t>軸</t>
    </r>
    <r>
      <rPr>
        <sz val="8"/>
        <rFont val="ＭＳ Ｐ明朝"/>
        <family val="1"/>
        <charset val="128"/>
      </rPr>
      <t>L</t>
    </r>
    <r>
      <rPr>
        <sz val="10.5"/>
        <rFont val="ＭＳ Ｐ明朝"/>
        <family val="1"/>
        <charset val="128"/>
      </rPr>
      <t>ft=</t>
    </r>
    <phoneticPr fontId="1"/>
  </si>
  <si>
    <t>(kN/cm2)</t>
    <phoneticPr fontId="1"/>
  </si>
  <si>
    <t>=</t>
    <phoneticPr fontId="1"/>
  </si>
  <si>
    <t>D(mm)</t>
    <phoneticPr fontId="1"/>
  </si>
  <si>
    <r>
      <t>ST</t>
    </r>
    <r>
      <rPr>
        <sz val="8"/>
        <rFont val="ＭＳ Ｐ明朝"/>
        <family val="1"/>
        <charset val="128"/>
      </rPr>
      <t>w</t>
    </r>
    <r>
      <rPr>
        <sz val="10.5"/>
        <rFont val="ＭＳ Ｐ明朝"/>
        <family val="1"/>
        <charset val="128"/>
      </rPr>
      <t>ft=</t>
    </r>
    <phoneticPr fontId="1"/>
  </si>
  <si>
    <t>(kN/cm2)</t>
    <phoneticPr fontId="1"/>
  </si>
  <si>
    <t>(cm2)</t>
    <phoneticPr fontId="1"/>
  </si>
  <si>
    <t>　ねじれ補強筋</t>
    <phoneticPr fontId="1"/>
  </si>
  <si>
    <t>軸筋  use-</t>
    <phoneticPr fontId="1"/>
  </si>
  <si>
    <t>-</t>
    <phoneticPr fontId="1"/>
  </si>
  <si>
    <t>･･･</t>
    <phoneticPr fontId="1"/>
  </si>
  <si>
    <t>　(cm2)</t>
    <phoneticPr fontId="1"/>
  </si>
  <si>
    <t>-</t>
    <phoneticPr fontId="1"/>
  </si>
  <si>
    <t>･･･</t>
    <phoneticPr fontId="1"/>
  </si>
  <si>
    <t>　(cm2)</t>
    <phoneticPr fontId="1"/>
  </si>
  <si>
    <t>ΣA</t>
    <phoneticPr fontId="1"/>
  </si>
  <si>
    <t>＝</t>
    <phoneticPr fontId="1"/>
  </si>
  <si>
    <t>　(cm2)　≧</t>
    <phoneticPr fontId="1"/>
  </si>
  <si>
    <r>
      <t>a</t>
    </r>
    <r>
      <rPr>
        <sz val="8"/>
        <rFont val="ＭＳ Ｐ明朝"/>
        <family val="1"/>
        <charset val="128"/>
      </rPr>
      <t>te</t>
    </r>
    <phoneticPr fontId="1"/>
  </si>
  <si>
    <t>)</t>
    <phoneticPr fontId="1"/>
  </si>
  <si>
    <t>よって</t>
    <phoneticPr fontId="1"/>
  </si>
  <si>
    <t>（a x 2 x wft x A0）/Σme</t>
    <phoneticPr fontId="1"/>
  </si>
  <si>
    <t>=</t>
    <phoneticPr fontId="1"/>
  </si>
  <si>
    <t>(cm)</t>
    <phoneticPr fontId="1"/>
  </si>
  <si>
    <t>→</t>
    <phoneticPr fontId="1"/>
  </si>
  <si>
    <t xml:space="preserve">   use  ST- </t>
    <phoneticPr fontId="1"/>
  </si>
  <si>
    <t>　とする</t>
    <phoneticPr fontId="1"/>
  </si>
  <si>
    <t>D10</t>
  </si>
  <si>
    <t>1）ねじれモーメント算出</t>
    <phoneticPr fontId="1"/>
  </si>
  <si>
    <t>D19</t>
    <phoneticPr fontId="1"/>
  </si>
  <si>
    <t>@200</t>
  </si>
  <si>
    <t>T0=b^2D(1.15)fs/3=</t>
    <phoneticPr fontId="1"/>
  </si>
  <si>
    <t>Q0=bjαfs=</t>
    <phoneticPr fontId="1"/>
  </si>
  <si>
    <t>A0=</t>
    <phoneticPr fontId="1"/>
  </si>
  <si>
    <t>長方形梁の許容曲げモーメント</t>
    <rPh sb="0" eb="2">
      <t>チョウホウ</t>
    </rPh>
    <rPh sb="2" eb="3">
      <t>ケイ</t>
    </rPh>
    <rPh sb="3" eb="4">
      <t>バリ</t>
    </rPh>
    <rPh sb="5" eb="7">
      <t>キョヨウ</t>
    </rPh>
    <rPh sb="7" eb="8">
      <t>マ</t>
    </rPh>
    <phoneticPr fontId="11"/>
  </si>
  <si>
    <t>ft</t>
    <phoneticPr fontId="11"/>
  </si>
  <si>
    <t>fc</t>
    <phoneticPr fontId="11"/>
  </si>
  <si>
    <t>n=Es/Ec</t>
    <phoneticPr fontId="11"/>
  </si>
  <si>
    <t>B</t>
    <phoneticPr fontId="11"/>
  </si>
  <si>
    <t>D</t>
    <phoneticPr fontId="11"/>
  </si>
  <si>
    <t>d</t>
    <phoneticPr fontId="11"/>
  </si>
  <si>
    <t>j=d・7/8</t>
    <phoneticPr fontId="11"/>
  </si>
  <si>
    <r>
      <t>B・d</t>
    </r>
    <r>
      <rPr>
        <vertAlign val="superscript"/>
        <sz val="9"/>
        <rFont val="ＭＳ Ｐ明朝"/>
        <family val="1"/>
        <charset val="128"/>
      </rPr>
      <t>2</t>
    </r>
    <phoneticPr fontId="11"/>
  </si>
  <si>
    <t>M=ft・at・j</t>
    <phoneticPr fontId="11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</si>
  <si>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</si>
  <si>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t>(mm)</t>
    <phoneticPr fontId="11"/>
  </si>
  <si>
    <t>(mm3)</t>
    <phoneticPr fontId="11"/>
  </si>
  <si>
    <t>(kNm)</t>
    <phoneticPr fontId="11"/>
  </si>
  <si>
    <t>引張側</t>
    <rPh sb="0" eb="2">
      <t>ヒッパ</t>
    </rPh>
    <rPh sb="2" eb="3">
      <t>ガワ</t>
    </rPh>
    <phoneticPr fontId="11"/>
  </si>
  <si>
    <t>１段目</t>
    <rPh sb="1" eb="2">
      <t>ダン</t>
    </rPh>
    <rPh sb="2" eb="3">
      <t>メ</t>
    </rPh>
    <phoneticPr fontId="11"/>
  </si>
  <si>
    <t>２段目</t>
    <rPh sb="1" eb="2">
      <t>ダン</t>
    </rPh>
    <rPh sb="2" eb="3">
      <t>メ</t>
    </rPh>
    <phoneticPr fontId="11"/>
  </si>
  <si>
    <t>at=at1+at2</t>
    <phoneticPr fontId="11"/>
  </si>
  <si>
    <t>①かぶり</t>
    <phoneticPr fontId="11"/>
  </si>
  <si>
    <t>②あばら筋径</t>
    <rPh sb="4" eb="5">
      <t>キン</t>
    </rPh>
    <rPh sb="5" eb="6">
      <t>ケイ</t>
    </rPh>
    <phoneticPr fontId="11"/>
  </si>
  <si>
    <t>③主筋半径</t>
    <rPh sb="1" eb="3">
      <t>シュキン</t>
    </rPh>
    <rPh sb="3" eb="5">
      <t>ハンケイ</t>
    </rPh>
    <phoneticPr fontId="11"/>
  </si>
  <si>
    <t>④</t>
    <phoneticPr fontId="11"/>
  </si>
  <si>
    <t>dｔ</t>
    <phoneticPr fontId="11"/>
  </si>
  <si>
    <t>use</t>
    <phoneticPr fontId="11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</si>
  <si>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</si>
  <si>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</si>
  <si>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</si>
  <si>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t>(mm)</t>
    <phoneticPr fontId="11"/>
  </si>
  <si>
    <t>4-D22</t>
    <phoneticPr fontId="11"/>
  </si>
  <si>
    <t>2-D22</t>
    <phoneticPr fontId="11"/>
  </si>
  <si>
    <t>圧縮側</t>
    <rPh sb="0" eb="2">
      <t>アッシュク</t>
    </rPh>
    <rPh sb="2" eb="3">
      <t>ガワ</t>
    </rPh>
    <phoneticPr fontId="11"/>
  </si>
  <si>
    <t>ac=ac1+ac2</t>
    <phoneticPr fontId="11"/>
  </si>
  <si>
    <t>⑤かぶり</t>
    <phoneticPr fontId="11"/>
  </si>
  <si>
    <t>⑥あばら筋径</t>
    <rPh sb="4" eb="5">
      <t>キン</t>
    </rPh>
    <rPh sb="5" eb="6">
      <t>ケイ</t>
    </rPh>
    <phoneticPr fontId="11"/>
  </si>
  <si>
    <t>⑦主筋半径</t>
    <rPh sb="1" eb="3">
      <t>シュキン</t>
    </rPh>
    <rPh sb="3" eb="5">
      <t>ハンケイ</t>
    </rPh>
    <phoneticPr fontId="11"/>
  </si>
  <si>
    <t>⑧</t>
    <phoneticPr fontId="11"/>
  </si>
  <si>
    <t>dc</t>
    <phoneticPr fontId="11"/>
  </si>
  <si>
    <r>
      <t>ac1(mm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</si>
  <si>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r>
      <t>ac2(mm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11"/>
  </si>
  <si>
    <t>0-D22</t>
    <phoneticPr fontId="11"/>
  </si>
  <si>
    <t>γ=ac/at</t>
    <phoneticPr fontId="11"/>
  </si>
  <si>
    <t>xn1</t>
    <phoneticPr fontId="11"/>
  </si>
  <si>
    <t>xn</t>
    <phoneticPr fontId="11"/>
  </si>
  <si>
    <t>pt</t>
    <phoneticPr fontId="11"/>
  </si>
  <si>
    <t>ptb</t>
    <phoneticPr fontId="11"/>
  </si>
  <si>
    <t>C1</t>
    <phoneticPr fontId="11"/>
  </si>
  <si>
    <t>C2</t>
    <phoneticPr fontId="11"/>
  </si>
  <si>
    <t>C</t>
    <phoneticPr fontId="11"/>
  </si>
  <si>
    <t>Ma</t>
    <phoneticPr fontId="11"/>
  </si>
  <si>
    <t>(%)</t>
    <phoneticPr fontId="11"/>
  </si>
  <si>
    <t>ft:</t>
    <phoneticPr fontId="11"/>
  </si>
  <si>
    <t>鉄筋の許容引張応力度</t>
    <rPh sb="0" eb="2">
      <t>テッキン</t>
    </rPh>
    <rPh sb="3" eb="5">
      <t>キョヨウ</t>
    </rPh>
    <rPh sb="5" eb="6">
      <t>ヒ</t>
    </rPh>
    <rPh sb="6" eb="7">
      <t>パ</t>
    </rPh>
    <rPh sb="7" eb="9">
      <t>オウリョク</t>
    </rPh>
    <rPh sb="9" eb="10">
      <t>ド</t>
    </rPh>
    <phoneticPr fontId="11"/>
  </si>
  <si>
    <t>fc:</t>
    <phoneticPr fontId="11"/>
  </si>
  <si>
    <t>コンクリートの許容圧縮応力度</t>
    <rPh sb="7" eb="9">
      <t>キョヨウ</t>
    </rPh>
    <rPh sb="9" eb="11">
      <t>アッシュク</t>
    </rPh>
    <rPh sb="11" eb="13">
      <t>オウリョク</t>
    </rPh>
    <rPh sb="13" eb="14">
      <t>ド</t>
    </rPh>
    <phoneticPr fontId="11"/>
  </si>
  <si>
    <t>n:</t>
    <phoneticPr fontId="11"/>
  </si>
  <si>
    <t>ヤング係数比</t>
    <rPh sb="3" eb="5">
      <t>ケイスウ</t>
    </rPh>
    <rPh sb="5" eb="6">
      <t>ヒ</t>
    </rPh>
    <phoneticPr fontId="11"/>
  </si>
  <si>
    <t>D:</t>
    <phoneticPr fontId="11"/>
  </si>
  <si>
    <t>梁のせい</t>
    <rPh sb="0" eb="1">
      <t>ハリ</t>
    </rPh>
    <phoneticPr fontId="11"/>
  </si>
  <si>
    <t>d:</t>
    <phoneticPr fontId="11"/>
  </si>
  <si>
    <t>有効せい（曲げ材の圧縮縁から引張鉄筋重心までの距離）</t>
    <rPh sb="0" eb="2">
      <t>ユウコウ</t>
    </rPh>
    <rPh sb="5" eb="6">
      <t>マ</t>
    </rPh>
    <rPh sb="7" eb="8">
      <t>ザイ</t>
    </rPh>
    <rPh sb="9" eb="11">
      <t>アッシュク</t>
    </rPh>
    <rPh sb="11" eb="12">
      <t>フチ</t>
    </rPh>
    <rPh sb="14" eb="16">
      <t>ヒッパ</t>
    </rPh>
    <rPh sb="16" eb="18">
      <t>テッキン</t>
    </rPh>
    <rPh sb="18" eb="20">
      <t>ジュウシン</t>
    </rPh>
    <rPh sb="23" eb="25">
      <t>キョリ</t>
    </rPh>
    <phoneticPr fontId="11"/>
  </si>
  <si>
    <t>d=D-dt</t>
    <phoneticPr fontId="11"/>
  </si>
  <si>
    <t>j:</t>
    <phoneticPr fontId="11"/>
  </si>
  <si>
    <t>d・7/8</t>
    <phoneticPr fontId="11"/>
  </si>
  <si>
    <t>at:</t>
    <phoneticPr fontId="11"/>
  </si>
  <si>
    <t>引張り鉄筋断面積</t>
    <rPh sb="0" eb="2">
      <t>ヒッパ</t>
    </rPh>
    <rPh sb="3" eb="5">
      <t>テッキン</t>
    </rPh>
    <rPh sb="5" eb="8">
      <t>ダンメンセキ</t>
    </rPh>
    <phoneticPr fontId="11"/>
  </si>
  <si>
    <t>ac:</t>
    <phoneticPr fontId="11"/>
  </si>
  <si>
    <t>圧縮鉄筋断面積</t>
    <rPh sb="0" eb="2">
      <t>アッシュク</t>
    </rPh>
    <rPh sb="2" eb="4">
      <t>テッキン</t>
    </rPh>
    <rPh sb="4" eb="7">
      <t>ダンメンセキ</t>
    </rPh>
    <phoneticPr fontId="11"/>
  </si>
  <si>
    <t>④:</t>
    <phoneticPr fontId="11"/>
  </si>
  <si>
    <t>引張り側１段目鉄筋心より引張り側鉄筋重心位置</t>
    <rPh sb="0" eb="2">
      <t>ヒッパ</t>
    </rPh>
    <rPh sb="3" eb="4">
      <t>ガワ</t>
    </rPh>
    <rPh sb="5" eb="7">
      <t>ダンメ</t>
    </rPh>
    <rPh sb="7" eb="9">
      <t>テッキン</t>
    </rPh>
    <rPh sb="9" eb="10">
      <t>シン</t>
    </rPh>
    <rPh sb="16" eb="18">
      <t>テッキン</t>
    </rPh>
    <rPh sb="18" eb="20">
      <t>ジュウシン</t>
    </rPh>
    <rPh sb="20" eb="22">
      <t>イチ</t>
    </rPh>
    <phoneticPr fontId="11"/>
  </si>
  <si>
    <t>⑤:</t>
    <phoneticPr fontId="11"/>
  </si>
  <si>
    <t>圧縮側1段目鉄筋心より圧縮鉄筋重心位置</t>
    <rPh sb="0" eb="2">
      <t>アッシュク</t>
    </rPh>
    <rPh sb="2" eb="3">
      <t>ガワ</t>
    </rPh>
    <rPh sb="4" eb="6">
      <t>ダンメ</t>
    </rPh>
    <rPh sb="6" eb="8">
      <t>テッキン</t>
    </rPh>
    <rPh sb="8" eb="9">
      <t>シン</t>
    </rPh>
    <rPh sb="15" eb="17">
      <t>ジュウシン</t>
    </rPh>
    <rPh sb="17" eb="19">
      <t>イチ</t>
    </rPh>
    <phoneticPr fontId="11"/>
  </si>
  <si>
    <t>dt:</t>
    <phoneticPr fontId="11"/>
  </si>
  <si>
    <t>引張縁から引張鉄筋重心位置までの距離</t>
    <rPh sb="0" eb="2">
      <t>ヒッパ</t>
    </rPh>
    <rPh sb="2" eb="3">
      <t>エン</t>
    </rPh>
    <rPh sb="5" eb="7">
      <t>ヒッパ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11"/>
  </si>
  <si>
    <t>dt=①+②+③+④</t>
    <phoneticPr fontId="11"/>
  </si>
  <si>
    <t>dc:</t>
    <phoneticPr fontId="11"/>
  </si>
  <si>
    <t>圧縮縁から圧縮鉄筋重心位置までの距離</t>
    <rPh sb="0" eb="2">
      <t>アッシュク</t>
    </rPh>
    <rPh sb="2" eb="3">
      <t>フチ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11"/>
  </si>
  <si>
    <t>dc=⑤+⑥+⑦+⑧</t>
    <phoneticPr fontId="11"/>
  </si>
  <si>
    <t>γ:</t>
    <phoneticPr fontId="11"/>
  </si>
  <si>
    <t>複筋比</t>
    <rPh sb="0" eb="1">
      <t>フク</t>
    </rPh>
    <rPh sb="1" eb="2">
      <t>キン</t>
    </rPh>
    <rPh sb="2" eb="3">
      <t>ヒ</t>
    </rPh>
    <phoneticPr fontId="11"/>
  </si>
  <si>
    <t>xn1:</t>
    <phoneticPr fontId="11"/>
  </si>
  <si>
    <t>中立軸比　xn1=xn/d</t>
    <rPh sb="0" eb="2">
      <t>チュウリツ</t>
    </rPh>
    <rPh sb="2" eb="3">
      <t>ジク</t>
    </rPh>
    <rPh sb="3" eb="4">
      <t>ヒ</t>
    </rPh>
    <phoneticPr fontId="11"/>
  </si>
  <si>
    <t>xn:</t>
    <phoneticPr fontId="11"/>
  </si>
  <si>
    <t>中立位置（圧縮縁より）</t>
    <rPh sb="0" eb="2">
      <t>チュウリツ</t>
    </rPh>
    <rPh sb="2" eb="4">
      <t>イチ</t>
    </rPh>
    <rPh sb="5" eb="7">
      <t>アッシュク</t>
    </rPh>
    <rPh sb="7" eb="8">
      <t>フチ</t>
    </rPh>
    <phoneticPr fontId="11"/>
  </si>
  <si>
    <t>pt:</t>
    <phoneticPr fontId="11"/>
  </si>
  <si>
    <t>引張鉄筋比</t>
    <rPh sb="0" eb="2">
      <t>ヒッパ</t>
    </rPh>
    <rPh sb="2" eb="4">
      <t>テッキン</t>
    </rPh>
    <rPh sb="4" eb="5">
      <t>ヒ</t>
    </rPh>
    <phoneticPr fontId="11"/>
  </si>
  <si>
    <t>Pt=at/(B・d)</t>
    <phoneticPr fontId="11"/>
  </si>
  <si>
    <t>ptb:</t>
    <phoneticPr fontId="11"/>
  </si>
  <si>
    <t>つり合い鉄筋比</t>
    <rPh sb="2" eb="3">
      <t>ア</t>
    </rPh>
    <rPh sb="4" eb="6">
      <t>テッキン</t>
    </rPh>
    <rPh sb="6" eb="7">
      <t>ヒ</t>
    </rPh>
    <phoneticPr fontId="11"/>
  </si>
  <si>
    <t>Ma:</t>
    <phoneticPr fontId="11"/>
  </si>
  <si>
    <t>QL=</t>
    <phoneticPr fontId="1"/>
  </si>
  <si>
    <t>(T/T0)^2+(Q/Q0)^2=</t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</si>
  <si>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</si>
  <si>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</si>
  <si>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ねじりに対する大梁の補強</t>
    <rPh sb="4" eb="5">
      <t>タイ</t>
    </rPh>
    <rPh sb="7" eb="9">
      <t>オオバリ</t>
    </rPh>
    <rPh sb="10" eb="12">
      <t>ホキョウ</t>
    </rPh>
    <phoneticPr fontId="1"/>
  </si>
  <si>
    <t>φ0=</t>
    <phoneticPr fontId="1"/>
  </si>
  <si>
    <t>あばら筋</t>
    <rPh sb="3" eb="4">
      <t>キン</t>
    </rPh>
    <phoneticPr fontId="1"/>
  </si>
  <si>
    <t>2a1(bx)=pwt=T/(wftA0b)=</t>
    <phoneticPr fontId="1"/>
  </si>
  <si>
    <t>2a1(bx)=pwt=T/(swftA0b)=</t>
    <phoneticPr fontId="1"/>
  </si>
  <si>
    <t>軸方向筋</t>
    <rPh sb="0" eb="1">
      <t>ジク</t>
    </rPh>
    <rPh sb="1" eb="3">
      <t>ホウコウ</t>
    </rPh>
    <rPh sb="3" eb="4">
      <t>キン</t>
    </rPh>
    <phoneticPr fontId="1"/>
  </si>
  <si>
    <t>as=Tφ0/(2ftA)=</t>
    <phoneticPr fontId="1"/>
  </si>
  <si>
    <t>曲げモーメントたいする梁主筋断面算定</t>
    <rPh sb="0" eb="1">
      <t>マ</t>
    </rPh>
    <rPh sb="11" eb="12">
      <t>ハリ</t>
    </rPh>
    <rPh sb="12" eb="14">
      <t>シュキン</t>
    </rPh>
    <rPh sb="14" eb="16">
      <t>ダンメン</t>
    </rPh>
    <rPh sb="16" eb="18">
      <t>サンテイ</t>
    </rPh>
    <phoneticPr fontId="1"/>
  </si>
  <si>
    <t>端部</t>
    <rPh sb="0" eb="2">
      <t>タンブ</t>
    </rPh>
    <phoneticPr fontId="1"/>
  </si>
  <si>
    <t>ML</t>
    <phoneticPr fontId="1"/>
  </si>
  <si>
    <t>中央</t>
    <rPh sb="0" eb="2">
      <t>チュウオウ</t>
    </rPh>
    <phoneticPr fontId="1"/>
  </si>
  <si>
    <t>QL</t>
    <phoneticPr fontId="1"/>
  </si>
  <si>
    <t>Qs</t>
    <phoneticPr fontId="1"/>
  </si>
  <si>
    <t>（長期）端部</t>
    <rPh sb="1" eb="3">
      <t>チョウキ</t>
    </rPh>
    <rPh sb="4" eb="6">
      <t>タンブ</t>
    </rPh>
    <phoneticPr fontId="1"/>
  </si>
  <si>
    <t>at=ML/(ftj)=</t>
    <phoneticPr fontId="1"/>
  </si>
  <si>
    <t>（短期）端部</t>
    <rPh sb="1" eb="3">
      <t>タンキ</t>
    </rPh>
    <rPh sb="4" eb="6">
      <t>タンブ</t>
    </rPh>
    <phoneticPr fontId="1"/>
  </si>
  <si>
    <t>at=Ms/(sftj)=</t>
    <phoneticPr fontId="1"/>
  </si>
  <si>
    <t>use:</t>
    <phoneticPr fontId="1"/>
  </si>
  <si>
    <t>上端</t>
    <rPh sb="0" eb="2">
      <t>ウワバ</t>
    </rPh>
    <phoneticPr fontId="1"/>
  </si>
  <si>
    <t>下端</t>
    <rPh sb="0" eb="2">
      <t>シタバ</t>
    </rPh>
    <phoneticPr fontId="1"/>
  </si>
  <si>
    <t>Ms上</t>
    <rPh sb="2" eb="3">
      <t>ウエ</t>
    </rPh>
    <phoneticPr fontId="1"/>
  </si>
  <si>
    <t>Ms下</t>
    <rPh sb="2" eb="3">
      <t>シタ</t>
    </rPh>
    <phoneticPr fontId="1"/>
  </si>
  <si>
    <t>せん断力にたいする算定</t>
    <rPh sb="2" eb="3">
      <t>ダン</t>
    </rPh>
    <rPh sb="3" eb="4">
      <t>リョク</t>
    </rPh>
    <rPh sb="9" eb="11">
      <t>サンテイ</t>
    </rPh>
    <phoneticPr fontId="1"/>
  </si>
  <si>
    <t>pw=(QD/(bj)-αfs)2/wft+0.002=</t>
    <phoneticPr fontId="1"/>
  </si>
  <si>
    <t>QD=</t>
    <phoneticPr fontId="1"/>
  </si>
  <si>
    <t>必要軸方向筋</t>
    <rPh sb="0" eb="2">
      <t>ヒツヨウ</t>
    </rPh>
    <rPh sb="2" eb="3">
      <t>ジク</t>
    </rPh>
    <rPh sb="3" eb="5">
      <t>ホウコウ</t>
    </rPh>
    <rPh sb="5" eb="6">
      <t>キン</t>
    </rPh>
    <phoneticPr fontId="1"/>
  </si>
  <si>
    <t>ねじり必要あばら筋比</t>
    <rPh sb="3" eb="5">
      <t>ヒツヨウ</t>
    </rPh>
    <rPh sb="8" eb="9">
      <t>キン</t>
    </rPh>
    <rPh sb="9" eb="10">
      <t>ヒ</t>
    </rPh>
    <phoneticPr fontId="1"/>
  </si>
  <si>
    <t>せん断力必要あばら筋比</t>
    <rPh sb="2" eb="3">
      <t>ダン</t>
    </rPh>
    <rPh sb="3" eb="4">
      <t>リョク</t>
    </rPh>
    <rPh sb="4" eb="6">
      <t>ヒツヨウ</t>
    </rPh>
    <rPh sb="9" eb="10">
      <t>キン</t>
    </rPh>
    <rPh sb="10" eb="11">
      <t>ヒ</t>
    </rPh>
    <phoneticPr fontId="1"/>
  </si>
  <si>
    <t>use</t>
    <phoneticPr fontId="1"/>
  </si>
  <si>
    <t>2-D10</t>
    <phoneticPr fontId="1"/>
  </si>
  <si>
    <t>pw</t>
    <phoneticPr fontId="1"/>
  </si>
  <si>
    <t>aw</t>
    <phoneticPr fontId="1"/>
  </si>
  <si>
    <t>Σpw</t>
    <phoneticPr fontId="1"/>
  </si>
  <si>
    <t>Σpw/pw</t>
    <phoneticPr fontId="1"/>
  </si>
  <si>
    <t>ねじり必要軸方向筋</t>
    <rPh sb="3" eb="5">
      <t>ヒツヨウ</t>
    </rPh>
    <rPh sb="5" eb="6">
      <t>ジク</t>
    </rPh>
    <rPh sb="6" eb="8">
      <t>ホウコウ</t>
    </rPh>
    <rPh sb="8" eb="9">
      <t>キン</t>
    </rPh>
    <phoneticPr fontId="1"/>
  </si>
  <si>
    <t>as=Tφ0/(2sftA)=</t>
    <phoneticPr fontId="1"/>
  </si>
  <si>
    <t>上下振分</t>
    <rPh sb="0" eb="2">
      <t>ジョウゲ</t>
    </rPh>
    <rPh sb="2" eb="4">
      <t>フリワケ</t>
    </rPh>
    <phoneticPr fontId="1"/>
  </si>
  <si>
    <t>曲げ軸方向筋</t>
    <rPh sb="0" eb="1">
      <t>マ</t>
    </rPh>
    <rPh sb="2" eb="3">
      <t>ジク</t>
    </rPh>
    <rPh sb="3" eb="5">
      <t>ホウコウ</t>
    </rPh>
    <rPh sb="5" eb="6">
      <t>キン</t>
    </rPh>
    <phoneticPr fontId="1"/>
  </si>
  <si>
    <t>use</t>
    <phoneticPr fontId="1"/>
  </si>
  <si>
    <t>at</t>
    <phoneticPr fontId="1"/>
  </si>
  <si>
    <t>端部上端</t>
    <rPh sb="0" eb="2">
      <t>タンブ</t>
    </rPh>
    <rPh sb="2" eb="4">
      <t>ウワバ</t>
    </rPh>
    <phoneticPr fontId="1"/>
  </si>
  <si>
    <t>端部下端</t>
    <rPh sb="0" eb="2">
      <t>タンブ</t>
    </rPh>
    <rPh sb="2" eb="4">
      <t>シタバ</t>
    </rPh>
    <phoneticPr fontId="1"/>
  </si>
  <si>
    <t>かぶり(mm)</t>
    <phoneticPr fontId="1"/>
  </si>
  <si>
    <t>Fc</t>
    <phoneticPr fontId="1"/>
  </si>
  <si>
    <t>fs</t>
    <phoneticPr fontId="1"/>
  </si>
  <si>
    <t>sfs</t>
    <phoneticPr fontId="1"/>
  </si>
  <si>
    <t>wft</t>
    <phoneticPr fontId="1"/>
  </si>
  <si>
    <t>ft</t>
    <phoneticPr fontId="1"/>
  </si>
  <si>
    <t>sft</t>
    <phoneticPr fontId="1"/>
  </si>
  <si>
    <t>b</t>
    <phoneticPr fontId="1"/>
  </si>
  <si>
    <t>D</t>
    <phoneticPr fontId="1"/>
  </si>
  <si>
    <t>かぶり</t>
    <phoneticPr fontId="1"/>
  </si>
  <si>
    <t>d</t>
    <phoneticPr fontId="1"/>
  </si>
  <si>
    <t>j</t>
    <phoneticPr fontId="1"/>
  </si>
  <si>
    <t>α</t>
    <phoneticPr fontId="1"/>
  </si>
  <si>
    <t>TL</t>
    <phoneticPr fontId="1"/>
  </si>
  <si>
    <t>3-D19</t>
    <phoneticPr fontId="1"/>
  </si>
  <si>
    <t>ねじりモーメント</t>
  </si>
  <si>
    <t>ねじらに対する必要あばら筋</t>
    <rPh sb="4" eb="5">
      <t>タイ</t>
    </rPh>
    <rPh sb="7" eb="9">
      <t>ヒツヨウ</t>
    </rPh>
    <rPh sb="12" eb="13">
      <t>キン</t>
    </rPh>
    <phoneticPr fontId="1"/>
  </si>
  <si>
    <t>ねじらに対する必要軸方向筋</t>
    <rPh sb="9" eb="10">
      <t>ジク</t>
    </rPh>
    <rPh sb="10" eb="12">
      <t>ホウコウ</t>
    </rPh>
    <rPh sb="12" eb="13">
      <t>キン</t>
    </rPh>
    <phoneticPr fontId="1"/>
  </si>
  <si>
    <t>杭頭曲げにによる地中梁のねじりに対する検討</t>
    <rPh sb="0" eb="1">
      <t>クイ</t>
    </rPh>
    <rPh sb="1" eb="2">
      <t>トウ</t>
    </rPh>
    <rPh sb="2" eb="3">
      <t>マ</t>
    </rPh>
    <rPh sb="8" eb="11">
      <t>チチュウバリ</t>
    </rPh>
    <rPh sb="16" eb="17">
      <t>タイ</t>
    </rPh>
    <rPh sb="19" eb="21">
      <t>ケントウ</t>
    </rPh>
    <phoneticPr fontId="1"/>
  </si>
  <si>
    <t>b^2Dfs(4/3)=</t>
    <phoneticPr fontId="1"/>
  </si>
  <si>
    <t>T1=</t>
    <phoneticPr fontId="1"/>
  </si>
  <si>
    <t>Ts</t>
    <phoneticPr fontId="1"/>
  </si>
  <si>
    <t>&gt;Ts・・・ＯＫ</t>
    <phoneticPr fontId="1"/>
  </si>
  <si>
    <t>1.設計条件</t>
    <rPh sb="2" eb="4">
      <t>セッケイ</t>
    </rPh>
    <rPh sb="4" eb="6">
      <t>ジョウケン</t>
    </rPh>
    <phoneticPr fontId="1"/>
  </si>
  <si>
    <t>2.ねじりに対する大梁の補強</t>
    <rPh sb="6" eb="7">
      <t>タイ</t>
    </rPh>
    <rPh sb="9" eb="11">
      <t>オオバリ</t>
    </rPh>
    <rPh sb="12" eb="14">
      <t>ホキョウ</t>
    </rPh>
    <phoneticPr fontId="1"/>
  </si>
  <si>
    <t>FG1,1通り，c1～c2</t>
    <rPh sb="5" eb="6">
      <t>トオ</t>
    </rPh>
    <phoneticPr fontId="1"/>
  </si>
  <si>
    <t>3.曲げモーメントにたいする算定</t>
    <rPh sb="2" eb="3">
      <t>マ</t>
    </rPh>
    <rPh sb="14" eb="16">
      <t>サンテイ</t>
    </rPh>
    <phoneticPr fontId="1"/>
  </si>
  <si>
    <t>4.せん断力にたいする算定</t>
    <rPh sb="4" eb="5">
      <t>ダン</t>
    </rPh>
    <rPh sb="5" eb="6">
      <t>リョク</t>
    </rPh>
    <rPh sb="11" eb="13">
      <t>サンテイ</t>
    </rPh>
    <phoneticPr fontId="1"/>
  </si>
  <si>
    <t>∴</t>
    <phoneticPr fontId="1"/>
  </si>
  <si>
    <t>１通りＢ～Ｃ+6830，９通りＢ～Ｃ+6830ＦＧ１をＦＧ1Aとしあばら筋ピッチを１５０とする。</t>
    <rPh sb="1" eb="2">
      <t>トオ</t>
    </rPh>
    <rPh sb="13" eb="14">
      <t>トオ</t>
    </rPh>
    <rPh sb="36" eb="37">
      <t>キン</t>
    </rPh>
    <phoneticPr fontId="1"/>
  </si>
  <si>
    <t>軸方向筋は補強不要，せん断補強筋（あばら筋）は</t>
    <rPh sb="0" eb="1">
      <t>ジク</t>
    </rPh>
    <rPh sb="1" eb="3">
      <t>ホウコウ</t>
    </rPh>
    <rPh sb="3" eb="4">
      <t>キン</t>
    </rPh>
    <rPh sb="5" eb="7">
      <t>ホキョウ</t>
    </rPh>
    <rPh sb="7" eb="9">
      <t>フヨウ</t>
    </rPh>
    <rPh sb="12" eb="13">
      <t>ダン</t>
    </rPh>
    <rPh sb="13" eb="15">
      <t>ホキョウ</t>
    </rPh>
    <rPh sb="15" eb="16">
      <t>キン</t>
    </rPh>
    <rPh sb="20" eb="21">
      <t>キン</t>
    </rPh>
    <phoneticPr fontId="1"/>
  </si>
  <si>
    <t>Mp=</t>
    <phoneticPr fontId="1"/>
  </si>
  <si>
    <t>kNm</t>
    <phoneticPr fontId="1"/>
  </si>
  <si>
    <t>Mq=Q*(D-h/2)=</t>
    <phoneticPr fontId="1"/>
  </si>
  <si>
    <t>59.1*(2.65-2.3/2)=</t>
    <phoneticPr fontId="1"/>
  </si>
  <si>
    <t>bt^2*Dt*fs(4/3)=</t>
    <phoneticPr fontId="1"/>
  </si>
  <si>
    <t>bt=</t>
    <phoneticPr fontId="1"/>
  </si>
  <si>
    <t>Dt=</t>
    <phoneticPr fontId="1"/>
  </si>
  <si>
    <t>mm</t>
    <phoneticPr fontId="1"/>
  </si>
  <si>
    <t>fs=</t>
    <phoneticPr fontId="1"/>
  </si>
  <si>
    <t>N/mm2</t>
    <phoneticPr fontId="1"/>
  </si>
  <si>
    <t>kNm</t>
    <phoneticPr fontId="1"/>
  </si>
  <si>
    <t>at=</t>
    <phoneticPr fontId="1"/>
  </si>
  <si>
    <t>a1=</t>
    <phoneticPr fontId="1"/>
  </si>
  <si>
    <t>T＝</t>
    <phoneticPr fontId="1"/>
  </si>
  <si>
    <t>T*x/(2* wft x A0）</t>
    <phoneticPr fontId="1"/>
  </si>
  <si>
    <t>b1=</t>
    <phoneticPr fontId="1"/>
  </si>
  <si>
    <t>mm</t>
    <phoneticPr fontId="1"/>
  </si>
  <si>
    <t>B=</t>
    <phoneticPr fontId="1"/>
  </si>
  <si>
    <t>D=</t>
    <phoneticPr fontId="1"/>
  </si>
  <si>
    <t>かぶり=</t>
    <phoneticPr fontId="1"/>
  </si>
  <si>
    <t>杭埋込み=</t>
    <rPh sb="0" eb="1">
      <t>クイ</t>
    </rPh>
    <rPh sb="1" eb="3">
      <t>ウメコ</t>
    </rPh>
    <phoneticPr fontId="1"/>
  </si>
  <si>
    <t>d1=</t>
    <phoneticPr fontId="1"/>
  </si>
  <si>
    <t>A0=b1*d1=</t>
    <phoneticPr fontId="1"/>
  </si>
  <si>
    <t>m2</t>
    <phoneticPr fontId="1"/>
  </si>
  <si>
    <t>あばら筋本数=</t>
    <rPh sb="3" eb="4">
      <t>キン</t>
    </rPh>
    <rPh sb="4" eb="6">
      <t>ホンスウ</t>
    </rPh>
    <phoneticPr fontId="1"/>
  </si>
  <si>
    <t>x=</t>
    <phoneticPr fontId="1"/>
  </si>
  <si>
    <t>N/mm2</t>
    <phoneticPr fontId="1"/>
  </si>
  <si>
    <t>a=</t>
    <phoneticPr fontId="1"/>
  </si>
  <si>
    <t>&lt;</t>
    <phoneticPr fontId="1"/>
  </si>
  <si>
    <t>（1）ねじれモーメント算出</t>
    <phoneticPr fontId="1"/>
  </si>
  <si>
    <t>ⅰ）あばら筋の算定</t>
    <rPh sb="5" eb="6">
      <t>キン</t>
    </rPh>
    <rPh sb="7" eb="9">
      <t>サンテイ</t>
    </rPh>
    <phoneticPr fontId="1"/>
  </si>
  <si>
    <t>ⅱ）軸方向筋の算定</t>
    <rPh sb="2" eb="3">
      <t>ジク</t>
    </rPh>
    <rPh sb="3" eb="5">
      <t>ホウコウ</t>
    </rPh>
    <rPh sb="5" eb="6">
      <t>キン</t>
    </rPh>
    <rPh sb="7" eb="9">
      <t>サンテイ</t>
    </rPh>
    <phoneticPr fontId="1"/>
  </si>
  <si>
    <t>as=</t>
    <phoneticPr fontId="1"/>
  </si>
  <si>
    <t>T*x/(2* wft *A0）=</t>
    <phoneticPr fontId="1"/>
  </si>
  <si>
    <t>T*φ0/(2*sft*Ao)</t>
    <phoneticPr fontId="1"/>
  </si>
  <si>
    <t>φ0=(b1+d1)*2=</t>
    <phoneticPr fontId="1"/>
  </si>
  <si>
    <t>軸筋</t>
    <phoneticPr fontId="1"/>
  </si>
  <si>
    <t>腹筋</t>
    <rPh sb="0" eb="1">
      <t>ハラ</t>
    </rPh>
    <rPh sb="1" eb="2">
      <t>キン</t>
    </rPh>
    <phoneticPr fontId="1"/>
  </si>
  <si>
    <t>use</t>
    <phoneticPr fontId="1"/>
  </si>
  <si>
    <t>a</t>
    <phoneticPr fontId="1"/>
  </si>
  <si>
    <t>n</t>
    <phoneticPr fontId="1"/>
  </si>
  <si>
    <t>a*n</t>
    <phoneticPr fontId="1"/>
  </si>
  <si>
    <t>Σa=</t>
    <phoneticPr fontId="1"/>
  </si>
  <si>
    <t>フーチングのねじれモーメントの検討</t>
    <rPh sb="15" eb="17">
      <t>ケントウ</t>
    </rPh>
    <phoneticPr fontId="1"/>
  </si>
  <si>
    <t>Tf=bt^2*Dt*fs(4/3)=</t>
    <phoneticPr fontId="1"/>
  </si>
  <si>
    <t>Tf=</t>
    <phoneticPr fontId="1"/>
  </si>
  <si>
    <t>D22</t>
    <phoneticPr fontId="1"/>
  </si>
  <si>
    <t>D22</t>
    <phoneticPr fontId="1"/>
  </si>
  <si>
    <r>
      <t>ST</t>
    </r>
    <r>
      <rPr>
        <sz val="8"/>
        <rFont val="Meiryo UI"/>
        <family val="3"/>
        <charset val="128"/>
      </rPr>
      <t>w</t>
    </r>
    <r>
      <rPr>
        <sz val="10.5"/>
        <rFont val="Meiryo UI"/>
        <family val="3"/>
        <charset val="128"/>
      </rPr>
      <t>ft=</t>
    </r>
    <phoneticPr fontId="1"/>
  </si>
  <si>
    <t>あばら筋:</t>
    <rPh sb="3" eb="4">
      <t>キン</t>
    </rPh>
    <phoneticPr fontId="1"/>
  </si>
  <si>
    <t>D10</t>
    <phoneticPr fontId="1"/>
  </si>
  <si>
    <t>ats:</t>
    <phoneticPr fontId="1"/>
  </si>
  <si>
    <t>φst:</t>
    <phoneticPr fontId="1"/>
  </si>
  <si>
    <t>あばら筋最大外径</t>
    <rPh sb="3" eb="4">
      <t>キン</t>
    </rPh>
    <rPh sb="4" eb="6">
      <t>サイダイ</t>
    </rPh>
    <rPh sb="6" eb="8">
      <t>ガイケイ</t>
    </rPh>
    <phoneticPr fontId="1"/>
  </si>
  <si>
    <t>k(かぶり)=</t>
    <phoneticPr fontId="1"/>
  </si>
  <si>
    <t>b1=B-2*k-Φst</t>
    <phoneticPr fontId="1"/>
  </si>
  <si>
    <t>d1=B-2*k-Φst</t>
    <phoneticPr fontId="1"/>
  </si>
  <si>
    <t>x=</t>
    <phoneticPr fontId="1"/>
  </si>
  <si>
    <t>あばら筋断面積</t>
    <rPh sb="3" eb="4">
      <t>キン</t>
    </rPh>
    <rPh sb="4" eb="7">
      <t>ダンメンセキ</t>
    </rPh>
    <phoneticPr fontId="1"/>
  </si>
  <si>
    <t>mm</t>
    <phoneticPr fontId="1"/>
  </si>
  <si>
    <t>あばら筋間隔</t>
    <rPh sb="3" eb="4">
      <t>キン</t>
    </rPh>
    <rPh sb="4" eb="6">
      <t>カンカク</t>
    </rPh>
    <phoneticPr fontId="1"/>
  </si>
  <si>
    <t>ats=</t>
    <phoneticPr fontId="1"/>
  </si>
  <si>
    <t>Σat=</t>
    <phoneticPr fontId="1"/>
  </si>
  <si>
    <t>軸ft=</t>
    <phoneticPr fontId="1"/>
  </si>
  <si>
    <t>ねじれモーメントの検討</t>
    <rPh sb="9" eb="11">
      <t>ケントウ</t>
    </rPh>
    <phoneticPr fontId="1"/>
  </si>
  <si>
    <t>T0=bt^2*Dt*1.15*fs/3=</t>
    <phoneticPr fontId="1"/>
  </si>
  <si>
    <t>5-D22</t>
    <phoneticPr fontId="1"/>
  </si>
  <si>
    <t>10-D13</t>
    <phoneticPr fontId="1"/>
  </si>
  <si>
    <t>MLu=</t>
    <phoneticPr fontId="1"/>
  </si>
  <si>
    <t>MLb=</t>
    <phoneticPr fontId="1"/>
  </si>
  <si>
    <t>pwt=T/(wft*A0*b)=</t>
    <phoneticPr fontId="1"/>
  </si>
  <si>
    <t>pwt=T/(wft*A1*b)=</t>
  </si>
  <si>
    <t>QD/(b*j)=</t>
    <phoneticPr fontId="1"/>
  </si>
  <si>
    <t>at=ML/(ft*j)=</t>
    <phoneticPr fontId="1"/>
  </si>
  <si>
    <t>at=Ms/(sft*j)=</t>
    <phoneticPr fontId="1"/>
  </si>
  <si>
    <t>as=T*φ0/(2*ft*A)=</t>
    <phoneticPr fontId="1"/>
  </si>
  <si>
    <t>as=T*φ0/(2*sft*A)=</t>
    <phoneticPr fontId="1"/>
  </si>
  <si>
    <t>梁のねじりに対する検討</t>
    <rPh sb="0" eb="1">
      <t>ハリ</t>
    </rPh>
    <rPh sb="6" eb="7">
      <t>タイ</t>
    </rPh>
    <rPh sb="9" eb="11">
      <t>ケントウ</t>
    </rPh>
    <phoneticPr fontId="1"/>
  </si>
  <si>
    <t>Q0=b*j*α*fs=</t>
    <phoneticPr fontId="1"/>
  </si>
  <si>
    <t>T</t>
    <phoneticPr fontId="1"/>
  </si>
  <si>
    <t>FG3</t>
    <phoneticPr fontId="1"/>
  </si>
  <si>
    <t>Q0=b*jα*fs=</t>
    <phoneticPr fontId="1"/>
  </si>
  <si>
    <t>mm2</t>
    <phoneticPr fontId="1"/>
  </si>
  <si>
    <t>T*X/(2*wft *A0*b)</t>
    <phoneticPr fontId="1"/>
  </si>
  <si>
    <t>φst=</t>
    <phoneticPr fontId="1"/>
  </si>
  <si>
    <t>ft=</t>
    <phoneticPr fontId="1"/>
  </si>
  <si>
    <r>
      <rPr>
        <sz val="8"/>
        <rFont val="Meiryo UI"/>
        <family val="3"/>
        <charset val="128"/>
      </rPr>
      <t>w</t>
    </r>
    <r>
      <rPr>
        <sz val="10.5"/>
        <rFont val="Meiryo UI"/>
        <family val="3"/>
        <charset val="128"/>
      </rPr>
      <t>ft=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</si>
</sst>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.000_ "/>
    <numFmt numFmtId="177" formatCode="0.00_ "/>
    <numFmt numFmtId="178" formatCode="0.0_ "/>
    <numFmt numFmtId="179" formatCode="0_ "/>
    <numFmt numFmtId="180" formatCode="0_);[Red]\(0\)"/>
    <numFmt numFmtId="181" formatCode="0;_렀"/>
    <numFmt numFmtId="182" formatCode="0.0000"/>
    <numFmt numFmtId="183" formatCode="0.000"/>
    <numFmt numFmtId="184" formatCode="0.0"/>
    <numFmt numFmtId="185" formatCode="0.00_);[Red]\(0.00\)"/>
    <numFmt numFmtId="186" formatCode="0.000_);[Red]\(0.000\)"/>
    <numFmt numFmtId="187" formatCode="0_ ;[Red]\-0\ "/>
    <numFmt numFmtId="201" formatCode="0.0000_ "/>
  </numFmts>
  <fonts count="2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10.5"/>
      <name val="ＭＳ Ｐ明朝"/>
      <family val="1"/>
      <charset val="128"/>
    </font>
    <font>
      <sz val="10.5"/>
      <color indexed="12"/>
      <name val="ＭＳ Ｐ明朝"/>
      <family val="1"/>
      <charset val="128"/>
    </font>
    <font>
      <sz val="10.5"/>
      <color indexed="56"/>
      <name val="ＭＳ Ｐ明朝"/>
      <family val="1"/>
      <charset val="128"/>
    </font>
    <font>
      <sz val="8"/>
      <name val="ＭＳ Ｐ明朝"/>
      <family val="1"/>
      <charset val="128"/>
    </font>
    <font>
      <b/>
      <sz val="10.5"/>
      <name val="ＭＳ Ｐ明朝"/>
      <family val="1"/>
      <charset val="128"/>
    </font>
    <font>
      <sz val="11"/>
      <name val="ＭＳ Ｐ明朝"/>
      <family val="1"/>
      <charset val="128"/>
    </font>
    <font>
      <sz val="11"/>
      <color indexed="12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vertAlign val="superscript"/>
      <sz val="9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b/>
      <sz val="10.5"/>
      <name val="Meiryo UI"/>
      <family val="3"/>
      <charset val="128"/>
    </font>
    <font>
      <sz val="10.5"/>
      <name val="Meiryo UI"/>
      <family val="3"/>
      <charset val="128"/>
    </font>
    <font>
      <sz val="10.5"/>
      <color indexed="56"/>
      <name val="Meiryo UI"/>
      <family val="3"/>
      <charset val="128"/>
    </font>
    <font>
      <sz val="10.5"/>
      <color indexed="12"/>
      <name val="Meiryo UI"/>
      <family val="3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8"/>
      <name val="Meiryo UI"/>
      <family val="3"/>
      <charset val="128"/>
    </font>
    <font>
      <sz val="1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55">
    <xf numFmtId="0" fontId="0" fillId="0" borderId="0" xfId="0"/>
    <xf numFmtId="0" fontId="2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2" xfId="0" applyFont="1" applyFill="1" applyBorder="1"/>
    <xf numFmtId="0" fontId="4" fillId="0" borderId="3" xfId="0" applyFont="1" applyFill="1" applyBorder="1"/>
    <xf numFmtId="0" fontId="3" fillId="0" borderId="4" xfId="0" applyFont="1" applyBorder="1"/>
    <xf numFmtId="0" fontId="3" fillId="2" borderId="2" xfId="0" applyFont="1" applyFill="1" applyBorder="1"/>
    <xf numFmtId="0" fontId="3" fillId="0" borderId="5" xfId="0" applyFont="1" applyBorder="1"/>
    <xf numFmtId="0" fontId="4" fillId="2" borderId="5" xfId="0" applyFont="1" applyFill="1" applyBorder="1"/>
    <xf numFmtId="0" fontId="3" fillId="0" borderId="0" xfId="0" applyFont="1" applyAlignment="1">
      <alignment horizontal="left"/>
    </xf>
    <xf numFmtId="0" fontId="3" fillId="0" borderId="3" xfId="0" applyFont="1" applyBorder="1"/>
    <xf numFmtId="0" fontId="3" fillId="2" borderId="5" xfId="0" applyFont="1" applyFill="1" applyBorder="1"/>
    <xf numFmtId="0" fontId="4" fillId="0" borderId="6" xfId="0" applyFont="1" applyFill="1" applyBorder="1"/>
    <xf numFmtId="0" fontId="3" fillId="0" borderId="0" xfId="0" applyFont="1" applyAlignment="1">
      <alignment horizontal="right"/>
    </xf>
    <xf numFmtId="177" fontId="3" fillId="0" borderId="0" xfId="0" applyNumberFormat="1" applyFont="1" applyAlignment="1">
      <alignment horizontal="center"/>
    </xf>
    <xf numFmtId="177" fontId="3" fillId="0" borderId="0" xfId="0" applyNumberFormat="1" applyFont="1" applyAlignment="1">
      <alignment horizontal="left"/>
    </xf>
    <xf numFmtId="0" fontId="3" fillId="2" borderId="4" xfId="0" applyFont="1" applyFill="1" applyBorder="1"/>
    <xf numFmtId="0" fontId="3" fillId="2" borderId="0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0" borderId="3" xfId="0" applyFont="1" applyFill="1" applyBorder="1"/>
    <xf numFmtId="0" fontId="3" fillId="0" borderId="0" xfId="0" applyFont="1" applyFill="1" applyBorder="1"/>
    <xf numFmtId="0" fontId="3" fillId="0" borderId="6" xfId="0" applyFont="1" applyFill="1" applyBorder="1"/>
    <xf numFmtId="0" fontId="3" fillId="2" borderId="1" xfId="0" applyFont="1" applyFill="1" applyBorder="1"/>
    <xf numFmtId="0" fontId="3" fillId="2" borderId="6" xfId="0" applyFont="1" applyFill="1" applyBorder="1"/>
    <xf numFmtId="0" fontId="3" fillId="2" borderId="9" xfId="0" applyFont="1" applyFill="1" applyBorder="1"/>
    <xf numFmtId="0" fontId="3" fillId="2" borderId="10" xfId="0" applyFont="1" applyFill="1" applyBorder="1"/>
    <xf numFmtId="178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1" xfId="0" applyFont="1" applyFill="1" applyBorder="1"/>
    <xf numFmtId="0" fontId="3" fillId="0" borderId="12" xfId="0" applyFont="1" applyFill="1" applyBorder="1"/>
    <xf numFmtId="0" fontId="3" fillId="0" borderId="0" xfId="0" applyFont="1" applyBorder="1"/>
    <xf numFmtId="0" fontId="3" fillId="0" borderId="6" xfId="0" applyFont="1" applyBorder="1" applyAlignment="1">
      <alignment horizontal="center"/>
    </xf>
    <xf numFmtId="0" fontId="3" fillId="0" borderId="9" xfId="0" applyFont="1" applyBorder="1" applyAlignment="1">
      <alignment horizontal="right"/>
    </xf>
    <xf numFmtId="0" fontId="3" fillId="0" borderId="9" xfId="0" applyFont="1" applyBorder="1" applyAlignment="1">
      <alignment horizontal="center"/>
    </xf>
    <xf numFmtId="0" fontId="3" fillId="0" borderId="9" xfId="0" applyFont="1" applyBorder="1"/>
    <xf numFmtId="0" fontId="4" fillId="3" borderId="0" xfId="0" applyFont="1" applyFill="1"/>
    <xf numFmtId="0" fontId="3" fillId="0" borderId="7" xfId="0" applyFont="1" applyBorder="1"/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4" fillId="3" borderId="13" xfId="0" applyFont="1" applyFill="1" applyBorder="1" applyAlignment="1">
      <alignment horizontal="center"/>
    </xf>
    <xf numFmtId="178" fontId="3" fillId="0" borderId="0" xfId="0" applyNumberFormat="1" applyFont="1"/>
    <xf numFmtId="179" fontId="3" fillId="0" borderId="0" xfId="0" applyNumberFormat="1" applyFont="1" applyAlignment="1">
      <alignment horizontal="center"/>
    </xf>
    <xf numFmtId="178" fontId="3" fillId="0" borderId="0" xfId="0" applyNumberFormat="1" applyFont="1" applyAlignment="1">
      <alignment horizontal="center"/>
    </xf>
    <xf numFmtId="0" fontId="3" fillId="3" borderId="0" xfId="0" applyFont="1" applyFill="1"/>
    <xf numFmtId="0" fontId="3" fillId="0" borderId="14" xfId="0" applyFont="1" applyBorder="1"/>
    <xf numFmtId="0" fontId="4" fillId="3" borderId="0" xfId="0" applyFont="1" applyFill="1" applyAlignment="1">
      <alignment horizontal="center"/>
    </xf>
    <xf numFmtId="0" fontId="3" fillId="3" borderId="0" xfId="0" quotePrefix="1" applyFont="1" applyFill="1"/>
    <xf numFmtId="0" fontId="5" fillId="3" borderId="15" xfId="0" applyFont="1" applyFill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 applyAlignment="1">
      <alignment horizontal="left"/>
    </xf>
    <xf numFmtId="0" fontId="9" fillId="3" borderId="13" xfId="0" applyFont="1" applyFill="1" applyBorder="1" applyAlignment="1">
      <alignment horizontal="center"/>
    </xf>
    <xf numFmtId="0" fontId="3" fillId="0" borderId="2" xfId="0" applyFont="1" applyBorder="1"/>
    <xf numFmtId="0" fontId="3" fillId="0" borderId="1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1" xfId="0" applyFont="1" applyBorder="1" applyAlignment="1">
      <alignment horizontal="right"/>
    </xf>
    <xf numFmtId="0" fontId="3" fillId="0" borderId="10" xfId="0" applyFont="1" applyBorder="1" applyAlignment="1">
      <alignment horizontal="center"/>
    </xf>
    <xf numFmtId="0" fontId="7" fillId="0" borderId="16" xfId="0" applyFont="1" applyBorder="1" applyAlignment="1"/>
    <xf numFmtId="0" fontId="3" fillId="0" borderId="0" xfId="0" applyFont="1" applyBorder="1" applyAlignment="1">
      <alignment horizontal="center"/>
    </xf>
    <xf numFmtId="0" fontId="4" fillId="0" borderId="0" xfId="0" applyFont="1" applyFill="1" applyBorder="1"/>
    <xf numFmtId="0" fontId="3" fillId="0" borderId="0" xfId="0" applyFont="1" applyFill="1"/>
    <xf numFmtId="0" fontId="4" fillId="0" borderId="18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2" fillId="0" borderId="0" xfId="1" applyFont="1">
      <alignment vertical="center"/>
    </xf>
    <xf numFmtId="176" fontId="2" fillId="0" borderId="0" xfId="1" applyNumberFormat="1" applyFont="1" applyAlignment="1">
      <alignment horizontal="center" vertical="center"/>
    </xf>
    <xf numFmtId="179" fontId="2" fillId="0" borderId="0" xfId="1" applyNumberFormat="1" applyFont="1">
      <alignment vertical="center"/>
    </xf>
    <xf numFmtId="0" fontId="2" fillId="0" borderId="20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2" fillId="0" borderId="21" xfId="1" applyFont="1" applyBorder="1">
      <alignment vertical="center"/>
    </xf>
    <xf numFmtId="176" fontId="2" fillId="0" borderId="21" xfId="1" applyNumberFormat="1" applyFont="1" applyBorder="1" applyAlignment="1">
      <alignment horizontal="center" vertical="center"/>
    </xf>
    <xf numFmtId="0" fontId="2" fillId="0" borderId="22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24" xfId="1" applyFont="1" applyBorder="1" applyAlignment="1">
      <alignment horizontal="center" vertical="center"/>
    </xf>
    <xf numFmtId="0" fontId="2" fillId="0" borderId="24" xfId="1" applyFont="1" applyBorder="1">
      <alignment vertical="center"/>
    </xf>
    <xf numFmtId="0" fontId="2" fillId="0" borderId="25" xfId="1" applyFont="1" applyBorder="1" applyAlignment="1">
      <alignment horizontal="center" vertical="center"/>
    </xf>
    <xf numFmtId="0" fontId="13" fillId="0" borderId="26" xfId="1" applyFont="1" applyBorder="1" applyAlignment="1">
      <alignment horizontal="center" vertical="center"/>
    </xf>
    <xf numFmtId="0" fontId="13" fillId="0" borderId="27" xfId="1" applyFont="1" applyBorder="1" applyAlignment="1">
      <alignment horizontal="center" vertical="center"/>
    </xf>
    <xf numFmtId="0" fontId="2" fillId="0" borderId="27" xfId="1" applyFont="1" applyBorder="1">
      <alignment vertical="center"/>
    </xf>
    <xf numFmtId="179" fontId="13" fillId="0" borderId="27" xfId="1" applyNumberFormat="1" applyFont="1" applyBorder="1" applyAlignment="1">
      <alignment horizontal="center" vertical="center"/>
    </xf>
    <xf numFmtId="179" fontId="2" fillId="0" borderId="27" xfId="1" applyNumberFormat="1" applyFont="1" applyBorder="1" applyAlignment="1">
      <alignment horizontal="center" vertical="center"/>
    </xf>
    <xf numFmtId="181" fontId="2" fillId="0" borderId="27" xfId="1" applyNumberFormat="1" applyFont="1" applyBorder="1" applyAlignment="1">
      <alignment horizontal="center" vertical="center"/>
    </xf>
    <xf numFmtId="179" fontId="2" fillId="0" borderId="28" xfId="1" applyNumberFormat="1" applyFont="1" applyBorder="1" applyAlignment="1">
      <alignment horizontal="center" vertical="center"/>
    </xf>
    <xf numFmtId="0" fontId="2" fillId="0" borderId="29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 shrinkToFit="1"/>
    </xf>
    <xf numFmtId="0" fontId="2" fillId="0" borderId="31" xfId="1" applyFont="1" applyBorder="1" applyAlignment="1">
      <alignment horizontal="center" vertical="center" shrinkToFit="1"/>
    </xf>
    <xf numFmtId="0" fontId="2" fillId="0" borderId="24" xfId="1" applyFont="1" applyBorder="1" applyAlignment="1">
      <alignment horizontal="center" vertical="center" shrinkToFit="1"/>
    </xf>
    <xf numFmtId="0" fontId="2" fillId="0" borderId="25" xfId="1" applyFont="1" applyBorder="1" applyAlignment="1">
      <alignment horizontal="center" vertical="center" shrinkToFit="1"/>
    </xf>
    <xf numFmtId="179" fontId="10" fillId="0" borderId="27" xfId="1" applyNumberFormat="1" applyFont="1" applyBorder="1" applyAlignment="1">
      <alignment horizontal="center" vertical="center"/>
    </xf>
    <xf numFmtId="0" fontId="2" fillId="0" borderId="27" xfId="1" applyFont="1" applyBorder="1" applyAlignment="1">
      <alignment horizontal="center" vertical="center"/>
    </xf>
    <xf numFmtId="178" fontId="2" fillId="0" borderId="27" xfId="1" applyNumberFormat="1" applyFont="1" applyBorder="1" applyAlignment="1">
      <alignment horizontal="center" vertical="center"/>
    </xf>
    <xf numFmtId="0" fontId="2" fillId="0" borderId="32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35" xfId="1" applyFont="1" applyBorder="1" applyAlignment="1">
      <alignment horizontal="center" vertical="center"/>
    </xf>
    <xf numFmtId="0" fontId="2" fillId="0" borderId="36" xfId="1" applyFont="1" applyBorder="1" applyAlignment="1">
      <alignment horizontal="center" vertical="center"/>
    </xf>
    <xf numFmtId="177" fontId="2" fillId="0" borderId="26" xfId="1" applyNumberFormat="1" applyFont="1" applyBorder="1" applyAlignment="1">
      <alignment horizontal="center" vertical="center"/>
    </xf>
    <xf numFmtId="176" fontId="2" fillId="0" borderId="27" xfId="1" applyNumberFormat="1" applyFont="1" applyBorder="1" applyAlignment="1">
      <alignment horizontal="center" vertical="center"/>
    </xf>
    <xf numFmtId="177" fontId="2" fillId="0" borderId="27" xfId="1" applyNumberFormat="1" applyFont="1" applyBorder="1" applyAlignment="1">
      <alignment horizontal="center" vertical="center"/>
    </xf>
    <xf numFmtId="0" fontId="10" fillId="0" borderId="0" xfId="1" applyAlignment="1">
      <alignment horizontal="right" vertical="center"/>
    </xf>
    <xf numFmtId="0" fontId="10" fillId="0" borderId="0" xfId="1">
      <alignment vertical="center"/>
    </xf>
    <xf numFmtId="0" fontId="2" fillId="0" borderId="0" xfId="1" applyFont="1" applyAlignment="1">
      <alignment horizontal="right" vertical="center"/>
    </xf>
    <xf numFmtId="0" fontId="2" fillId="0" borderId="0" xfId="1" applyFont="1" applyBorder="1" applyAlignment="1">
      <alignment horizontal="left" vertic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Alignment="1"/>
    <xf numFmtId="178" fontId="3" fillId="0" borderId="0" xfId="0" applyNumberFormat="1" applyFont="1" applyAlignment="1">
      <alignment horizontal="right"/>
    </xf>
    <xf numFmtId="178" fontId="4" fillId="3" borderId="0" xfId="0" applyNumberFormat="1" applyFont="1" applyFill="1" applyAlignment="1">
      <alignment horizontal="right"/>
    </xf>
    <xf numFmtId="0" fontId="3" fillId="0" borderId="0" xfId="0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/>
    <xf numFmtId="0" fontId="3" fillId="0" borderId="13" xfId="0" applyFont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3" xfId="0" applyFont="1" applyBorder="1"/>
    <xf numFmtId="178" fontId="4" fillId="0" borderId="0" xfId="0" applyNumberFormat="1" applyFont="1" applyFill="1" applyAlignment="1">
      <alignment horizontal="right"/>
    </xf>
    <xf numFmtId="0" fontId="5" fillId="0" borderId="0" xfId="0" applyFont="1" applyFill="1" applyBorder="1" applyAlignment="1">
      <alignment horizontal="center"/>
    </xf>
    <xf numFmtId="183" fontId="4" fillId="0" borderId="0" xfId="0" applyNumberFormat="1" applyFont="1" applyFill="1" applyBorder="1" applyAlignment="1">
      <alignment horizontal="center"/>
    </xf>
    <xf numFmtId="0" fontId="3" fillId="0" borderId="13" xfId="0" applyFont="1" applyBorder="1" applyAlignment="1">
      <alignment horizontal="right"/>
    </xf>
    <xf numFmtId="0" fontId="14" fillId="0" borderId="16" xfId="0" applyFont="1" applyBorder="1" applyAlignment="1"/>
    <xf numFmtId="0" fontId="15" fillId="0" borderId="16" xfId="0" applyFont="1" applyBorder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0" fontId="15" fillId="0" borderId="4" xfId="0" applyFont="1" applyBorder="1"/>
    <xf numFmtId="0" fontId="15" fillId="2" borderId="2" xfId="0" applyFont="1" applyFill="1" applyBorder="1"/>
    <xf numFmtId="0" fontId="15" fillId="0" borderId="3" xfId="0" applyFont="1" applyBorder="1"/>
    <xf numFmtId="0" fontId="15" fillId="2" borderId="5" xfId="0" applyFont="1" applyFill="1" applyBorder="1"/>
    <xf numFmtId="0" fontId="16" fillId="0" borderId="0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left"/>
    </xf>
    <xf numFmtId="177" fontId="15" fillId="0" borderId="0" xfId="0" applyNumberFormat="1" applyFont="1" applyAlignment="1">
      <alignment horizontal="left"/>
    </xf>
    <xf numFmtId="0" fontId="15" fillId="0" borderId="6" xfId="0" applyFont="1" applyFill="1" applyBorder="1"/>
    <xf numFmtId="0" fontId="15" fillId="2" borderId="1" xfId="0" applyFont="1" applyFill="1" applyBorder="1"/>
    <xf numFmtId="0" fontId="15" fillId="0" borderId="0" xfId="0" applyFont="1" applyAlignment="1">
      <alignment horizontal="center"/>
    </xf>
    <xf numFmtId="178" fontId="17" fillId="0" borderId="0" xfId="0" applyNumberFormat="1" applyFont="1" applyFill="1" applyAlignment="1">
      <alignment horizontal="right"/>
    </xf>
    <xf numFmtId="0" fontId="17" fillId="3" borderId="13" xfId="0" applyFont="1" applyFill="1" applyBorder="1" applyAlignment="1">
      <alignment horizontal="center"/>
    </xf>
    <xf numFmtId="0" fontId="15" fillId="0" borderId="1" xfId="0" applyFont="1" applyBorder="1" applyAlignment="1">
      <alignment horizontal="center"/>
    </xf>
    <xf numFmtId="178" fontId="15" fillId="0" borderId="0" xfId="0" applyNumberFormat="1" applyFont="1" applyAlignment="1">
      <alignment horizontal="center"/>
    </xf>
    <xf numFmtId="178" fontId="15" fillId="0" borderId="0" xfId="0" applyNumberFormat="1" applyFont="1"/>
    <xf numFmtId="0" fontId="19" fillId="3" borderId="13" xfId="0" applyFont="1" applyFill="1" applyBorder="1" applyAlignment="1">
      <alignment horizontal="center"/>
    </xf>
    <xf numFmtId="183" fontId="17" fillId="0" borderId="0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1" fontId="15" fillId="0" borderId="0" xfId="0" applyNumberFormat="1" applyFont="1" applyAlignment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15" fillId="0" borderId="13" xfId="0" applyFont="1" applyBorder="1" applyAlignment="1">
      <alignment horizontal="center"/>
    </xf>
    <xf numFmtId="0" fontId="17" fillId="0" borderId="13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15" fillId="0" borderId="13" xfId="0" applyFont="1" applyBorder="1"/>
    <xf numFmtId="0" fontId="15" fillId="0" borderId="13" xfId="0" applyFont="1" applyBorder="1" applyAlignment="1">
      <alignment horizontal="right"/>
    </xf>
    <xf numFmtId="0" fontId="18" fillId="0" borderId="0" xfId="0" applyFont="1" applyBorder="1" applyAlignment="1"/>
    <xf numFmtId="0" fontId="15" fillId="0" borderId="0" xfId="0" applyFont="1" applyBorder="1" applyAlignment="1"/>
    <xf numFmtId="0" fontId="15" fillId="0" borderId="19" xfId="0" applyFont="1" applyBorder="1" applyAlignment="1"/>
    <xf numFmtId="0" fontId="15" fillId="0" borderId="0" xfId="0" applyFont="1" applyFill="1" applyBorder="1" applyAlignment="1"/>
    <xf numFmtId="0" fontId="15" fillId="0" borderId="0" xfId="0" applyFont="1" applyAlignment="1"/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left"/>
    </xf>
    <xf numFmtId="1" fontId="15" fillId="0" borderId="0" xfId="0" applyNumberFormat="1" applyFont="1" applyAlignment="1">
      <alignment horizontal="center"/>
    </xf>
    <xf numFmtId="0" fontId="15" fillId="0" borderId="0" xfId="0" applyFont="1" applyFill="1" applyBorder="1" applyAlignment="1"/>
    <xf numFmtId="0" fontId="15" fillId="0" borderId="0" xfId="0" applyFont="1" applyAlignment="1"/>
    <xf numFmtId="0" fontId="15" fillId="0" borderId="17" xfId="0" applyFont="1" applyBorder="1" applyAlignment="1"/>
    <xf numFmtId="0" fontId="15" fillId="0" borderId="0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left"/>
    </xf>
    <xf numFmtId="1" fontId="15" fillId="0" borderId="0" xfId="0" applyNumberFormat="1" applyFont="1" applyAlignment="1">
      <alignment horizontal="center"/>
    </xf>
    <xf numFmtId="179" fontId="15" fillId="0" borderId="0" xfId="0" applyNumberFormat="1" applyFont="1" applyAlignment="1">
      <alignment horizontal="right"/>
    </xf>
    <xf numFmtId="0" fontId="2" fillId="0" borderId="33" xfId="1" applyFont="1" applyBorder="1" applyAlignment="1">
      <alignment horizontal="center" vertical="center"/>
    </xf>
    <xf numFmtId="0" fontId="2" fillId="0" borderId="32" xfId="1" applyFont="1" applyBorder="1" applyAlignment="1">
      <alignment horizontal="center" vertical="center"/>
    </xf>
    <xf numFmtId="0" fontId="2" fillId="0" borderId="34" xfId="1" applyFont="1" applyBorder="1" applyAlignment="1">
      <alignment horizontal="center" vertical="center"/>
    </xf>
    <xf numFmtId="0" fontId="2" fillId="0" borderId="13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10" fillId="0" borderId="24" xfId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0" fontId="10" fillId="0" borderId="7" xfId="1" applyBorder="1" applyAlignment="1">
      <alignment horizontal="left" vertical="center"/>
    </xf>
    <xf numFmtId="0" fontId="10" fillId="0" borderId="8" xfId="1" applyBorder="1" applyAlignment="1">
      <alignment horizontal="left" vertical="center"/>
    </xf>
    <xf numFmtId="0" fontId="2" fillId="0" borderId="29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 vertical="center"/>
    </xf>
    <xf numFmtId="0" fontId="2" fillId="0" borderId="4" xfId="1" applyFont="1" applyBorder="1" applyAlignment="1">
      <alignment vertical="center"/>
    </xf>
    <xf numFmtId="0" fontId="10" fillId="0" borderId="7" xfId="1" applyBorder="1" applyAlignment="1">
      <alignment vertical="center"/>
    </xf>
    <xf numFmtId="0" fontId="10" fillId="0" borderId="8" xfId="1" applyBorder="1" applyAlignment="1">
      <alignment vertical="center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right"/>
    </xf>
    <xf numFmtId="0" fontId="3" fillId="0" borderId="0" xfId="0" applyFont="1" applyBorder="1" applyAlignment="1">
      <alignment horizontal="right"/>
    </xf>
    <xf numFmtId="0" fontId="8" fillId="0" borderId="19" xfId="0" applyFont="1" applyBorder="1" applyAlignment="1"/>
    <xf numFmtId="0" fontId="8" fillId="0" borderId="0" xfId="0" applyFont="1" applyAlignment="1"/>
    <xf numFmtId="0" fontId="8" fillId="0" borderId="0" xfId="0" applyFont="1" applyBorder="1" applyAlignment="1"/>
    <xf numFmtId="0" fontId="3" fillId="0" borderId="0" xfId="0" applyFont="1" applyBorder="1" applyAlignment="1">
      <alignment horizontal="left"/>
    </xf>
    <xf numFmtId="0" fontId="3" fillId="0" borderId="0" xfId="0" applyFont="1" applyFill="1" applyBorder="1" applyAlignment="1"/>
    <xf numFmtId="0" fontId="3" fillId="0" borderId="0" xfId="0" applyFont="1" applyAlignment="1"/>
    <xf numFmtId="0" fontId="3" fillId="0" borderId="17" xfId="0" applyFont="1" applyBorder="1" applyAlignment="1"/>
    <xf numFmtId="0" fontId="3" fillId="0" borderId="0" xfId="0" applyFont="1" applyAlignment="1">
      <alignment horizontal="center"/>
    </xf>
    <xf numFmtId="0" fontId="3" fillId="0" borderId="8" xfId="0" applyFont="1" applyBorder="1" applyAlignment="1">
      <alignment horizontal="right"/>
    </xf>
    <xf numFmtId="0" fontId="8" fillId="0" borderId="17" xfId="0" applyFont="1" applyBorder="1" applyAlignment="1"/>
    <xf numFmtId="0" fontId="3" fillId="0" borderId="3" xfId="0" applyFont="1" applyBorder="1" applyAlignment="1">
      <alignment horizontal="left"/>
    </xf>
    <xf numFmtId="0" fontId="18" fillId="0" borderId="0" xfId="0" applyFont="1" applyAlignment="1"/>
    <xf numFmtId="178" fontId="15" fillId="0" borderId="0" xfId="0" applyNumberFormat="1" applyFont="1" applyAlignment="1">
      <alignment horizontal="right" shrinkToFit="1"/>
    </xf>
    <xf numFmtId="178" fontId="17" fillId="0" borderId="0" xfId="0" applyNumberFormat="1" applyFont="1" applyFill="1" applyAlignment="1">
      <alignment shrinkToFit="1"/>
    </xf>
    <xf numFmtId="178" fontId="15" fillId="0" borderId="0" xfId="0" applyNumberFormat="1" applyFont="1" applyAlignment="1">
      <alignment horizontal="left" shrinkToFit="1"/>
    </xf>
    <xf numFmtId="0" fontId="15" fillId="0" borderId="0" xfId="0" applyFont="1" applyAlignment="1">
      <alignment horizontal="center" shrinkToFit="1"/>
    </xf>
    <xf numFmtId="0" fontId="15" fillId="0" borderId="13" xfId="0" applyFont="1" applyBorder="1" applyAlignment="1">
      <alignment horizontal="center" shrinkToFit="1"/>
    </xf>
    <xf numFmtId="0" fontId="21" fillId="0" borderId="38" xfId="0" applyFont="1" applyBorder="1" applyAlignment="1">
      <alignment horizontal="center"/>
    </xf>
    <xf numFmtId="0" fontId="21" fillId="0" borderId="0" xfId="0" applyFont="1"/>
    <xf numFmtId="0" fontId="21" fillId="0" borderId="39" xfId="0" applyFont="1" applyBorder="1" applyAlignment="1">
      <alignment horizontal="center"/>
    </xf>
    <xf numFmtId="2" fontId="21" fillId="0" borderId="39" xfId="0" applyNumberFormat="1" applyFont="1" applyBorder="1" applyAlignment="1">
      <alignment horizontal="center"/>
    </xf>
    <xf numFmtId="184" fontId="21" fillId="0" borderId="39" xfId="0" applyNumberFormat="1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184" fontId="21" fillId="0" borderId="0" xfId="0" applyNumberFormat="1" applyFont="1" applyBorder="1" applyAlignment="1">
      <alignment horizontal="center"/>
    </xf>
    <xf numFmtId="0" fontId="21" fillId="0" borderId="15" xfId="0" applyFont="1" applyBorder="1"/>
    <xf numFmtId="0" fontId="21" fillId="0" borderId="15" xfId="0" applyFont="1" applyBorder="1" applyAlignment="1">
      <alignment horizontal="right"/>
    </xf>
    <xf numFmtId="0" fontId="21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184" fontId="21" fillId="0" borderId="0" xfId="0" applyNumberFormat="1" applyFont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/>
    <xf numFmtId="1" fontId="21" fillId="0" borderId="0" xfId="0" applyNumberFormat="1" applyFont="1" applyAlignment="1">
      <alignment horizontal="left"/>
    </xf>
    <xf numFmtId="1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82" fontId="21" fillId="0" borderId="0" xfId="0" applyNumberFormat="1" applyFont="1" applyAlignment="1">
      <alignment horizontal="center"/>
    </xf>
    <xf numFmtId="180" fontId="21" fillId="0" borderId="0" xfId="0" applyNumberFormat="1" applyFont="1" applyAlignment="1">
      <alignment horizontal="center"/>
    </xf>
    <xf numFmtId="186" fontId="21" fillId="0" borderId="0" xfId="0" applyNumberFormat="1" applyFont="1" applyAlignment="1">
      <alignment horizontal="center"/>
    </xf>
    <xf numFmtId="183" fontId="21" fillId="0" borderId="0" xfId="0" applyNumberFormat="1" applyFont="1" applyAlignment="1">
      <alignment horizontal="center"/>
    </xf>
    <xf numFmtId="176" fontId="21" fillId="0" borderId="0" xfId="0" applyNumberFormat="1" applyFont="1" applyAlignment="1">
      <alignment horizontal="center"/>
    </xf>
    <xf numFmtId="179" fontId="21" fillId="0" borderId="0" xfId="0" applyNumberFormat="1" applyFont="1"/>
    <xf numFmtId="179" fontId="21" fillId="0" borderId="0" xfId="0" applyNumberFormat="1" applyFont="1" applyAlignment="1">
      <alignment horizontal="center"/>
    </xf>
    <xf numFmtId="185" fontId="21" fillId="0" borderId="0" xfId="0" applyNumberFormat="1" applyFont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21" fillId="0" borderId="0" xfId="0" applyFont="1" applyAlignment="1">
      <alignment horizontal="left" shrinkToFit="1"/>
    </xf>
    <xf numFmtId="0" fontId="21" fillId="0" borderId="0" xfId="0" applyFont="1" applyBorder="1"/>
    <xf numFmtId="0" fontId="21" fillId="0" borderId="12" xfId="0" applyFont="1" applyBorder="1" applyAlignment="1">
      <alignment horizontal="center"/>
    </xf>
    <xf numFmtId="0" fontId="21" fillId="0" borderId="4" xfId="0" applyFont="1" applyBorder="1"/>
    <xf numFmtId="0" fontId="21" fillId="0" borderId="37" xfId="0" applyFont="1" applyBorder="1"/>
    <xf numFmtId="0" fontId="21" fillId="0" borderId="6" xfId="0" applyFont="1" applyBorder="1"/>
    <xf numFmtId="0" fontId="21" fillId="0" borderId="10" xfId="0" applyFont="1" applyBorder="1" applyAlignment="1">
      <alignment horizontal="right"/>
    </xf>
    <xf numFmtId="180" fontId="21" fillId="0" borderId="15" xfId="0" applyNumberFormat="1" applyFont="1" applyBorder="1" applyAlignment="1">
      <alignment horizontal="center"/>
    </xf>
    <xf numFmtId="0" fontId="21" fillId="0" borderId="11" xfId="0" applyFont="1" applyBorder="1"/>
    <xf numFmtId="0" fontId="21" fillId="0" borderId="14" xfId="0" applyFont="1" applyBorder="1" applyAlignment="1">
      <alignment horizontal="right"/>
    </xf>
    <xf numFmtId="1" fontId="21" fillId="0" borderId="15" xfId="0" applyNumberFormat="1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185" fontId="21" fillId="0" borderId="15" xfId="0" applyNumberFormat="1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2" xfId="0" applyFont="1" applyBorder="1"/>
    <xf numFmtId="186" fontId="21" fillId="0" borderId="15" xfId="0" applyNumberFormat="1" applyFont="1" applyBorder="1" applyAlignment="1">
      <alignment horizontal="center"/>
    </xf>
    <xf numFmtId="176" fontId="21" fillId="0" borderId="15" xfId="0" applyNumberFormat="1" applyFont="1" applyBorder="1" applyAlignment="1">
      <alignment horizontal="center"/>
    </xf>
    <xf numFmtId="187" fontId="21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 shrinkToFit="1"/>
    </xf>
    <xf numFmtId="0" fontId="21" fillId="0" borderId="0" xfId="0" applyFont="1" applyAlignment="1">
      <alignment horizontal="center" shrinkToFit="1"/>
    </xf>
    <xf numFmtId="179" fontId="15" fillId="0" borderId="0" xfId="0" applyNumberFormat="1" applyFont="1" applyAlignment="1">
      <alignment horizontal="center"/>
    </xf>
    <xf numFmtId="201" fontId="15" fillId="0" borderId="0" xfId="0" applyNumberFormat="1" applyFont="1" applyAlignment="1">
      <alignment horizont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42</xdr:row>
      <xdr:rowOff>0</xdr:rowOff>
    </xdr:from>
    <xdr:to>
      <xdr:col>8</xdr:col>
      <xdr:colOff>314325</xdr:colOff>
      <xdr:row>51</xdr:row>
      <xdr:rowOff>57150</xdr:rowOff>
    </xdr:to>
    <xdr:pic>
      <xdr:nvPicPr>
        <xdr:cNvPr id="5142" name="Picture 1" descr="RcGMa2のコピー">
          <a:extLst>
            <a:ext uri="{FF2B5EF4-FFF2-40B4-BE49-F238E27FC236}">
              <a16:creationId xmlns:a16="http://schemas.microsoft.com/office/drawing/2014/main" id="{00000000-0008-0000-0000-00001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2100" y="6210300"/>
          <a:ext cx="3467100" cy="1343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161925</xdr:rowOff>
    </xdr:from>
    <xdr:to>
      <xdr:col>10</xdr:col>
      <xdr:colOff>0</xdr:colOff>
      <xdr:row>8</xdr:row>
      <xdr:rowOff>104775</xdr:rowOff>
    </xdr:to>
    <xdr:sp macro="" textlink="">
      <xdr:nvSpPr>
        <xdr:cNvPr id="1520" name="Line 1">
          <a:extLst>
            <a:ext uri="{FF2B5EF4-FFF2-40B4-BE49-F238E27FC236}">
              <a16:creationId xmlns:a16="http://schemas.microsoft.com/office/drawing/2014/main" id="{00000000-0008-0000-0200-0000F0050000}"/>
            </a:ext>
          </a:extLst>
        </xdr:cNvPr>
        <xdr:cNvSpPr>
          <a:spLocks noChangeShapeType="1"/>
        </xdr:cNvSpPr>
      </xdr:nvSpPr>
      <xdr:spPr bwMode="auto">
        <a:xfrm flipV="1">
          <a:off x="5114925" y="131445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76200</xdr:colOff>
      <xdr:row>7</xdr:row>
      <xdr:rowOff>180975</xdr:rowOff>
    </xdr:from>
    <xdr:to>
      <xdr:col>11</xdr:col>
      <xdr:colOff>76200</xdr:colOff>
      <xdr:row>9</xdr:row>
      <xdr:rowOff>0</xdr:rowOff>
    </xdr:to>
    <xdr:sp macro="" textlink="">
      <xdr:nvSpPr>
        <xdr:cNvPr id="1521" name="Line 7">
          <a:extLst>
            <a:ext uri="{FF2B5EF4-FFF2-40B4-BE49-F238E27FC236}">
              <a16:creationId xmlns:a16="http://schemas.microsoft.com/office/drawing/2014/main" id="{00000000-0008-0000-0200-0000F1050000}"/>
            </a:ext>
          </a:extLst>
        </xdr:cNvPr>
        <xdr:cNvSpPr>
          <a:spLocks noChangeShapeType="1"/>
        </xdr:cNvSpPr>
      </xdr:nvSpPr>
      <xdr:spPr bwMode="auto">
        <a:xfrm flipV="1">
          <a:off x="5467350" y="133350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0</xdr:colOff>
      <xdr:row>7</xdr:row>
      <xdr:rowOff>171450</xdr:rowOff>
    </xdr:from>
    <xdr:to>
      <xdr:col>16</xdr:col>
      <xdr:colOff>0</xdr:colOff>
      <xdr:row>8</xdr:row>
      <xdr:rowOff>114300</xdr:rowOff>
    </xdr:to>
    <xdr:sp macro="" textlink="">
      <xdr:nvSpPr>
        <xdr:cNvPr id="1522" name="Line 8">
          <a:extLst>
            <a:ext uri="{FF2B5EF4-FFF2-40B4-BE49-F238E27FC236}">
              <a16:creationId xmlns:a16="http://schemas.microsoft.com/office/drawing/2014/main" id="{00000000-0008-0000-0200-0000F2050000}"/>
            </a:ext>
          </a:extLst>
        </xdr:cNvPr>
        <xdr:cNvSpPr>
          <a:spLocks noChangeShapeType="1"/>
        </xdr:cNvSpPr>
      </xdr:nvSpPr>
      <xdr:spPr bwMode="auto">
        <a:xfrm flipV="1">
          <a:off x="7267575" y="1323975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47625</xdr:colOff>
      <xdr:row>7</xdr:row>
      <xdr:rowOff>180975</xdr:rowOff>
    </xdr:from>
    <xdr:to>
      <xdr:col>12</xdr:col>
      <xdr:colOff>47625</xdr:colOff>
      <xdr:row>9</xdr:row>
      <xdr:rowOff>0</xdr:rowOff>
    </xdr:to>
    <xdr:sp macro="" textlink="">
      <xdr:nvSpPr>
        <xdr:cNvPr id="1523" name="Line 9">
          <a:extLst>
            <a:ext uri="{FF2B5EF4-FFF2-40B4-BE49-F238E27FC236}">
              <a16:creationId xmlns:a16="http://schemas.microsoft.com/office/drawing/2014/main" id="{00000000-0008-0000-0200-0000F3050000}"/>
            </a:ext>
          </a:extLst>
        </xdr:cNvPr>
        <xdr:cNvSpPr>
          <a:spLocks noChangeShapeType="1"/>
        </xdr:cNvSpPr>
      </xdr:nvSpPr>
      <xdr:spPr bwMode="auto">
        <a:xfrm flipV="1">
          <a:off x="5943600" y="133350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295275</xdr:colOff>
      <xdr:row>7</xdr:row>
      <xdr:rowOff>180975</xdr:rowOff>
    </xdr:from>
    <xdr:to>
      <xdr:col>13</xdr:col>
      <xdr:colOff>295275</xdr:colOff>
      <xdr:row>9</xdr:row>
      <xdr:rowOff>0</xdr:rowOff>
    </xdr:to>
    <xdr:sp macro="" textlink="">
      <xdr:nvSpPr>
        <xdr:cNvPr id="1524" name="Line 10">
          <a:extLst>
            <a:ext uri="{FF2B5EF4-FFF2-40B4-BE49-F238E27FC236}">
              <a16:creationId xmlns:a16="http://schemas.microsoft.com/office/drawing/2014/main" id="{00000000-0008-0000-0200-0000F4050000}"/>
            </a:ext>
          </a:extLst>
        </xdr:cNvPr>
        <xdr:cNvSpPr>
          <a:spLocks noChangeShapeType="1"/>
        </xdr:cNvSpPr>
      </xdr:nvSpPr>
      <xdr:spPr bwMode="auto">
        <a:xfrm flipV="1">
          <a:off x="6391275" y="133350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104775</xdr:colOff>
      <xdr:row>7</xdr:row>
      <xdr:rowOff>180975</xdr:rowOff>
    </xdr:from>
    <xdr:to>
      <xdr:col>15</xdr:col>
      <xdr:colOff>104775</xdr:colOff>
      <xdr:row>9</xdr:row>
      <xdr:rowOff>0</xdr:rowOff>
    </xdr:to>
    <xdr:sp macro="" textlink="">
      <xdr:nvSpPr>
        <xdr:cNvPr id="1525" name="Line 11">
          <a:extLst>
            <a:ext uri="{FF2B5EF4-FFF2-40B4-BE49-F238E27FC236}">
              <a16:creationId xmlns:a16="http://schemas.microsoft.com/office/drawing/2014/main" id="{00000000-0008-0000-0200-0000F5050000}"/>
            </a:ext>
          </a:extLst>
        </xdr:cNvPr>
        <xdr:cNvSpPr>
          <a:spLocks noChangeShapeType="1"/>
        </xdr:cNvSpPr>
      </xdr:nvSpPr>
      <xdr:spPr bwMode="auto">
        <a:xfrm flipV="1">
          <a:off x="6867525" y="1333500"/>
          <a:ext cx="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123825</xdr:colOff>
      <xdr:row>29</xdr:row>
      <xdr:rowOff>0</xdr:rowOff>
    </xdr:from>
    <xdr:to>
      <xdr:col>18</xdr:col>
      <xdr:colOff>76200</xdr:colOff>
      <xdr:row>29</xdr:row>
      <xdr:rowOff>0</xdr:rowOff>
    </xdr:to>
    <xdr:sp macro="" textlink="">
      <xdr:nvSpPr>
        <xdr:cNvPr id="1526" name="Line 12">
          <a:extLst>
            <a:ext uri="{FF2B5EF4-FFF2-40B4-BE49-F238E27FC236}">
              <a16:creationId xmlns:a16="http://schemas.microsoft.com/office/drawing/2014/main" id="{00000000-0008-0000-0200-0000F6050000}"/>
            </a:ext>
          </a:extLst>
        </xdr:cNvPr>
        <xdr:cNvSpPr>
          <a:spLocks noChangeShapeType="1"/>
        </xdr:cNvSpPr>
      </xdr:nvSpPr>
      <xdr:spPr bwMode="auto">
        <a:xfrm>
          <a:off x="6019800" y="4505325"/>
          <a:ext cx="2028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114300</xdr:colOff>
      <xdr:row>28</xdr:row>
      <xdr:rowOff>9525</xdr:rowOff>
    </xdr:from>
    <xdr:to>
      <xdr:col>12</xdr:col>
      <xdr:colOff>114300</xdr:colOff>
      <xdr:row>29</xdr:row>
      <xdr:rowOff>0</xdr:rowOff>
    </xdr:to>
    <xdr:sp macro="" textlink="">
      <xdr:nvSpPr>
        <xdr:cNvPr id="1527" name="Line 13">
          <a:extLst>
            <a:ext uri="{FF2B5EF4-FFF2-40B4-BE49-F238E27FC236}">
              <a16:creationId xmlns:a16="http://schemas.microsoft.com/office/drawing/2014/main" id="{00000000-0008-0000-0200-0000F7050000}"/>
            </a:ext>
          </a:extLst>
        </xdr:cNvPr>
        <xdr:cNvSpPr>
          <a:spLocks noChangeShapeType="1"/>
        </xdr:cNvSpPr>
      </xdr:nvSpPr>
      <xdr:spPr bwMode="auto">
        <a:xfrm>
          <a:off x="6010275" y="4352925"/>
          <a:ext cx="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85725</xdr:colOff>
      <xdr:row>28</xdr:row>
      <xdr:rowOff>9525</xdr:rowOff>
    </xdr:from>
    <xdr:to>
      <xdr:col>18</xdr:col>
      <xdr:colOff>85725</xdr:colOff>
      <xdr:row>29</xdr:row>
      <xdr:rowOff>0</xdr:rowOff>
    </xdr:to>
    <xdr:sp macro="" textlink="">
      <xdr:nvSpPr>
        <xdr:cNvPr id="1528" name="Line 14">
          <a:extLst>
            <a:ext uri="{FF2B5EF4-FFF2-40B4-BE49-F238E27FC236}">
              <a16:creationId xmlns:a16="http://schemas.microsoft.com/office/drawing/2014/main" id="{00000000-0008-0000-0200-0000F8050000}"/>
            </a:ext>
          </a:extLst>
        </xdr:cNvPr>
        <xdr:cNvSpPr>
          <a:spLocks noChangeShapeType="1"/>
        </xdr:cNvSpPr>
      </xdr:nvSpPr>
      <xdr:spPr bwMode="auto">
        <a:xfrm>
          <a:off x="8058150" y="4352925"/>
          <a:ext cx="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</xdr:row>
      <xdr:rowOff>47625</xdr:rowOff>
    </xdr:from>
    <xdr:to>
      <xdr:col>11</xdr:col>
      <xdr:colOff>238125</xdr:colOff>
      <xdr:row>7</xdr:row>
      <xdr:rowOff>171450</xdr:rowOff>
    </xdr:to>
    <xdr:sp macro="" textlink="">
      <xdr:nvSpPr>
        <xdr:cNvPr id="1529" name="Line 15">
          <a:extLst>
            <a:ext uri="{FF2B5EF4-FFF2-40B4-BE49-F238E27FC236}">
              <a16:creationId xmlns:a16="http://schemas.microsoft.com/office/drawing/2014/main" id="{00000000-0008-0000-0200-0000F9050000}"/>
            </a:ext>
          </a:extLst>
        </xdr:cNvPr>
        <xdr:cNvSpPr>
          <a:spLocks noChangeShapeType="1"/>
        </xdr:cNvSpPr>
      </xdr:nvSpPr>
      <xdr:spPr bwMode="auto">
        <a:xfrm flipH="1">
          <a:off x="5629275" y="209550"/>
          <a:ext cx="0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104775</xdr:colOff>
      <xdr:row>4</xdr:row>
      <xdr:rowOff>0</xdr:rowOff>
    </xdr:from>
    <xdr:to>
      <xdr:col>13</xdr:col>
      <xdr:colOff>104775</xdr:colOff>
      <xdr:row>7</xdr:row>
      <xdr:rowOff>57150</xdr:rowOff>
    </xdr:to>
    <xdr:sp macro="" textlink="">
      <xdr:nvSpPr>
        <xdr:cNvPr id="1530" name="Line 16">
          <a:extLst>
            <a:ext uri="{FF2B5EF4-FFF2-40B4-BE49-F238E27FC236}">
              <a16:creationId xmlns:a16="http://schemas.microsoft.com/office/drawing/2014/main" id="{00000000-0008-0000-0200-0000FA050000}"/>
            </a:ext>
          </a:extLst>
        </xdr:cNvPr>
        <xdr:cNvSpPr>
          <a:spLocks noChangeShapeType="1"/>
        </xdr:cNvSpPr>
      </xdr:nvSpPr>
      <xdr:spPr bwMode="auto">
        <a:xfrm flipH="1">
          <a:off x="6200775" y="666750"/>
          <a:ext cx="0" cy="542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4</xdr:row>
      <xdr:rowOff>0</xdr:rowOff>
    </xdr:from>
    <xdr:to>
      <xdr:col>13</xdr:col>
      <xdr:colOff>104775</xdr:colOff>
      <xdr:row>4</xdr:row>
      <xdr:rowOff>0</xdr:rowOff>
    </xdr:to>
    <xdr:sp macro="" textlink="">
      <xdr:nvSpPr>
        <xdr:cNvPr id="1531" name="Line 17">
          <a:extLst>
            <a:ext uri="{FF2B5EF4-FFF2-40B4-BE49-F238E27FC236}">
              <a16:creationId xmlns:a16="http://schemas.microsoft.com/office/drawing/2014/main" id="{00000000-0008-0000-0200-0000FB050000}"/>
            </a:ext>
          </a:extLst>
        </xdr:cNvPr>
        <xdr:cNvSpPr>
          <a:spLocks noChangeShapeType="1"/>
        </xdr:cNvSpPr>
      </xdr:nvSpPr>
      <xdr:spPr bwMode="auto">
        <a:xfrm>
          <a:off x="5629275" y="666750"/>
          <a:ext cx="571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9525</xdr:colOff>
      <xdr:row>3</xdr:row>
      <xdr:rowOff>0</xdr:rowOff>
    </xdr:from>
    <xdr:to>
      <xdr:col>11</xdr:col>
      <xdr:colOff>228600</xdr:colOff>
      <xdr:row>3</xdr:row>
      <xdr:rowOff>0</xdr:rowOff>
    </xdr:to>
    <xdr:sp macro="" textlink="">
      <xdr:nvSpPr>
        <xdr:cNvPr id="1532" name="Line 18">
          <a:extLst>
            <a:ext uri="{FF2B5EF4-FFF2-40B4-BE49-F238E27FC236}">
              <a16:creationId xmlns:a16="http://schemas.microsoft.com/office/drawing/2014/main" id="{00000000-0008-0000-0200-0000FC050000}"/>
            </a:ext>
          </a:extLst>
        </xdr:cNvPr>
        <xdr:cNvSpPr>
          <a:spLocks noChangeShapeType="1"/>
        </xdr:cNvSpPr>
      </xdr:nvSpPr>
      <xdr:spPr bwMode="auto">
        <a:xfrm>
          <a:off x="5124450" y="504825"/>
          <a:ext cx="4953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76200</xdr:colOff>
      <xdr:row>21</xdr:row>
      <xdr:rowOff>0</xdr:rowOff>
    </xdr:from>
    <xdr:to>
      <xdr:col>15</xdr:col>
      <xdr:colOff>85725</xdr:colOff>
      <xdr:row>22</xdr:row>
      <xdr:rowOff>0</xdr:rowOff>
    </xdr:to>
    <xdr:grpSp>
      <xdr:nvGrpSpPr>
        <xdr:cNvPr id="1533" name="Group 26">
          <a:extLst>
            <a:ext uri="{FF2B5EF4-FFF2-40B4-BE49-F238E27FC236}">
              <a16:creationId xmlns:a16="http://schemas.microsoft.com/office/drawing/2014/main" id="{00000000-0008-0000-0200-0000FD050000}"/>
            </a:ext>
          </a:extLst>
        </xdr:cNvPr>
        <xdr:cNvGrpSpPr>
          <a:grpSpLocks/>
        </xdr:cNvGrpSpPr>
      </xdr:nvGrpSpPr>
      <xdr:grpSpPr bwMode="auto">
        <a:xfrm>
          <a:off x="6351270" y="3307080"/>
          <a:ext cx="161925" cy="156210"/>
          <a:chOff x="683" y="325"/>
          <a:chExt cx="18" cy="34"/>
        </a:xfrm>
      </xdr:grpSpPr>
      <xdr:sp macro="" textlink="">
        <xdr:nvSpPr>
          <xdr:cNvPr id="1538" name="Line 23">
            <a:extLst>
              <a:ext uri="{FF2B5EF4-FFF2-40B4-BE49-F238E27FC236}">
                <a16:creationId xmlns:a16="http://schemas.microsoft.com/office/drawing/2014/main" id="{00000000-0008-0000-0200-0000020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83" y="325"/>
            <a:ext cx="18" cy="34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9" name="Line 24">
            <a:extLst>
              <a:ext uri="{FF2B5EF4-FFF2-40B4-BE49-F238E27FC236}">
                <a16:creationId xmlns:a16="http://schemas.microsoft.com/office/drawing/2014/main" id="{00000000-0008-0000-0200-000003060000}"/>
              </a:ext>
            </a:extLst>
          </xdr:cNvPr>
          <xdr:cNvSpPr>
            <a:spLocks noChangeShapeType="1"/>
          </xdr:cNvSpPr>
        </xdr:nvSpPr>
        <xdr:spPr bwMode="auto">
          <a:xfrm>
            <a:off x="692" y="325"/>
            <a:ext cx="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0" name="Line 25">
            <a:extLst>
              <a:ext uri="{FF2B5EF4-FFF2-40B4-BE49-F238E27FC236}">
                <a16:creationId xmlns:a16="http://schemas.microsoft.com/office/drawing/2014/main" id="{00000000-0008-0000-0200-000004060000}"/>
              </a:ext>
            </a:extLst>
          </xdr:cNvPr>
          <xdr:cNvSpPr>
            <a:spLocks noChangeShapeType="1"/>
          </xdr:cNvSpPr>
        </xdr:nvSpPr>
        <xdr:spPr bwMode="auto">
          <a:xfrm>
            <a:off x="683" y="359"/>
            <a:ext cx="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13</xdr:col>
      <xdr:colOff>419100</xdr:colOff>
      <xdr:row>21</xdr:row>
      <xdr:rowOff>0</xdr:rowOff>
    </xdr:from>
    <xdr:to>
      <xdr:col>14</xdr:col>
      <xdr:colOff>85725</xdr:colOff>
      <xdr:row>22</xdr:row>
      <xdr:rowOff>0</xdr:rowOff>
    </xdr:to>
    <xdr:grpSp>
      <xdr:nvGrpSpPr>
        <xdr:cNvPr id="1534" name="Group 27">
          <a:extLst>
            <a:ext uri="{FF2B5EF4-FFF2-40B4-BE49-F238E27FC236}">
              <a16:creationId xmlns:a16="http://schemas.microsoft.com/office/drawing/2014/main" id="{00000000-0008-0000-0200-0000FE050000}"/>
            </a:ext>
          </a:extLst>
        </xdr:cNvPr>
        <xdr:cNvGrpSpPr>
          <a:grpSpLocks/>
        </xdr:cNvGrpSpPr>
      </xdr:nvGrpSpPr>
      <xdr:grpSpPr bwMode="auto">
        <a:xfrm>
          <a:off x="6214110" y="3307080"/>
          <a:ext cx="146685" cy="156210"/>
          <a:chOff x="683" y="325"/>
          <a:chExt cx="18" cy="34"/>
        </a:xfrm>
      </xdr:grpSpPr>
      <xdr:sp macro="" textlink="">
        <xdr:nvSpPr>
          <xdr:cNvPr id="1535" name="Line 28">
            <a:extLst>
              <a:ext uri="{FF2B5EF4-FFF2-40B4-BE49-F238E27FC236}">
                <a16:creationId xmlns:a16="http://schemas.microsoft.com/office/drawing/2014/main" id="{00000000-0008-0000-0200-0000FF05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83" y="325"/>
            <a:ext cx="18" cy="34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6" name="Line 29">
            <a:extLst>
              <a:ext uri="{FF2B5EF4-FFF2-40B4-BE49-F238E27FC236}">
                <a16:creationId xmlns:a16="http://schemas.microsoft.com/office/drawing/2014/main" id="{00000000-0008-0000-0200-000000060000}"/>
              </a:ext>
            </a:extLst>
          </xdr:cNvPr>
          <xdr:cNvSpPr>
            <a:spLocks noChangeShapeType="1"/>
          </xdr:cNvSpPr>
        </xdr:nvSpPr>
        <xdr:spPr bwMode="auto">
          <a:xfrm>
            <a:off x="692" y="325"/>
            <a:ext cx="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7" name="Line 30">
            <a:extLst>
              <a:ext uri="{FF2B5EF4-FFF2-40B4-BE49-F238E27FC236}">
                <a16:creationId xmlns:a16="http://schemas.microsoft.com/office/drawing/2014/main" id="{00000000-0008-0000-0200-000001060000}"/>
              </a:ext>
            </a:extLst>
          </xdr:cNvPr>
          <xdr:cNvSpPr>
            <a:spLocks noChangeShapeType="1"/>
          </xdr:cNvSpPr>
        </xdr:nvSpPr>
        <xdr:spPr bwMode="auto">
          <a:xfrm>
            <a:off x="683" y="359"/>
            <a:ext cx="9" cy="0"/>
          </a:xfrm>
          <a:prstGeom prst="line">
            <a:avLst/>
          </a:prstGeom>
          <a:noFill/>
          <a:ln w="635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00025134/AppData/Roaming/Microsoft/AddIns/xans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user/AppData/Roaming/Microsoft/AddIns/xfun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aiwahouse-my.sharepoint.com/Users/user/AppData/Roaming/Microsoft/AddIns/xa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ans"/>
    </sheetNames>
    <definedNames>
      <definedName name="answer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  <definedName name="RcGMa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ans"/>
    </sheetNames>
    <definedNames>
      <definedName name="answ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A6AB0-EAA6-4425-B33A-519DB5A746BE}">
  <sheetPr codeName="Sheet9"/>
  <dimension ref="B2:AB48"/>
  <sheetViews>
    <sheetView tabSelected="1" topLeftCell="A40" zoomScaleNormal="100" zoomScaleSheetLayoutView="100" workbookViewId="0">
      <selection activeCell="G9" sqref="G9"/>
    </sheetView>
  </sheetViews>
  <sheetFormatPr defaultColWidth="9" defaultRowHeight="14.1" x14ac:dyDescent="0.5"/>
  <cols>
    <col min="1" max="1" width="2.62890625" style="122" customWidth="1"/>
    <col min="2" max="3" width="8.578125" style="122" customWidth="1"/>
    <col min="4" max="4" width="12.1015625" style="122" customWidth="1"/>
    <col min="5" max="12" width="8.578125" style="122" customWidth="1"/>
    <col min="13" max="16" width="6.62890625" style="122" customWidth="1"/>
    <col min="17" max="17" width="3.62890625" style="122" customWidth="1"/>
    <col min="18" max="18" width="0.89453125" style="122" customWidth="1"/>
    <col min="19" max="19" width="2.26171875" style="122" customWidth="1"/>
    <col min="20" max="20" width="6.62890625" style="122" customWidth="1"/>
    <col min="21" max="16384" width="9" style="122"/>
  </cols>
  <sheetData>
    <row r="2" spans="2:20" ht="14.4" thickBot="1" x14ac:dyDescent="0.55000000000000004">
      <c r="B2" s="120" t="s">
        <v>348</v>
      </c>
      <c r="C2" s="121"/>
      <c r="K2" s="123"/>
      <c r="L2" s="123"/>
      <c r="M2" s="123"/>
    </row>
    <row r="3" spans="2:20" ht="14.4" thickTop="1" x14ac:dyDescent="0.5">
      <c r="I3" s="159"/>
      <c r="K3" s="162"/>
      <c r="L3" s="162"/>
      <c r="M3" s="124"/>
      <c r="N3" s="125"/>
      <c r="Q3" s="126"/>
      <c r="R3" s="123"/>
      <c r="T3" s="127"/>
    </row>
    <row r="4" spans="2:20" ht="15" x14ac:dyDescent="0.55000000000000004">
      <c r="C4" s="147" t="s">
        <v>18</v>
      </c>
      <c r="D4" s="143">
        <v>21</v>
      </c>
      <c r="E4" s="122" t="s">
        <v>293</v>
      </c>
      <c r="I4" s="159"/>
      <c r="K4" s="157"/>
      <c r="L4" s="157"/>
      <c r="M4" s="124"/>
      <c r="N4" s="125"/>
      <c r="Q4" s="128"/>
      <c r="R4" s="123"/>
      <c r="T4" s="129"/>
    </row>
    <row r="5" spans="2:20" ht="15" x14ac:dyDescent="0.55000000000000004">
      <c r="C5" s="147" t="s">
        <v>369</v>
      </c>
      <c r="D5" s="143">
        <v>345</v>
      </c>
      <c r="E5" s="122" t="s">
        <v>293</v>
      </c>
      <c r="I5" s="159"/>
      <c r="K5" s="157"/>
      <c r="L5" s="157"/>
      <c r="M5" s="124"/>
      <c r="N5" s="125"/>
      <c r="Q5" s="128"/>
      <c r="R5" s="123"/>
      <c r="T5" s="129"/>
    </row>
    <row r="6" spans="2:20" ht="15" x14ac:dyDescent="0.55000000000000004">
      <c r="C6" s="147" t="s">
        <v>370</v>
      </c>
      <c r="D6" s="143">
        <v>195</v>
      </c>
      <c r="E6" s="122" t="s">
        <v>293</v>
      </c>
      <c r="I6" s="159"/>
      <c r="K6" s="157"/>
      <c r="L6" s="157"/>
      <c r="M6" s="124"/>
      <c r="N6" s="125"/>
      <c r="Q6" s="128"/>
      <c r="R6" s="123"/>
      <c r="T6" s="129"/>
    </row>
    <row r="7" spans="2:20" x14ac:dyDescent="0.5">
      <c r="C7" s="131" t="s">
        <v>301</v>
      </c>
      <c r="D7" s="139">
        <v>300</v>
      </c>
      <c r="E7" s="160" t="s">
        <v>291</v>
      </c>
      <c r="I7" s="159"/>
      <c r="K7" s="157"/>
      <c r="L7" s="157"/>
      <c r="M7" s="124"/>
      <c r="N7" s="125"/>
      <c r="Q7" s="128"/>
      <c r="R7" s="123"/>
      <c r="T7" s="129"/>
    </row>
    <row r="8" spans="2:20" x14ac:dyDescent="0.5">
      <c r="C8" s="131" t="s">
        <v>302</v>
      </c>
      <c r="D8" s="139">
        <v>2800</v>
      </c>
      <c r="E8" s="160" t="s">
        <v>291</v>
      </c>
      <c r="K8" s="157"/>
      <c r="L8" s="157"/>
      <c r="M8" s="124"/>
      <c r="N8" s="125"/>
      <c r="Q8" s="128"/>
      <c r="R8" s="123"/>
      <c r="T8" s="129"/>
    </row>
    <row r="9" spans="2:20" x14ac:dyDescent="0.5">
      <c r="C9" s="131" t="s">
        <v>338</v>
      </c>
      <c r="D9" s="137">
        <v>50</v>
      </c>
      <c r="E9" s="160" t="s">
        <v>291</v>
      </c>
      <c r="K9" s="157"/>
      <c r="L9" s="157"/>
      <c r="M9" s="124"/>
      <c r="N9" s="125"/>
      <c r="Q9" s="128"/>
      <c r="R9" s="123"/>
      <c r="T9" s="129"/>
    </row>
    <row r="10" spans="2:20" x14ac:dyDescent="0.5">
      <c r="K10" s="157"/>
      <c r="L10" s="157"/>
      <c r="M10" s="124"/>
      <c r="N10" s="125"/>
      <c r="Q10" s="128"/>
      <c r="R10" s="123"/>
      <c r="T10" s="129"/>
    </row>
    <row r="11" spans="2:20" x14ac:dyDescent="0.5">
      <c r="C11" s="131" t="s">
        <v>333</v>
      </c>
      <c r="D11" s="137" t="s">
        <v>29</v>
      </c>
      <c r="E11" s="160"/>
      <c r="K11" s="157"/>
      <c r="L11" s="157"/>
      <c r="M11" s="124"/>
      <c r="N11" s="125"/>
      <c r="Q11" s="128"/>
      <c r="R11" s="123"/>
      <c r="T11" s="129"/>
    </row>
    <row r="12" spans="2:20" x14ac:dyDescent="0.5">
      <c r="C12" s="131" t="s">
        <v>309</v>
      </c>
      <c r="D12" s="137">
        <v>200</v>
      </c>
      <c r="E12" s="122" t="s">
        <v>291</v>
      </c>
      <c r="F12" s="122" t="s">
        <v>344</v>
      </c>
      <c r="L12" s="157"/>
      <c r="M12" s="124"/>
      <c r="N12" s="125"/>
      <c r="Q12" s="128"/>
      <c r="R12" s="123"/>
      <c r="T12" s="129"/>
    </row>
    <row r="13" spans="2:20" x14ac:dyDescent="0.5">
      <c r="C13" s="131" t="s">
        <v>345</v>
      </c>
      <c r="D13" s="253">
        <f>barx(D11,1)</f>
        <v>71</v>
      </c>
      <c r="E13" s="122" t="s">
        <v>366</v>
      </c>
      <c r="F13" s="122" t="s">
        <v>342</v>
      </c>
      <c r="L13" s="157"/>
      <c r="M13" s="124"/>
      <c r="N13" s="125"/>
      <c r="Q13" s="128"/>
      <c r="R13" s="123"/>
      <c r="T13" s="129"/>
    </row>
    <row r="14" spans="2:20" x14ac:dyDescent="0.5">
      <c r="C14" s="131" t="s">
        <v>368</v>
      </c>
      <c r="D14" s="253">
        <f>barx(D11,4)</f>
        <v>11</v>
      </c>
      <c r="E14" s="122" t="s">
        <v>291</v>
      </c>
      <c r="F14" s="122" t="s">
        <v>337</v>
      </c>
      <c r="L14" s="157"/>
      <c r="M14" s="124"/>
      <c r="N14" s="125"/>
      <c r="Q14" s="128"/>
      <c r="R14" s="123"/>
      <c r="T14" s="129"/>
    </row>
    <row r="15" spans="2:20" x14ac:dyDescent="0.5">
      <c r="D15" s="131" t="s">
        <v>339</v>
      </c>
      <c r="E15" s="122">
        <f>D7-D9*2-D14</f>
        <v>189</v>
      </c>
      <c r="F15" s="160" t="s">
        <v>291</v>
      </c>
      <c r="L15" s="157"/>
      <c r="M15" s="124"/>
      <c r="N15" s="125"/>
      <c r="Q15" s="128"/>
      <c r="R15" s="123"/>
      <c r="T15" s="129"/>
    </row>
    <row r="16" spans="2:20" x14ac:dyDescent="0.5">
      <c r="D16" s="131" t="s">
        <v>340</v>
      </c>
      <c r="E16" s="122">
        <f>D8-D9*2-D14</f>
        <v>2689</v>
      </c>
      <c r="F16" s="160" t="s">
        <v>291</v>
      </c>
      <c r="K16" s="157"/>
      <c r="L16" s="157"/>
      <c r="M16" s="124"/>
      <c r="N16" s="125"/>
      <c r="Q16" s="128"/>
      <c r="R16" s="123"/>
      <c r="T16" s="129"/>
    </row>
    <row r="17" spans="2:20" x14ac:dyDescent="0.5">
      <c r="C17" s="131"/>
      <c r="D17" s="131" t="s">
        <v>306</v>
      </c>
      <c r="E17" s="144">
        <f>ROUND(E15*E16/1000/1000,3)</f>
        <v>0.50800000000000001</v>
      </c>
      <c r="F17" s="122" t="s">
        <v>307</v>
      </c>
      <c r="I17" s="159"/>
      <c r="K17" s="157"/>
      <c r="L17" s="157"/>
      <c r="M17" s="124"/>
      <c r="N17" s="125"/>
      <c r="Q17" s="128"/>
      <c r="R17" s="123"/>
      <c r="T17" s="129"/>
    </row>
    <row r="18" spans="2:20" x14ac:dyDescent="0.5">
      <c r="C18" s="131"/>
      <c r="D18" s="131" t="s">
        <v>319</v>
      </c>
      <c r="E18" s="145">
        <f>(E15+E16)*2</f>
        <v>5756</v>
      </c>
      <c r="F18" s="122" t="s">
        <v>291</v>
      </c>
      <c r="I18" s="159"/>
      <c r="K18" s="157"/>
      <c r="L18" s="157"/>
      <c r="M18" s="124"/>
      <c r="N18" s="125"/>
      <c r="Q18" s="128"/>
      <c r="R18" s="123"/>
      <c r="T18" s="129"/>
    </row>
    <row r="19" spans="2:20" x14ac:dyDescent="0.5">
      <c r="I19" s="159"/>
      <c r="K19" s="157"/>
      <c r="L19" s="157"/>
      <c r="M19" s="124"/>
      <c r="N19" s="125"/>
      <c r="Q19" s="128"/>
      <c r="R19" s="123"/>
      <c r="T19" s="129"/>
    </row>
    <row r="20" spans="2:20" x14ac:dyDescent="0.5">
      <c r="B20" s="122" t="s">
        <v>313</v>
      </c>
      <c r="I20" s="159"/>
      <c r="K20" s="124"/>
      <c r="L20" s="124"/>
      <c r="M20" s="124"/>
      <c r="N20" s="125"/>
      <c r="Q20" s="128"/>
      <c r="R20" s="123"/>
      <c r="T20" s="129"/>
    </row>
    <row r="21" spans="2:20" x14ac:dyDescent="0.5">
      <c r="D21" s="131" t="s">
        <v>284</v>
      </c>
      <c r="E21" s="200">
        <f>0.5*(1.8+24*0.2)*2^2</f>
        <v>13.200000000000001</v>
      </c>
      <c r="F21" s="133" t="s">
        <v>285</v>
      </c>
      <c r="G21" s="133"/>
      <c r="H21" s="134"/>
      <c r="K21" s="124"/>
      <c r="L21" s="124"/>
      <c r="M21" s="124"/>
      <c r="N21" s="125"/>
      <c r="O21" s="163">
        <v>750</v>
      </c>
      <c r="P21" s="164"/>
      <c r="Q21" s="128"/>
      <c r="R21" s="123"/>
      <c r="T21" s="129"/>
    </row>
    <row r="22" spans="2:20" x14ac:dyDescent="0.5">
      <c r="D22" s="137"/>
      <c r="E22" s="132">
        <v>0</v>
      </c>
      <c r="F22" s="133"/>
      <c r="J22" s="123"/>
      <c r="K22" s="124"/>
      <c r="L22" s="124"/>
      <c r="M22" s="124"/>
      <c r="N22" s="124"/>
      <c r="O22" s="124"/>
      <c r="P22" s="124"/>
      <c r="Q22" s="135"/>
      <c r="R22" s="124"/>
      <c r="T22" s="136"/>
    </row>
    <row r="23" spans="2:20" x14ac:dyDescent="0.5">
      <c r="C23" s="131"/>
      <c r="D23" s="131" t="s">
        <v>297</v>
      </c>
      <c r="E23" s="201">
        <f>SUM(E21:E22)</f>
        <v>13.200000000000001</v>
      </c>
      <c r="F23" s="133" t="s">
        <v>285</v>
      </c>
      <c r="G23" s="133"/>
      <c r="H23" s="133"/>
      <c r="K23" s="124"/>
      <c r="L23" s="124"/>
      <c r="M23" s="124"/>
      <c r="N23" s="124"/>
      <c r="O23" s="124"/>
      <c r="P23" s="124"/>
      <c r="Q23" s="124"/>
      <c r="R23" s="124"/>
    </row>
    <row r="24" spans="2:20" ht="15" customHeight="1" x14ac:dyDescent="0.5">
      <c r="C24" s="131"/>
      <c r="D24" s="131"/>
      <c r="E24" s="138"/>
      <c r="F24" s="133"/>
      <c r="G24" s="133"/>
      <c r="H24" s="133"/>
      <c r="K24" s="124"/>
      <c r="L24" s="124"/>
      <c r="M24" s="131"/>
      <c r="T24" s="140">
        <v>350</v>
      </c>
    </row>
    <row r="25" spans="2:20" ht="15" customHeight="1" x14ac:dyDescent="0.5">
      <c r="C25" s="131"/>
      <c r="D25" s="131" t="s">
        <v>289</v>
      </c>
      <c r="E25" s="131">
        <f>MIN(D7:D8)</f>
        <v>300</v>
      </c>
      <c r="F25" s="122" t="s">
        <v>291</v>
      </c>
      <c r="K25" s="124"/>
      <c r="L25" s="124"/>
      <c r="M25" s="131"/>
      <c r="T25" s="159"/>
    </row>
    <row r="26" spans="2:20" ht="13.5" customHeight="1" x14ac:dyDescent="0.5">
      <c r="D26" s="131" t="s">
        <v>290</v>
      </c>
      <c r="E26" s="131">
        <f>MAX(D7:D8)</f>
        <v>2800</v>
      </c>
      <c r="F26" s="122" t="s">
        <v>291</v>
      </c>
      <c r="H26" s="133"/>
      <c r="K26" s="123"/>
      <c r="L26" s="124"/>
      <c r="M26" s="131"/>
      <c r="T26" s="123"/>
    </row>
    <row r="27" spans="2:20" x14ac:dyDescent="0.5">
      <c r="D27" s="131" t="s">
        <v>292</v>
      </c>
      <c r="E27" s="137">
        <v>0.7</v>
      </c>
      <c r="F27" s="122" t="s">
        <v>293</v>
      </c>
      <c r="K27" s="123"/>
      <c r="L27" s="159"/>
      <c r="M27" s="131"/>
      <c r="N27" s="131"/>
      <c r="O27" s="137"/>
      <c r="P27" s="160"/>
      <c r="Q27" s="123"/>
      <c r="R27" s="123"/>
    </row>
    <row r="28" spans="2:20" x14ac:dyDescent="0.5">
      <c r="D28" s="131" t="s">
        <v>328</v>
      </c>
      <c r="E28" s="160" t="str">
        <f>CONCATENATE(E25,"^2*",E26,"*",E27,"*(4/3)/1000/1000")</f>
        <v>300^2*2800*0.7*(4/3)/1000/1000</v>
      </c>
      <c r="F28" s="160"/>
      <c r="G28" s="160"/>
      <c r="H28" s="160"/>
      <c r="I28" s="160"/>
      <c r="L28" s="159"/>
    </row>
    <row r="29" spans="2:20" x14ac:dyDescent="0.5">
      <c r="D29" s="131" t="s">
        <v>329</v>
      </c>
      <c r="E29" s="161">
        <f>answer1(E28)</f>
        <v>235.2</v>
      </c>
      <c r="F29" s="141" t="str">
        <f>IF(E29&gt;H29,"&gt;","･･･NG")</f>
        <v>&gt;</v>
      </c>
      <c r="G29" s="141" t="str">
        <f>+D23</f>
        <v>T＝</v>
      </c>
      <c r="H29" s="202">
        <f>E23</f>
        <v>13.200000000000001</v>
      </c>
      <c r="I29" s="142" t="str">
        <f>IF(E29&gt;H29,"･･･O.K.","･･･NG")</f>
        <v>･･･O.K.</v>
      </c>
      <c r="J29" s="160"/>
      <c r="L29" s="159"/>
    </row>
    <row r="31" spans="2:20" ht="13.5" customHeight="1" x14ac:dyDescent="0.5">
      <c r="B31" s="122" t="s">
        <v>20</v>
      </c>
      <c r="L31" s="137"/>
    </row>
    <row r="33" spans="2:28" ht="12.75" customHeight="1" x14ac:dyDescent="0.5">
      <c r="B33" s="122" t="s">
        <v>314</v>
      </c>
    </row>
    <row r="34" spans="2:28" ht="12.75" customHeight="1" x14ac:dyDescent="0.5">
      <c r="B34" s="131" t="s">
        <v>3</v>
      </c>
      <c r="C34" s="122" t="s">
        <v>367</v>
      </c>
    </row>
    <row r="35" spans="2:28" x14ac:dyDescent="0.5">
      <c r="B35" s="131" t="s">
        <v>3</v>
      </c>
      <c r="C35" s="122" t="str">
        <f>CONCATENATE(ROUND(H29,1),"*1000*1000*",D12,"/(2*",D6,"*",E17,"*1000*1000*",D7,")")</f>
        <v>13.2*1000*1000*200/(2*195*0.508*1000*1000*300)</v>
      </c>
    </row>
    <row r="36" spans="2:28" x14ac:dyDescent="0.5">
      <c r="B36" s="131" t="s">
        <v>3</v>
      </c>
      <c r="C36" s="254">
        <f>answer1(C35)</f>
        <v>4.4417524732485364E-2</v>
      </c>
      <c r="D36" s="137" t="s">
        <v>312</v>
      </c>
      <c r="E36" s="131" t="s">
        <v>345</v>
      </c>
      <c r="F36" s="137">
        <f>D13</f>
        <v>71</v>
      </c>
      <c r="G36" s="142" t="str">
        <f>IF(C36&lt;F36,"･･･O.K.","･･･NG")</f>
        <v>･･･O.K.</v>
      </c>
      <c r="J36" s="146"/>
      <c r="K36" s="146"/>
      <c r="L36" s="158"/>
    </row>
    <row r="37" spans="2:28" x14ac:dyDescent="0.5">
      <c r="B37" s="131"/>
    </row>
    <row r="38" spans="2:28" x14ac:dyDescent="0.5">
      <c r="B38" s="122" t="s">
        <v>315</v>
      </c>
      <c r="Y38" s="123"/>
      <c r="Z38" s="123"/>
      <c r="AA38" s="123"/>
    </row>
    <row r="39" spans="2:28" x14ac:dyDescent="0.5">
      <c r="B39" s="131" t="s">
        <v>316</v>
      </c>
      <c r="C39" s="122" t="s">
        <v>318</v>
      </c>
      <c r="N39" s="131"/>
      <c r="O39" s="137"/>
      <c r="Y39" s="159"/>
      <c r="Z39" s="159"/>
      <c r="AA39" s="159"/>
      <c r="AB39" s="123"/>
    </row>
    <row r="40" spans="2:28" ht="12.75" customHeight="1" x14ac:dyDescent="0.5">
      <c r="B40" s="131" t="s">
        <v>316</v>
      </c>
      <c r="C40" s="122" t="str">
        <f>CONCATENATE(ROUND(E23,1),"*10^6*",E18,"/(2*",D6,"*",E17,"*1000*1000)")</f>
        <v>13.2*10^6*5756/(2*195*0.508*1000*1000)</v>
      </c>
      <c r="N40" s="131"/>
      <c r="O40" s="161"/>
      <c r="Q40" s="123"/>
      <c r="R40" s="123"/>
      <c r="S40" s="123"/>
      <c r="T40" s="123"/>
      <c r="U40" s="123"/>
      <c r="X40" s="131"/>
      <c r="Y40" s="159"/>
      <c r="Z40" s="159"/>
      <c r="AA40" s="159"/>
      <c r="AB40" s="123"/>
    </row>
    <row r="41" spans="2:28" ht="12.75" customHeight="1" x14ac:dyDescent="0.55000000000000004">
      <c r="B41" s="131" t="s">
        <v>316</v>
      </c>
      <c r="C41" s="161">
        <f>answer1(C40)</f>
        <v>383.5009085402786</v>
      </c>
      <c r="D41" s="122" t="s">
        <v>312</v>
      </c>
      <c r="E41" s="131" t="s">
        <v>295</v>
      </c>
      <c r="F41" s="137">
        <f>+G47</f>
        <v>1871</v>
      </c>
      <c r="G41" s="142" t="str">
        <f>IF(C41&lt;F41,"･･･O.K.","･･･NG")</f>
        <v>･･･O.K.</v>
      </c>
      <c r="Q41" s="123"/>
      <c r="R41" s="123"/>
      <c r="S41" s="123"/>
      <c r="T41" s="154"/>
      <c r="U41" s="199"/>
      <c r="X41" s="131"/>
      <c r="Y41" s="159"/>
      <c r="Z41" s="159"/>
      <c r="AA41" s="159"/>
      <c r="AB41" s="123"/>
    </row>
    <row r="42" spans="2:28" ht="12.75" customHeight="1" x14ac:dyDescent="0.55000000000000004">
      <c r="Q42" s="123"/>
      <c r="R42" s="123"/>
      <c r="S42" s="123"/>
      <c r="T42" s="154"/>
      <c r="U42" s="199"/>
      <c r="Y42" s="159"/>
      <c r="Z42" s="159"/>
      <c r="AA42" s="159"/>
      <c r="AB42" s="123"/>
    </row>
    <row r="43" spans="2:28" ht="12.75" customHeight="1" x14ac:dyDescent="0.5">
      <c r="C43" s="160" t="s">
        <v>216</v>
      </c>
      <c r="Q43" s="147"/>
      <c r="R43" s="147"/>
      <c r="S43" s="123"/>
      <c r="T43" s="148"/>
      <c r="U43" s="148"/>
      <c r="X43" s="131"/>
      <c r="Y43" s="159"/>
      <c r="Z43" s="159"/>
      <c r="AA43" s="159"/>
      <c r="AB43" s="123"/>
    </row>
    <row r="44" spans="2:28" x14ac:dyDescent="0.5">
      <c r="C44" s="149"/>
      <c r="D44" s="149" t="s">
        <v>239</v>
      </c>
      <c r="E44" s="149" t="s">
        <v>323</v>
      </c>
      <c r="F44" s="149" t="s">
        <v>324</v>
      </c>
      <c r="G44" s="149" t="s">
        <v>325</v>
      </c>
      <c r="H44" s="137"/>
      <c r="X44" s="131"/>
      <c r="Y44" s="159"/>
      <c r="Z44" s="159"/>
      <c r="AA44" s="159"/>
    </row>
    <row r="45" spans="2:28" x14ac:dyDescent="0.5">
      <c r="C45" s="149" t="s">
        <v>320</v>
      </c>
      <c r="D45" s="150" t="s">
        <v>37</v>
      </c>
      <c r="E45" s="151">
        <f>barx(D45,1)</f>
        <v>387</v>
      </c>
      <c r="F45" s="149">
        <v>3</v>
      </c>
      <c r="G45" s="203">
        <f>E45*F45</f>
        <v>1161</v>
      </c>
      <c r="H45" s="160"/>
      <c r="Y45" s="159"/>
      <c r="Z45" s="159"/>
      <c r="AA45" s="159"/>
    </row>
    <row r="46" spans="2:28" x14ac:dyDescent="0.5">
      <c r="C46" s="149" t="s">
        <v>321</v>
      </c>
      <c r="D46" s="150" t="s">
        <v>29</v>
      </c>
      <c r="E46" s="151">
        <f>barx(D46,1)</f>
        <v>71</v>
      </c>
      <c r="F46" s="151">
        <v>10</v>
      </c>
      <c r="G46" s="149">
        <f>+E46*F46</f>
        <v>710</v>
      </c>
      <c r="I46" s="160"/>
      <c r="X46" s="131"/>
      <c r="Y46" s="137"/>
      <c r="Z46" s="137"/>
      <c r="AA46" s="137"/>
    </row>
    <row r="47" spans="2:28" x14ac:dyDescent="0.5">
      <c r="C47" s="152"/>
      <c r="D47" s="152"/>
      <c r="E47" s="152"/>
      <c r="F47" s="153" t="s">
        <v>346</v>
      </c>
      <c r="G47" s="204">
        <f>SUM(G45:G46)</f>
        <v>1871</v>
      </c>
      <c r="I47" s="160"/>
      <c r="J47" s="160"/>
      <c r="X47" s="131"/>
      <c r="Y47" s="137"/>
      <c r="Z47" s="137"/>
      <c r="AA47" s="137"/>
    </row>
    <row r="48" spans="2:28" x14ac:dyDescent="0.5">
      <c r="I48" s="160"/>
    </row>
  </sheetData>
  <mergeCells count="2">
    <mergeCell ref="K3:L3"/>
    <mergeCell ref="O21:P21"/>
  </mergeCells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976D-B9A8-49A0-9B4E-487FE7425EBC}">
  <sheetPr codeName="Sheet1"/>
  <dimension ref="B2:AB33"/>
  <sheetViews>
    <sheetView view="pageBreakPreview" topLeftCell="A10" zoomScaleNormal="100" workbookViewId="0">
      <selection activeCell="Z13" sqref="Z13"/>
    </sheetView>
  </sheetViews>
  <sheetFormatPr defaultColWidth="9" defaultRowHeight="14.1" x14ac:dyDescent="0.5"/>
  <cols>
    <col min="1" max="1" width="2.62890625" style="122" customWidth="1"/>
    <col min="2" max="2" width="14.62890625" style="122" customWidth="1"/>
    <col min="3" max="3" width="15.62890625" style="122" customWidth="1"/>
    <col min="4" max="4" width="5.62890625" style="122" customWidth="1"/>
    <col min="5" max="5" width="5.26171875" style="122" customWidth="1"/>
    <col min="6" max="6" width="5.62890625" style="122" customWidth="1"/>
    <col min="7" max="7" width="5.47265625" style="122" customWidth="1"/>
    <col min="8" max="8" width="5.62890625" style="122" customWidth="1"/>
    <col min="9" max="9" width="8.62890625" style="122" customWidth="1"/>
    <col min="10" max="10" width="3.62890625" style="122" customWidth="1"/>
    <col min="11" max="11" width="4.62890625" style="122" customWidth="1"/>
    <col min="12" max="12" width="3.62890625" style="122" customWidth="1"/>
    <col min="13" max="16" width="6.62890625" style="122" customWidth="1"/>
    <col min="17" max="17" width="3.62890625" style="122" customWidth="1"/>
    <col min="18" max="18" width="0.89453125" style="122" customWidth="1"/>
    <col min="19" max="19" width="2.26171875" style="122" customWidth="1"/>
    <col min="20" max="20" width="6.62890625" style="122" customWidth="1"/>
    <col min="21" max="16384" width="9" style="122"/>
  </cols>
  <sheetData>
    <row r="2" spans="2:20" ht="14.4" thickBot="1" x14ac:dyDescent="0.55000000000000004">
      <c r="B2" s="120" t="s">
        <v>348</v>
      </c>
      <c r="C2" s="121"/>
      <c r="K2" s="123"/>
      <c r="L2" s="123"/>
      <c r="M2" s="123"/>
    </row>
    <row r="3" spans="2:20" ht="14.4" thickTop="1" x14ac:dyDescent="0.5">
      <c r="I3" s="159"/>
      <c r="K3" s="162"/>
      <c r="L3" s="162"/>
      <c r="M3" s="124"/>
      <c r="N3" s="125"/>
      <c r="Q3" s="126"/>
      <c r="R3" s="123"/>
      <c r="T3" s="127"/>
    </row>
    <row r="4" spans="2:20" x14ac:dyDescent="0.5">
      <c r="B4" s="122" t="s">
        <v>313</v>
      </c>
      <c r="I4" s="159"/>
      <c r="K4" s="124"/>
      <c r="L4" s="124"/>
      <c r="M4" s="124"/>
      <c r="N4" s="125"/>
      <c r="Q4" s="128"/>
      <c r="R4" s="123"/>
      <c r="T4" s="129"/>
    </row>
    <row r="5" spans="2:20" x14ac:dyDescent="0.5">
      <c r="I5" s="130"/>
      <c r="K5" s="124"/>
      <c r="L5" s="124"/>
      <c r="M5" s="124"/>
      <c r="N5" s="125"/>
      <c r="O5" s="163">
        <v>750</v>
      </c>
      <c r="P5" s="164"/>
      <c r="Q5" s="128"/>
      <c r="R5" s="123"/>
      <c r="T5" s="129"/>
    </row>
    <row r="6" spans="2:20" x14ac:dyDescent="0.5">
      <c r="C6" s="131" t="s">
        <v>284</v>
      </c>
      <c r="D6" s="200">
        <f>0.5*(1.8+24*0.2)*2^2</f>
        <v>13.200000000000001</v>
      </c>
      <c r="E6" s="133" t="s">
        <v>285</v>
      </c>
      <c r="F6" s="133"/>
      <c r="G6" s="134"/>
      <c r="I6" s="123"/>
      <c r="K6" s="124"/>
      <c r="L6" s="124"/>
      <c r="M6" s="124"/>
      <c r="N6" s="124"/>
      <c r="O6" s="124"/>
      <c r="P6" s="124"/>
      <c r="Q6" s="135"/>
      <c r="R6" s="124"/>
      <c r="T6" s="136"/>
    </row>
    <row r="7" spans="2:20" x14ac:dyDescent="0.5">
      <c r="B7" s="131"/>
      <c r="C7" s="137"/>
      <c r="D7" s="132">
        <v>0</v>
      </c>
      <c r="E7" s="133"/>
      <c r="K7" s="124"/>
      <c r="L7" s="124"/>
      <c r="M7" s="124"/>
      <c r="N7" s="124"/>
      <c r="O7" s="124"/>
      <c r="P7" s="124"/>
      <c r="Q7" s="124"/>
      <c r="R7" s="124"/>
    </row>
    <row r="8" spans="2:20" ht="15" customHeight="1" x14ac:dyDescent="0.5">
      <c r="B8" s="131"/>
      <c r="C8" s="131" t="s">
        <v>297</v>
      </c>
      <c r="D8" s="201">
        <f>SUM(D6:D7)</f>
        <v>13.200000000000001</v>
      </c>
      <c r="E8" s="133" t="s">
        <v>285</v>
      </c>
      <c r="F8" s="133"/>
      <c r="G8" s="133"/>
      <c r="K8" s="124"/>
      <c r="L8" s="124"/>
      <c r="M8" s="131"/>
      <c r="N8" s="131" t="s">
        <v>301</v>
      </c>
      <c r="O8" s="139">
        <f>+T8</f>
        <v>350</v>
      </c>
      <c r="P8" s="160" t="s">
        <v>291</v>
      </c>
      <c r="T8" s="140">
        <v>350</v>
      </c>
    </row>
    <row r="9" spans="2:20" ht="15" customHeight="1" x14ac:dyDescent="0.5">
      <c r="B9" s="131"/>
      <c r="C9" s="131"/>
      <c r="D9" s="138"/>
      <c r="E9" s="133"/>
      <c r="F9" s="133"/>
      <c r="G9" s="133"/>
      <c r="K9" s="124"/>
      <c r="L9" s="124"/>
      <c r="M9" s="131"/>
      <c r="N9" s="131" t="s">
        <v>302</v>
      </c>
      <c r="O9" s="139">
        <v>2800</v>
      </c>
      <c r="P9" s="160" t="s">
        <v>291</v>
      </c>
      <c r="T9" s="159"/>
    </row>
    <row r="10" spans="2:20" ht="13.5" customHeight="1" x14ac:dyDescent="0.5">
      <c r="C10" s="131" t="s">
        <v>289</v>
      </c>
      <c r="D10" s="131">
        <f>MIN(O8:O9)</f>
        <v>350</v>
      </c>
      <c r="E10" s="122" t="s">
        <v>291</v>
      </c>
      <c r="K10" s="123"/>
      <c r="L10" s="124"/>
      <c r="M10" s="131"/>
      <c r="N10" s="131" t="s">
        <v>338</v>
      </c>
      <c r="O10" s="137">
        <v>125</v>
      </c>
      <c r="P10" s="160" t="s">
        <v>291</v>
      </c>
      <c r="T10" s="123"/>
    </row>
    <row r="11" spans="2:20" x14ac:dyDescent="0.5">
      <c r="C11" s="131" t="s">
        <v>290</v>
      </c>
      <c r="D11" s="131">
        <f>MAX(O8:O9)</f>
        <v>2800</v>
      </c>
      <c r="E11" s="122" t="s">
        <v>291</v>
      </c>
      <c r="G11" s="133"/>
      <c r="K11" s="123"/>
      <c r="L11" s="159"/>
      <c r="M11" s="131"/>
      <c r="N11" s="131"/>
      <c r="O11" s="137"/>
      <c r="P11" s="160"/>
      <c r="Q11" s="123"/>
      <c r="R11" s="123"/>
    </row>
    <row r="12" spans="2:20" x14ac:dyDescent="0.5">
      <c r="C12" s="131" t="s">
        <v>292</v>
      </c>
      <c r="D12" s="122">
        <v>0.7</v>
      </c>
      <c r="E12" s="122" t="s">
        <v>293</v>
      </c>
      <c r="L12" s="159"/>
      <c r="N12" s="131" t="s">
        <v>333</v>
      </c>
      <c r="O12" s="122" t="s">
        <v>334</v>
      </c>
      <c r="P12" s="160"/>
    </row>
    <row r="13" spans="2:20" x14ac:dyDescent="0.5">
      <c r="C13" s="131" t="s">
        <v>328</v>
      </c>
      <c r="D13" s="167" t="str">
        <f>CONCATENATE(D10,"^2*",D11,"*",D12,"*(4/3)/1000/1000")</f>
        <v>350^2*2800*0.7*(4/3)/1000/1000</v>
      </c>
      <c r="E13" s="167"/>
      <c r="F13" s="167"/>
      <c r="G13" s="167"/>
      <c r="H13" s="167"/>
      <c r="I13" s="167"/>
      <c r="L13" s="159"/>
      <c r="N13" s="131" t="s">
        <v>341</v>
      </c>
      <c r="O13" s="137">
        <v>200</v>
      </c>
      <c r="P13" s="122" t="s">
        <v>343</v>
      </c>
      <c r="Q13" s="122" t="s">
        <v>344</v>
      </c>
    </row>
    <row r="14" spans="2:20" x14ac:dyDescent="0.5">
      <c r="C14" s="131" t="s">
        <v>329</v>
      </c>
      <c r="D14" s="168">
        <f>answer1(D13)</f>
        <v>320.13333333333327</v>
      </c>
      <c r="E14" s="168"/>
      <c r="F14" s="141" t="str">
        <f>IF(D14&gt;H14,"&gt;","･･･NG")</f>
        <v>&gt;</v>
      </c>
      <c r="G14" s="141" t="str">
        <f>+C8</f>
        <v>T＝</v>
      </c>
      <c r="H14" s="202">
        <f>D8</f>
        <v>13.200000000000001</v>
      </c>
      <c r="I14" s="142" t="str">
        <f>IF(D14&gt;H14,"･･･O.K.","･･･NG")</f>
        <v>･･･O.K.</v>
      </c>
      <c r="N14" s="131" t="s">
        <v>335</v>
      </c>
      <c r="O14" s="137">
        <f>Bar_1(O12,1)</f>
        <v>71</v>
      </c>
      <c r="P14" s="122" t="s">
        <v>343</v>
      </c>
      <c r="Q14" s="122" t="s">
        <v>342</v>
      </c>
    </row>
    <row r="15" spans="2:20" ht="13.5" customHeight="1" x14ac:dyDescent="0.5">
      <c r="C15" s="169"/>
      <c r="D15" s="169"/>
      <c r="L15" s="137"/>
      <c r="N15" s="131" t="s">
        <v>336</v>
      </c>
      <c r="O15" s="137">
        <f>Bar_1(O12,4)</f>
        <v>11</v>
      </c>
      <c r="P15" s="122" t="s">
        <v>343</v>
      </c>
      <c r="Q15" s="122" t="s">
        <v>337</v>
      </c>
    </row>
    <row r="17" spans="2:28" ht="12.75" customHeight="1" x14ac:dyDescent="0.5">
      <c r="B17" s="122" t="s">
        <v>20</v>
      </c>
    </row>
    <row r="18" spans="2:28" ht="12.75" customHeight="1" x14ac:dyDescent="0.5">
      <c r="N18" s="131" t="s">
        <v>339</v>
      </c>
      <c r="O18" s="122">
        <f>O8-O10*2-O15</f>
        <v>89</v>
      </c>
      <c r="P18" s="160" t="s">
        <v>291</v>
      </c>
    </row>
    <row r="19" spans="2:28" ht="15" x14ac:dyDescent="0.55000000000000004">
      <c r="B19" s="122" t="s">
        <v>314</v>
      </c>
      <c r="N19" s="131" t="s">
        <v>340</v>
      </c>
      <c r="O19" s="122">
        <f>O9-O10*2-O15</f>
        <v>2539</v>
      </c>
      <c r="P19" s="160" t="s">
        <v>291</v>
      </c>
      <c r="Q19" s="165" t="s">
        <v>18</v>
      </c>
      <c r="R19" s="165"/>
      <c r="S19" s="166"/>
      <c r="T19" s="143">
        <v>21</v>
      </c>
      <c r="U19" s="122" t="s">
        <v>293</v>
      </c>
    </row>
    <row r="20" spans="2:28" ht="15" x14ac:dyDescent="0.55000000000000004">
      <c r="B20" s="131" t="s">
        <v>3</v>
      </c>
      <c r="C20" s="122" t="s">
        <v>317</v>
      </c>
      <c r="J20" s="146"/>
      <c r="K20" s="146"/>
      <c r="L20" s="158"/>
      <c r="M20" s="131"/>
      <c r="N20" s="131" t="s">
        <v>306</v>
      </c>
      <c r="O20" s="144">
        <f>ROUND(O18*O19/1000/1000,3)</f>
        <v>0.22600000000000001</v>
      </c>
      <c r="P20" s="122" t="s">
        <v>307</v>
      </c>
      <c r="Q20" s="165" t="s">
        <v>347</v>
      </c>
      <c r="R20" s="165"/>
      <c r="S20" s="166"/>
      <c r="T20" s="143">
        <v>345</v>
      </c>
      <c r="U20" s="122" t="s">
        <v>293</v>
      </c>
    </row>
    <row r="21" spans="2:28" ht="15" x14ac:dyDescent="0.55000000000000004">
      <c r="B21" s="131" t="s">
        <v>3</v>
      </c>
      <c r="C21" s="122" t="str">
        <f>CONCATENATE(ROUND(H14,1),"*1000*1000*",O13,"/(2*",T21,"*",O20,"*1000*1000)")</f>
        <v>13.2*1000*1000*200/(2*295*0.226*1000*1000)</v>
      </c>
      <c r="M21" s="131"/>
      <c r="N21" s="131" t="s">
        <v>319</v>
      </c>
      <c r="O21" s="145">
        <f>(O18+O19)*2</f>
        <v>5256</v>
      </c>
      <c r="P21" s="122" t="s">
        <v>291</v>
      </c>
      <c r="Q21" s="155" t="s">
        <v>332</v>
      </c>
      <c r="R21" s="155"/>
      <c r="S21" s="156"/>
      <c r="T21" s="143">
        <v>295</v>
      </c>
      <c r="U21" s="122" t="s">
        <v>293</v>
      </c>
    </row>
    <row r="22" spans="2:28" x14ac:dyDescent="0.5">
      <c r="B22" s="131" t="s">
        <v>3</v>
      </c>
      <c r="C22" s="141">
        <f>answer1(C21)</f>
        <v>19.799010049497525</v>
      </c>
      <c r="D22" s="122" t="s">
        <v>312</v>
      </c>
      <c r="E22" s="131" t="s">
        <v>345</v>
      </c>
      <c r="F22" s="137">
        <f>O14</f>
        <v>71</v>
      </c>
      <c r="G22" s="142" t="str">
        <f>IF(C22&lt;F22,"･･･O.K.","･･･NG")</f>
        <v>･･･O.K.</v>
      </c>
      <c r="Y22" s="123"/>
      <c r="Z22" s="123"/>
      <c r="AA22" s="123"/>
    </row>
    <row r="23" spans="2:28" x14ac:dyDescent="0.5">
      <c r="B23" s="131"/>
      <c r="N23" s="131"/>
      <c r="O23" s="137"/>
      <c r="Y23" s="159"/>
      <c r="Z23" s="159"/>
      <c r="AA23" s="159"/>
      <c r="AB23" s="123"/>
    </row>
    <row r="24" spans="2:28" ht="12.75" customHeight="1" x14ac:dyDescent="0.5">
      <c r="B24" s="122" t="s">
        <v>315</v>
      </c>
      <c r="N24" s="131"/>
      <c r="O24" s="161"/>
      <c r="Q24" s="123"/>
      <c r="R24" s="123"/>
      <c r="S24" s="123"/>
      <c r="T24" s="123"/>
      <c r="U24" s="123"/>
      <c r="X24" s="131"/>
      <c r="Y24" s="159"/>
      <c r="Z24" s="159"/>
      <c r="AA24" s="159"/>
      <c r="AB24" s="123"/>
    </row>
    <row r="25" spans="2:28" ht="12.75" customHeight="1" x14ac:dyDescent="0.55000000000000004">
      <c r="B25" s="131" t="s">
        <v>316</v>
      </c>
      <c r="C25" s="122" t="s">
        <v>318</v>
      </c>
      <c r="Q25" s="123"/>
      <c r="R25" s="123"/>
      <c r="S25" s="123"/>
      <c r="T25" s="154"/>
      <c r="U25" s="199"/>
      <c r="X25" s="131"/>
      <c r="Y25" s="159"/>
      <c r="Z25" s="159"/>
      <c r="AA25" s="159"/>
      <c r="AB25" s="123"/>
    </row>
    <row r="26" spans="2:28" ht="12.75" customHeight="1" x14ac:dyDescent="0.55000000000000004">
      <c r="B26" s="131" t="s">
        <v>316</v>
      </c>
      <c r="C26" s="122" t="str">
        <f>CONCATENATE(ROUND(D8,1),"*10^6*",O21,"/(2*",T21,"*",O20,"*1000*1000)")</f>
        <v>13.2*10^6*5256/(2*295*0.226*1000*1000)</v>
      </c>
      <c r="Q26" s="123"/>
      <c r="R26" s="123"/>
      <c r="S26" s="123"/>
      <c r="T26" s="154"/>
      <c r="U26" s="199"/>
      <c r="Y26" s="159"/>
      <c r="Z26" s="159"/>
      <c r="AA26" s="159"/>
      <c r="AB26" s="123"/>
    </row>
    <row r="27" spans="2:28" ht="12.75" customHeight="1" x14ac:dyDescent="0.5">
      <c r="B27" s="131" t="s">
        <v>316</v>
      </c>
      <c r="C27" s="161">
        <f>answer1(C26)</f>
        <v>520.317984100795</v>
      </c>
      <c r="D27" s="122" t="s">
        <v>312</v>
      </c>
      <c r="E27" s="131" t="s">
        <v>295</v>
      </c>
      <c r="F27" s="137">
        <f>+G33</f>
        <v>1161</v>
      </c>
      <c r="G27" s="142" t="str">
        <f>IF(C27&lt;F27,"･･･O.K.","･･･NG")</f>
        <v>･･･O.K.</v>
      </c>
      <c r="Q27" s="147"/>
      <c r="R27" s="147"/>
      <c r="S27" s="123"/>
      <c r="T27" s="148"/>
      <c r="U27" s="148"/>
      <c r="X27" s="131"/>
      <c r="Y27" s="159"/>
      <c r="Z27" s="159"/>
      <c r="AA27" s="159"/>
      <c r="AB27" s="123"/>
    </row>
    <row r="28" spans="2:28" x14ac:dyDescent="0.5">
      <c r="X28" s="131"/>
      <c r="Y28" s="159"/>
      <c r="Z28" s="159"/>
      <c r="AA28" s="159"/>
    </row>
    <row r="29" spans="2:28" x14ac:dyDescent="0.5">
      <c r="C29" s="160" t="s">
        <v>216</v>
      </c>
      <c r="Y29" s="159"/>
      <c r="Z29" s="159"/>
      <c r="AA29" s="159"/>
    </row>
    <row r="30" spans="2:28" x14ac:dyDescent="0.5">
      <c r="C30" s="149"/>
      <c r="D30" s="149" t="s">
        <v>239</v>
      </c>
      <c r="E30" s="149" t="s">
        <v>323</v>
      </c>
      <c r="F30" s="149" t="s">
        <v>324</v>
      </c>
      <c r="G30" s="149" t="s">
        <v>325</v>
      </c>
      <c r="H30" s="137"/>
      <c r="I30" s="160"/>
      <c r="X30" s="131"/>
      <c r="Y30" s="137"/>
      <c r="Z30" s="137"/>
      <c r="AA30" s="137"/>
    </row>
    <row r="31" spans="2:28" x14ac:dyDescent="0.5">
      <c r="C31" s="149" t="s">
        <v>320</v>
      </c>
      <c r="D31" s="150" t="s">
        <v>331</v>
      </c>
      <c r="E31" s="151">
        <f>Bar_1(D31,1)</f>
        <v>387</v>
      </c>
      <c r="F31" s="149">
        <v>3</v>
      </c>
      <c r="G31" s="203">
        <f>E31*F31</f>
        <v>1161</v>
      </c>
      <c r="H31" s="160"/>
      <c r="I31" s="160"/>
      <c r="J31" s="160"/>
      <c r="X31" s="131"/>
      <c r="Y31" s="137"/>
      <c r="Z31" s="137"/>
      <c r="AA31" s="137"/>
    </row>
    <row r="32" spans="2:28" x14ac:dyDescent="0.5">
      <c r="C32" s="149" t="s">
        <v>321</v>
      </c>
      <c r="D32" s="150" t="s">
        <v>29</v>
      </c>
      <c r="E32" s="151">
        <f>Bar_1(D32,1)</f>
        <v>71</v>
      </c>
      <c r="F32" s="151">
        <v>0</v>
      </c>
      <c r="G32" s="149">
        <f>+E32*F32</f>
        <v>0</v>
      </c>
      <c r="I32" s="160"/>
    </row>
    <row r="33" spans="3:7" x14ac:dyDescent="0.5">
      <c r="C33" s="152"/>
      <c r="D33" s="152"/>
      <c r="E33" s="152"/>
      <c r="F33" s="153" t="s">
        <v>346</v>
      </c>
      <c r="G33" s="204">
        <f>SUM(G31:G32)</f>
        <v>1161</v>
      </c>
    </row>
  </sheetData>
  <mergeCells count="7">
    <mergeCell ref="K3:L3"/>
    <mergeCell ref="O5:P5"/>
    <mergeCell ref="Q19:S19"/>
    <mergeCell ref="Q20:S20"/>
    <mergeCell ref="D13:I13"/>
    <mergeCell ref="D14:E14"/>
    <mergeCell ref="C15:D15"/>
  </mergeCells>
  <phoneticPr fontId="1"/>
  <pageMargins left="0.75" right="0.75" top="1" bottom="1" header="0.51200000000000001" footer="0.51200000000000001"/>
  <pageSetup paperSize="9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Q40"/>
  <sheetViews>
    <sheetView workbookViewId="0">
      <selection activeCell="B11" sqref="B11:K11"/>
    </sheetView>
  </sheetViews>
  <sheetFormatPr defaultColWidth="9" defaultRowHeight="10.5" x14ac:dyDescent="0.3"/>
  <cols>
    <col min="1" max="1" width="2.3671875" style="65" customWidth="1"/>
    <col min="2" max="11" width="8.47265625" style="65" customWidth="1"/>
    <col min="12" max="16384" width="9" style="65"/>
  </cols>
  <sheetData>
    <row r="2" spans="2:17" x14ac:dyDescent="0.3">
      <c r="B2" s="65" t="s">
        <v>118</v>
      </c>
    </row>
    <row r="3" spans="2:17" x14ac:dyDescent="0.3">
      <c r="H3" s="66"/>
      <c r="I3" s="66"/>
      <c r="J3" s="66"/>
      <c r="O3" s="67"/>
      <c r="Q3" s="67"/>
    </row>
    <row r="4" spans="2:17" ht="12.3" x14ac:dyDescent="0.3">
      <c r="B4" s="68" t="s">
        <v>119</v>
      </c>
      <c r="C4" s="69" t="s">
        <v>120</v>
      </c>
      <c r="D4" s="174" t="s">
        <v>121</v>
      </c>
      <c r="E4" s="70"/>
      <c r="F4" s="69" t="s">
        <v>122</v>
      </c>
      <c r="G4" s="69" t="s">
        <v>123</v>
      </c>
      <c r="H4" s="69" t="s">
        <v>124</v>
      </c>
      <c r="I4" s="71" t="s">
        <v>125</v>
      </c>
      <c r="J4" s="69" t="s">
        <v>126</v>
      </c>
      <c r="K4" s="72" t="s">
        <v>127</v>
      </c>
      <c r="O4" s="67"/>
      <c r="Q4" s="67"/>
    </row>
    <row r="5" spans="2:17" ht="12.3" x14ac:dyDescent="0.3">
      <c r="B5" s="73" t="s">
        <v>128</v>
      </c>
      <c r="C5" s="74" t="s">
        <v>128</v>
      </c>
      <c r="D5" s="175"/>
      <c r="E5" s="75"/>
      <c r="F5" s="74" t="s">
        <v>129</v>
      </c>
      <c r="G5" s="74" t="s">
        <v>129</v>
      </c>
      <c r="H5" s="74" t="s">
        <v>129</v>
      </c>
      <c r="I5" s="74" t="s">
        <v>129</v>
      </c>
      <c r="J5" s="74" t="s">
        <v>130</v>
      </c>
      <c r="K5" s="76" t="s">
        <v>131</v>
      </c>
      <c r="O5" s="67"/>
      <c r="Q5" s="67"/>
    </row>
    <row r="6" spans="2:17" x14ac:dyDescent="0.3">
      <c r="B6" s="77">
        <v>220</v>
      </c>
      <c r="C6" s="78">
        <v>7</v>
      </c>
      <c r="D6" s="78">
        <v>15</v>
      </c>
      <c r="E6" s="79"/>
      <c r="F6" s="80">
        <v>350</v>
      </c>
      <c r="G6" s="80">
        <v>1000</v>
      </c>
      <c r="H6" s="81" t="e">
        <f ca="1">G6-K10</f>
        <v>#NAME?</v>
      </c>
      <c r="I6" s="81" t="e">
        <f ca="1">H6*7/8</f>
        <v>#NAME?</v>
      </c>
      <c r="J6" s="82" t="e">
        <f ca="1">F6*H6^2</f>
        <v>#NAME?</v>
      </c>
      <c r="K6" s="83" t="e">
        <f ca="1">B6*F10*I6/1000/1000</f>
        <v>#NAME?</v>
      </c>
      <c r="O6" s="67"/>
      <c r="Q6" s="67"/>
    </row>
    <row r="7" spans="2:17" ht="11.7" x14ac:dyDescent="0.3">
      <c r="B7" s="176" t="s">
        <v>132</v>
      </c>
      <c r="C7" s="177"/>
      <c r="D7" s="177"/>
      <c r="E7" s="177"/>
      <c r="F7" s="177"/>
      <c r="G7" s="177"/>
      <c r="H7" s="177"/>
      <c r="I7" s="177"/>
      <c r="J7" s="177"/>
      <c r="K7" s="178"/>
      <c r="O7" s="67"/>
      <c r="Q7" s="67"/>
    </row>
    <row r="8" spans="2:17" x14ac:dyDescent="0.3">
      <c r="B8" s="179" t="s">
        <v>133</v>
      </c>
      <c r="C8" s="180"/>
      <c r="D8" s="180" t="s">
        <v>134</v>
      </c>
      <c r="E8" s="180"/>
      <c r="F8" s="86" t="s">
        <v>135</v>
      </c>
      <c r="G8" s="86" t="s">
        <v>136</v>
      </c>
      <c r="H8" s="86" t="s">
        <v>137</v>
      </c>
      <c r="I8" s="86" t="s">
        <v>138</v>
      </c>
      <c r="J8" s="86" t="s">
        <v>139</v>
      </c>
      <c r="K8" s="87" t="s">
        <v>140</v>
      </c>
    </row>
    <row r="9" spans="2:17" ht="12.3" x14ac:dyDescent="0.3">
      <c r="B9" s="84" t="s">
        <v>141</v>
      </c>
      <c r="C9" s="85" t="s">
        <v>142</v>
      </c>
      <c r="D9" s="85" t="s">
        <v>141</v>
      </c>
      <c r="E9" s="85" t="s">
        <v>143</v>
      </c>
      <c r="F9" s="88" t="s">
        <v>144</v>
      </c>
      <c r="G9" s="88" t="s">
        <v>129</v>
      </c>
      <c r="H9" s="88" t="s">
        <v>145</v>
      </c>
      <c r="I9" s="88" t="s">
        <v>145</v>
      </c>
      <c r="J9" s="88" t="s">
        <v>145</v>
      </c>
      <c r="K9" s="89" t="s">
        <v>145</v>
      </c>
    </row>
    <row r="10" spans="2:17" ht="11.7" x14ac:dyDescent="0.3">
      <c r="B10" s="77" t="s">
        <v>146</v>
      </c>
      <c r="C10" s="81" t="e">
        <f ca="1">[2]!Bar(B10,11)*100</f>
        <v>#NAME?</v>
      </c>
      <c r="D10" s="78" t="s">
        <v>147</v>
      </c>
      <c r="E10" s="90" t="e">
        <f ca="1">[2]!Bar(D10,11)*100</f>
        <v>#NAME?</v>
      </c>
      <c r="F10" s="81" t="e">
        <f ca="1">+C10+E10</f>
        <v>#NAME?</v>
      </c>
      <c r="G10" s="91">
        <v>50</v>
      </c>
      <c r="H10" s="78">
        <v>10</v>
      </c>
      <c r="I10" s="81" t="e">
        <f ca="1">[2]!Bar(B10,1)*10/2</f>
        <v>#NAME?</v>
      </c>
      <c r="J10" s="92" t="e">
        <f ca="1">(MAX(25,[2]!Bar(B10,1)*10*1.5)+[2]!Bar(B10,1)*10)*E10/F10</f>
        <v>#NAME?</v>
      </c>
      <c r="K10" s="83" t="e">
        <f ca="1">G10+H10+I10+J10</f>
        <v>#NAME?</v>
      </c>
    </row>
    <row r="11" spans="2:17" ht="11.7" x14ac:dyDescent="0.3">
      <c r="B11" s="181" t="s">
        <v>148</v>
      </c>
      <c r="C11" s="182"/>
      <c r="D11" s="182"/>
      <c r="E11" s="182"/>
      <c r="F11" s="182"/>
      <c r="G11" s="182"/>
      <c r="H11" s="182"/>
      <c r="I11" s="182"/>
      <c r="J11" s="182"/>
      <c r="K11" s="183"/>
    </row>
    <row r="12" spans="2:17" x14ac:dyDescent="0.3">
      <c r="B12" s="179" t="s">
        <v>133</v>
      </c>
      <c r="C12" s="180"/>
      <c r="D12" s="180" t="s">
        <v>134</v>
      </c>
      <c r="E12" s="180"/>
      <c r="F12" s="86" t="s">
        <v>149</v>
      </c>
      <c r="G12" s="86" t="s">
        <v>150</v>
      </c>
      <c r="H12" s="86" t="s">
        <v>151</v>
      </c>
      <c r="I12" s="86" t="s">
        <v>152</v>
      </c>
      <c r="J12" s="86" t="s">
        <v>153</v>
      </c>
      <c r="K12" s="87" t="s">
        <v>154</v>
      </c>
    </row>
    <row r="13" spans="2:17" ht="12.3" x14ac:dyDescent="0.3">
      <c r="B13" s="93" t="s">
        <v>141</v>
      </c>
      <c r="C13" s="94" t="s">
        <v>155</v>
      </c>
      <c r="D13" s="94" t="s">
        <v>141</v>
      </c>
      <c r="E13" s="94" t="s">
        <v>156</v>
      </c>
      <c r="F13" s="88" t="s">
        <v>144</v>
      </c>
      <c r="G13" s="88" t="s">
        <v>145</v>
      </c>
      <c r="H13" s="88" t="s">
        <v>145</v>
      </c>
      <c r="I13" s="88" t="s">
        <v>145</v>
      </c>
      <c r="J13" s="88" t="s">
        <v>145</v>
      </c>
      <c r="K13" s="89" t="s">
        <v>145</v>
      </c>
    </row>
    <row r="14" spans="2:17" ht="11.7" x14ac:dyDescent="0.3">
      <c r="B14" s="77" t="s">
        <v>146</v>
      </c>
      <c r="C14" s="81" t="e">
        <f ca="1">[2]!Bar(B14,11)*100</f>
        <v>#NAME?</v>
      </c>
      <c r="D14" s="78" t="s">
        <v>157</v>
      </c>
      <c r="E14" s="90" t="e">
        <f ca="1">[2]!Bar(D14,11)*100</f>
        <v>#NAME?</v>
      </c>
      <c r="F14" s="81" t="e">
        <f ca="1">+C14+E14</f>
        <v>#NAME?</v>
      </c>
      <c r="G14" s="91">
        <v>50</v>
      </c>
      <c r="H14" s="78">
        <v>10</v>
      </c>
      <c r="I14" s="81" t="e">
        <f ca="1">[2]!Bar(B14,1)*10/2</f>
        <v>#NAME?</v>
      </c>
      <c r="J14" s="92" t="e">
        <f ca="1">(MAX(25,[2]!Bar(B14,1)*10*1.5)+[2]!Bar(B14,1)*10)*E14/F14</f>
        <v>#NAME?</v>
      </c>
      <c r="K14" s="83" t="e">
        <f ca="1">IF(E14=0,0,MAX(25,[2]!Bar(B14,1)*10*1.5))+G14+H14+I14</f>
        <v>#NAME?</v>
      </c>
    </row>
    <row r="15" spans="2:17" x14ac:dyDescent="0.3">
      <c r="B15" s="170" t="s">
        <v>158</v>
      </c>
      <c r="C15" s="172" t="s">
        <v>159</v>
      </c>
      <c r="D15" s="69" t="s">
        <v>160</v>
      </c>
      <c r="E15" s="69" t="s">
        <v>161</v>
      </c>
      <c r="F15" s="69" t="s">
        <v>162</v>
      </c>
      <c r="G15" s="69" t="s">
        <v>163</v>
      </c>
      <c r="H15" s="69" t="s">
        <v>164</v>
      </c>
      <c r="I15" s="69" t="s">
        <v>165</v>
      </c>
      <c r="J15" s="69"/>
      <c r="K15" s="72" t="s">
        <v>166</v>
      </c>
    </row>
    <row r="16" spans="2:17" ht="12.3" x14ac:dyDescent="0.3">
      <c r="B16" s="171"/>
      <c r="C16" s="173"/>
      <c r="D16" s="95" t="s">
        <v>145</v>
      </c>
      <c r="E16" s="95" t="s">
        <v>167</v>
      </c>
      <c r="F16" s="95" t="s">
        <v>167</v>
      </c>
      <c r="G16" s="95" t="s">
        <v>128</v>
      </c>
      <c r="H16" s="95" t="s">
        <v>128</v>
      </c>
      <c r="I16" s="95" t="s">
        <v>128</v>
      </c>
      <c r="J16" s="95"/>
      <c r="K16" s="96" t="s">
        <v>131</v>
      </c>
    </row>
    <row r="17" spans="2:11" x14ac:dyDescent="0.3">
      <c r="B17" s="97" t="e">
        <f ca="1">F14/F10</f>
        <v>#NAME?</v>
      </c>
      <c r="C17" s="98" t="e">
        <f ca="1">[2]!RcGMa($F6/10, $G6/10, $K10/10, $K14/10, $F10/100, $F14/100, $C6*10, $B6*10, $D6, 3)</f>
        <v>#NAME?</v>
      </c>
      <c r="D17" s="81" t="e">
        <f ca="1">H6*C17</f>
        <v>#NAME?</v>
      </c>
      <c r="E17" s="98" t="e">
        <f ca="1">F10/(F6*H6)*100</f>
        <v>#NAME?</v>
      </c>
      <c r="F17" s="98" t="e">
        <f ca="1">[2]!RcGMa($F6/10, $G6/10, $K10/10, $K14/10, $F10/100, $F14/100, $C6*10, $B6*10, $D6, 4)*100</f>
        <v>#NAME?</v>
      </c>
      <c r="G17" s="99" t="e">
        <f ca="1">[2]!RcGMa($F6/10, $G6/10, $K10/10, $K14/10, $F10/100, $F14/100, $C6*10, $B6*10, $D6, 1)*10/100</f>
        <v>#NAME?</v>
      </c>
      <c r="H17" s="99" t="e">
        <f ca="1">[2]!RcGMa($F6/10, $G6/10, $K10/10, $K14/10, $F10/100, $F14/100, $C6*10, $B6*10, $D6, 2)*10/100</f>
        <v>#NAME?</v>
      </c>
      <c r="I17" s="99" t="e">
        <f ca="1">MIN(G17:H17)</f>
        <v>#NAME?</v>
      </c>
      <c r="J17" s="81" t="e">
        <f ca="1">J6*I17/1000/1000</f>
        <v>#NAME?</v>
      </c>
      <c r="K17" s="83" t="e">
        <f ca="1">[2]!RcGMa($F6/10, $G6/10, $K10/10, $K14/10, $F10/100, $F14/100, $C6*10, $B6*10, $D6, 11)*10</f>
        <v>#NAME?</v>
      </c>
    </row>
    <row r="19" spans="2:11" ht="11.7" x14ac:dyDescent="0.3">
      <c r="C19" s="100" t="s">
        <v>168</v>
      </c>
      <c r="D19" s="101" t="s">
        <v>169</v>
      </c>
      <c r="E19" s="101"/>
      <c r="F19" s="101"/>
      <c r="G19" s="101"/>
      <c r="H19" s="101"/>
    </row>
    <row r="20" spans="2:11" ht="11.7" x14ac:dyDescent="0.3">
      <c r="C20" s="100" t="s">
        <v>170</v>
      </c>
      <c r="D20" s="101" t="s">
        <v>171</v>
      </c>
      <c r="E20" s="101"/>
      <c r="F20" s="101"/>
      <c r="G20" s="101"/>
      <c r="H20" s="101"/>
      <c r="J20" s="67"/>
    </row>
    <row r="21" spans="2:11" ht="11.7" x14ac:dyDescent="0.3">
      <c r="C21" s="100" t="s">
        <v>172</v>
      </c>
      <c r="D21" s="101" t="s">
        <v>173</v>
      </c>
    </row>
    <row r="22" spans="2:11" x14ac:dyDescent="0.3">
      <c r="C22" s="102" t="s">
        <v>174</v>
      </c>
      <c r="D22" s="65" t="s">
        <v>175</v>
      </c>
    </row>
    <row r="23" spans="2:11" x14ac:dyDescent="0.3">
      <c r="C23" s="102" t="s">
        <v>176</v>
      </c>
      <c r="D23" s="65" t="s">
        <v>177</v>
      </c>
      <c r="I23" s="65" t="s">
        <v>178</v>
      </c>
    </row>
    <row r="24" spans="2:11" x14ac:dyDescent="0.3">
      <c r="C24" s="102" t="s">
        <v>179</v>
      </c>
      <c r="D24" s="65" t="s">
        <v>180</v>
      </c>
    </row>
    <row r="25" spans="2:11" x14ac:dyDescent="0.3">
      <c r="C25" s="102" t="s">
        <v>181</v>
      </c>
      <c r="D25" s="65" t="s">
        <v>182</v>
      </c>
    </row>
    <row r="26" spans="2:11" x14ac:dyDescent="0.3">
      <c r="C26" s="102" t="s">
        <v>183</v>
      </c>
      <c r="D26" s="65" t="s">
        <v>184</v>
      </c>
    </row>
    <row r="27" spans="2:11" x14ac:dyDescent="0.3">
      <c r="C27" s="102" t="s">
        <v>185</v>
      </c>
      <c r="D27" s="65" t="s">
        <v>186</v>
      </c>
    </row>
    <row r="28" spans="2:11" x14ac:dyDescent="0.3">
      <c r="C28" s="102" t="s">
        <v>187</v>
      </c>
      <c r="D28" s="65" t="s">
        <v>188</v>
      </c>
    </row>
    <row r="29" spans="2:11" x14ac:dyDescent="0.3">
      <c r="C29" s="102" t="s">
        <v>189</v>
      </c>
      <c r="D29" s="65" t="s">
        <v>190</v>
      </c>
      <c r="I29" s="65" t="s">
        <v>191</v>
      </c>
    </row>
    <row r="30" spans="2:11" x14ac:dyDescent="0.3">
      <c r="C30" s="102" t="s">
        <v>192</v>
      </c>
      <c r="D30" s="65" t="s">
        <v>193</v>
      </c>
      <c r="I30" s="65" t="s">
        <v>194</v>
      </c>
    </row>
    <row r="31" spans="2:11" x14ac:dyDescent="0.3">
      <c r="C31" s="102" t="s">
        <v>195</v>
      </c>
      <c r="D31" s="65" t="s">
        <v>196</v>
      </c>
    </row>
    <row r="32" spans="2:11" x14ac:dyDescent="0.3">
      <c r="C32" s="102" t="s">
        <v>197</v>
      </c>
      <c r="D32" s="65" t="s">
        <v>198</v>
      </c>
    </row>
    <row r="33" spans="3:6" x14ac:dyDescent="0.3">
      <c r="C33" s="102" t="s">
        <v>199</v>
      </c>
      <c r="D33" s="65" t="s">
        <v>200</v>
      </c>
    </row>
    <row r="34" spans="3:6" x14ac:dyDescent="0.3">
      <c r="C34" s="102" t="s">
        <v>201</v>
      </c>
      <c r="D34" s="65" t="s">
        <v>202</v>
      </c>
      <c r="F34" s="103" t="s">
        <v>203</v>
      </c>
    </row>
    <row r="35" spans="3:6" x14ac:dyDescent="0.3">
      <c r="C35" s="102" t="s">
        <v>204</v>
      </c>
      <c r="D35" s="65" t="s">
        <v>205</v>
      </c>
    </row>
    <row r="36" spans="3:6" x14ac:dyDescent="0.3">
      <c r="C36" s="102" t="s">
        <v>206</v>
      </c>
      <c r="D36" s="65" t="s">
        <v>118</v>
      </c>
    </row>
    <row r="37" spans="3:6" x14ac:dyDescent="0.3">
      <c r="C37" s="102"/>
    </row>
    <row r="38" spans="3:6" x14ac:dyDescent="0.3">
      <c r="C38" s="102"/>
    </row>
    <row r="39" spans="3:6" x14ac:dyDescent="0.3">
      <c r="C39" s="102"/>
    </row>
    <row r="40" spans="3:6" x14ac:dyDescent="0.3">
      <c r="C40" s="102"/>
    </row>
  </sheetData>
  <mergeCells count="9">
    <mergeCell ref="B15:B16"/>
    <mergeCell ref="C15:C16"/>
    <mergeCell ref="D4:D5"/>
    <mergeCell ref="B7:K7"/>
    <mergeCell ref="B8:C8"/>
    <mergeCell ref="D8:E8"/>
    <mergeCell ref="B11:K11"/>
    <mergeCell ref="B12:C12"/>
    <mergeCell ref="D12:E12"/>
  </mergeCells>
  <phoneticPr fontId="1"/>
  <pageMargins left="0.78740157480314965" right="0.39370078740157483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Z33"/>
  <sheetViews>
    <sheetView view="pageBreakPreview" topLeftCell="A7" zoomScaleNormal="100" workbookViewId="0">
      <selection activeCell="C22" sqref="C22"/>
    </sheetView>
  </sheetViews>
  <sheetFormatPr defaultColWidth="9" defaultRowHeight="12.3" x14ac:dyDescent="0.3"/>
  <cols>
    <col min="1" max="1" width="2.62890625" style="2" customWidth="1"/>
    <col min="2" max="2" width="14.62890625" style="2" customWidth="1"/>
    <col min="3" max="3" width="15.62890625" style="2" customWidth="1"/>
    <col min="4" max="4" width="5.62890625" style="2" customWidth="1"/>
    <col min="5" max="5" width="4.3671875" style="2" customWidth="1"/>
    <col min="6" max="6" width="5.62890625" style="2" customWidth="1"/>
    <col min="7" max="7" width="5.47265625" style="2" customWidth="1"/>
    <col min="8" max="8" width="5.62890625" style="2" customWidth="1"/>
    <col min="9" max="9" width="8.62890625" style="2" customWidth="1"/>
    <col min="10" max="10" width="3.62890625" style="2" customWidth="1"/>
    <col min="11" max="11" width="4.62890625" style="2" customWidth="1"/>
    <col min="12" max="12" width="3.62890625" style="2" customWidth="1"/>
    <col min="13" max="16" width="6.62890625" style="2" customWidth="1"/>
    <col min="17" max="17" width="3.62890625" style="2" customWidth="1"/>
    <col min="18" max="18" width="0.89453125" style="2" customWidth="1"/>
    <col min="19" max="19" width="2.26171875" style="2" customWidth="1"/>
    <col min="20" max="20" width="6.62890625" style="2" customWidth="1"/>
    <col min="21" max="16384" width="9" style="2"/>
  </cols>
  <sheetData>
    <row r="2" spans="2:26" ht="12.6" thickBot="1" x14ac:dyDescent="0.35">
      <c r="B2" s="59" t="s">
        <v>327</v>
      </c>
      <c r="C2" s="50"/>
      <c r="K2" s="32"/>
      <c r="L2" s="32"/>
      <c r="M2" s="32"/>
    </row>
    <row r="3" spans="2:26" ht="12.6" thickTop="1" x14ac:dyDescent="0.3">
      <c r="I3" s="60"/>
      <c r="K3" s="192"/>
      <c r="L3" s="192"/>
      <c r="M3" s="22"/>
      <c r="N3" s="62"/>
      <c r="Q3" s="6"/>
      <c r="R3" s="32"/>
      <c r="T3" s="7"/>
    </row>
    <row r="4" spans="2:26" x14ac:dyDescent="0.3">
      <c r="B4" s="2" t="s">
        <v>313</v>
      </c>
      <c r="I4" s="60"/>
      <c r="K4" s="22"/>
      <c r="L4" s="22"/>
      <c r="M4" s="22"/>
      <c r="N4" s="62"/>
      <c r="Q4" s="11"/>
      <c r="R4" s="32"/>
      <c r="T4" s="12"/>
    </row>
    <row r="5" spans="2:26" x14ac:dyDescent="0.3">
      <c r="I5" s="117"/>
      <c r="K5" s="22"/>
      <c r="L5" s="22"/>
      <c r="M5" s="22"/>
      <c r="N5" s="62"/>
      <c r="O5" s="193">
        <v>750</v>
      </c>
      <c r="P5" s="194"/>
      <c r="Q5" s="11"/>
      <c r="R5" s="32"/>
      <c r="T5" s="12"/>
    </row>
    <row r="6" spans="2:26" x14ac:dyDescent="0.3">
      <c r="C6" s="14" t="s">
        <v>284</v>
      </c>
      <c r="D6" s="107">
        <v>24.7</v>
      </c>
      <c r="E6" s="28" t="s">
        <v>285</v>
      </c>
      <c r="F6" s="28"/>
      <c r="G6" s="16"/>
      <c r="I6" s="32"/>
      <c r="K6" s="22"/>
      <c r="L6" s="22"/>
      <c r="M6" s="22"/>
      <c r="N6" s="22"/>
      <c r="O6" s="22"/>
      <c r="P6" s="22"/>
      <c r="Q6" s="23"/>
      <c r="R6" s="22"/>
      <c r="T6" s="24"/>
      <c r="W6" s="2" t="s">
        <v>80</v>
      </c>
      <c r="X6" s="2">
        <v>71</v>
      </c>
      <c r="Z6" s="2" t="str">
        <f>"@100"</f>
        <v>@100</v>
      </c>
    </row>
    <row r="7" spans="2:26" x14ac:dyDescent="0.3">
      <c r="B7" s="14"/>
      <c r="C7" s="3"/>
      <c r="D7" s="107"/>
      <c r="E7" s="28"/>
      <c r="K7" s="22"/>
      <c r="L7" s="22"/>
      <c r="M7" s="22"/>
      <c r="N7" s="22"/>
      <c r="O7" s="22"/>
      <c r="P7" s="22"/>
      <c r="Q7" s="22"/>
      <c r="R7" s="22"/>
      <c r="W7" s="2" t="s">
        <v>30</v>
      </c>
      <c r="X7" s="2">
        <v>127</v>
      </c>
      <c r="Z7" s="2" t="str">
        <f>"@125"</f>
        <v>@125</v>
      </c>
    </row>
    <row r="8" spans="2:26" ht="15" customHeight="1" x14ac:dyDescent="0.3">
      <c r="B8" s="14"/>
      <c r="C8" s="14" t="s">
        <v>297</v>
      </c>
      <c r="D8" s="116">
        <f>SUM(D6:D7)</f>
        <v>24.7</v>
      </c>
      <c r="E8" s="28" t="s">
        <v>285</v>
      </c>
      <c r="F8" s="28"/>
      <c r="G8" s="28"/>
      <c r="K8" s="22"/>
      <c r="L8" s="22"/>
      <c r="M8" s="14" t="s">
        <v>83</v>
      </c>
      <c r="N8" s="14" t="s">
        <v>301</v>
      </c>
      <c r="O8" s="41">
        <f>+T8</f>
        <v>350</v>
      </c>
      <c r="P8" s="10" t="s">
        <v>300</v>
      </c>
      <c r="T8" s="29">
        <v>350</v>
      </c>
      <c r="W8" s="2" t="s">
        <v>32</v>
      </c>
      <c r="X8" s="2">
        <v>199</v>
      </c>
      <c r="Z8" s="2" t="str">
        <f>"@150"</f>
        <v>@150</v>
      </c>
    </row>
    <row r="9" spans="2:26" ht="15" customHeight="1" x14ac:dyDescent="0.3">
      <c r="B9" s="14"/>
      <c r="C9" s="14"/>
      <c r="D9" s="116"/>
      <c r="E9" s="28"/>
      <c r="F9" s="28"/>
      <c r="G9" s="28"/>
      <c r="K9" s="22"/>
      <c r="L9" s="22"/>
      <c r="M9" s="14" t="s">
        <v>87</v>
      </c>
      <c r="N9" s="14" t="s">
        <v>302</v>
      </c>
      <c r="O9" s="41">
        <f>+O5</f>
        <v>750</v>
      </c>
      <c r="P9" s="10" t="s">
        <v>300</v>
      </c>
      <c r="T9" s="60"/>
    </row>
    <row r="10" spans="2:26" ht="13.5" customHeight="1" x14ac:dyDescent="0.3">
      <c r="C10" s="14" t="s">
        <v>289</v>
      </c>
      <c r="D10" s="14">
        <f>MAX(O8:O9)</f>
        <v>750</v>
      </c>
      <c r="E10" s="2" t="s">
        <v>291</v>
      </c>
      <c r="K10" s="32"/>
      <c r="L10" s="22"/>
      <c r="M10" s="14"/>
      <c r="N10" s="14" t="s">
        <v>303</v>
      </c>
      <c r="O10" s="3">
        <v>70</v>
      </c>
      <c r="P10" s="10" t="s">
        <v>300</v>
      </c>
      <c r="T10" s="32"/>
      <c r="W10" s="2" t="s">
        <v>33</v>
      </c>
      <c r="X10" s="2">
        <v>287</v>
      </c>
      <c r="Z10" s="2" t="str">
        <f>"@175"</f>
        <v>@175</v>
      </c>
    </row>
    <row r="11" spans="2:26" x14ac:dyDescent="0.3">
      <c r="C11" s="14" t="s">
        <v>290</v>
      </c>
      <c r="D11" s="14">
        <f>MIN(O8:O9)</f>
        <v>350</v>
      </c>
      <c r="E11" s="2" t="s">
        <v>291</v>
      </c>
      <c r="G11" s="28"/>
      <c r="K11" s="32"/>
      <c r="L11" s="60"/>
      <c r="M11" s="14"/>
      <c r="N11" s="14" t="s">
        <v>304</v>
      </c>
      <c r="O11" s="3">
        <v>300</v>
      </c>
      <c r="P11" s="10" t="s">
        <v>300</v>
      </c>
      <c r="Q11" s="32"/>
      <c r="R11" s="32"/>
      <c r="W11" s="2" t="s">
        <v>37</v>
      </c>
      <c r="X11" s="2">
        <v>387</v>
      </c>
      <c r="Z11" s="2" t="str">
        <f>"@200"</f>
        <v>@200</v>
      </c>
    </row>
    <row r="12" spans="2:26" x14ac:dyDescent="0.3">
      <c r="C12" s="14" t="s">
        <v>292</v>
      </c>
      <c r="D12" s="2">
        <v>0.73</v>
      </c>
      <c r="E12" s="2" t="s">
        <v>293</v>
      </c>
      <c r="L12" s="60"/>
      <c r="P12" s="10"/>
      <c r="Q12" s="14" t="s">
        <v>81</v>
      </c>
      <c r="S12" s="2" t="s">
        <v>9</v>
      </c>
      <c r="T12" s="2">
        <f>(O8/10-6*2)*(O9/10-6*2)</f>
        <v>1449</v>
      </c>
      <c r="U12" s="2" t="s">
        <v>10</v>
      </c>
    </row>
    <row r="13" spans="2:26" x14ac:dyDescent="0.3">
      <c r="C13" s="14" t="s">
        <v>328</v>
      </c>
      <c r="D13" s="184" t="str">
        <f>CONCATENATE(D10,"^2*",D11,"*2*",D12,"*(4/3)/1000/1000")</f>
        <v>750^2*350*2*0.73*(4/3)/1000/1000</v>
      </c>
      <c r="E13" s="184"/>
      <c r="F13" s="184"/>
      <c r="G13" s="184"/>
      <c r="H13" s="184"/>
      <c r="I13" s="184"/>
      <c r="L13" s="60"/>
      <c r="N13" s="14" t="s">
        <v>299</v>
      </c>
      <c r="O13" s="2">
        <f>O8-O10*2</f>
        <v>210</v>
      </c>
      <c r="P13" s="10" t="s">
        <v>300</v>
      </c>
      <c r="Q13" s="14"/>
    </row>
    <row r="14" spans="2:26" x14ac:dyDescent="0.3">
      <c r="C14" s="14" t="s">
        <v>329</v>
      </c>
      <c r="D14" s="185" t="e">
        <f ca="1">[1]!answer(D13)</f>
        <v>#NAME?</v>
      </c>
      <c r="E14" s="185"/>
      <c r="F14" s="44" t="e">
        <f ca="1">IF(D14&gt;H14,"&gt;","･･･NG")</f>
        <v>#NAME?</v>
      </c>
      <c r="G14" s="44" t="str">
        <f>+C8</f>
        <v>T＝</v>
      </c>
      <c r="H14" s="28">
        <f>D8</f>
        <v>24.7</v>
      </c>
      <c r="I14" s="42" t="e">
        <f ca="1">IF(D14&gt;H14,"･･･O.K.","･･･NG")</f>
        <v>#NAME?</v>
      </c>
      <c r="N14" s="14" t="s">
        <v>305</v>
      </c>
      <c r="O14" s="2">
        <f>O9-O10*2-O11</f>
        <v>310</v>
      </c>
      <c r="P14" s="10" t="s">
        <v>300</v>
      </c>
      <c r="Q14" s="14" t="s">
        <v>12</v>
      </c>
      <c r="S14" s="2" t="s">
        <v>9</v>
      </c>
      <c r="T14" s="2">
        <f>2*((O8/10-6*2)+(O9/10-6*2))</f>
        <v>172</v>
      </c>
      <c r="U14" s="2" t="s">
        <v>13</v>
      </c>
    </row>
    <row r="15" spans="2:26" ht="13.5" customHeight="1" x14ac:dyDescent="0.3">
      <c r="C15" s="186"/>
      <c r="D15" s="186"/>
      <c r="L15" s="3"/>
      <c r="M15" s="14"/>
      <c r="N15" s="14" t="s">
        <v>306</v>
      </c>
      <c r="O15" s="118">
        <f>+O13*O14/1000/1000</f>
        <v>6.5099999999999991E-2</v>
      </c>
      <c r="P15" s="2" t="s">
        <v>307</v>
      </c>
    </row>
    <row r="16" spans="2:26" ht="12.9" x14ac:dyDescent="0.3">
      <c r="M16" s="14"/>
      <c r="N16" s="14" t="s">
        <v>319</v>
      </c>
      <c r="O16" s="64">
        <f>(O13+O14)*2</f>
        <v>1040</v>
      </c>
      <c r="P16" s="2" t="s">
        <v>300</v>
      </c>
      <c r="Q16" s="187" t="s">
        <v>18</v>
      </c>
      <c r="R16" s="187"/>
      <c r="S16" s="188"/>
      <c r="T16" s="52">
        <v>21</v>
      </c>
      <c r="U16" s="2" t="s">
        <v>310</v>
      </c>
    </row>
    <row r="17" spans="2:22" ht="12.75" customHeight="1" x14ac:dyDescent="0.3">
      <c r="B17" s="2" t="s">
        <v>20</v>
      </c>
      <c r="Q17" s="187" t="s">
        <v>84</v>
      </c>
      <c r="R17" s="187"/>
      <c r="S17" s="189"/>
      <c r="T17" s="52">
        <v>345</v>
      </c>
      <c r="U17" s="2" t="s">
        <v>310</v>
      </c>
    </row>
    <row r="18" spans="2:22" ht="12.75" customHeight="1" x14ac:dyDescent="0.3">
      <c r="Q18" s="187" t="s">
        <v>88</v>
      </c>
      <c r="R18" s="187"/>
      <c r="S18" s="189"/>
      <c r="T18" s="52">
        <v>295</v>
      </c>
      <c r="U18" s="2" t="s">
        <v>310</v>
      </c>
      <c r="V18" s="2">
        <f>IF(I5=1,T18,1.5*T18)</f>
        <v>442.5</v>
      </c>
    </row>
    <row r="19" spans="2:22" x14ac:dyDescent="0.3">
      <c r="B19" s="2" t="s">
        <v>314</v>
      </c>
      <c r="N19" s="14" t="s">
        <v>308</v>
      </c>
      <c r="O19" s="3">
        <v>48</v>
      </c>
    </row>
    <row r="20" spans="2:22" x14ac:dyDescent="0.3">
      <c r="B20" s="14" t="s">
        <v>296</v>
      </c>
      <c r="C20" s="2" t="s">
        <v>317</v>
      </c>
      <c r="J20" s="111"/>
      <c r="K20" s="111"/>
      <c r="L20" s="106"/>
      <c r="N20" s="14" t="s">
        <v>309</v>
      </c>
      <c r="O20" s="110">
        <f>ROUND(O8/(O19-1),0)</f>
        <v>7</v>
      </c>
    </row>
    <row r="21" spans="2:22" x14ac:dyDescent="0.3">
      <c r="B21" s="14" t="s">
        <v>296</v>
      </c>
      <c r="C21" s="2" t="str">
        <f>CONCATENATE(ROUND(H14,1),"*1000*1000*",O20,"/(",T18,"*",O15,"*1000*1000)")</f>
        <v>24.7*1000*1000*7/(295*0.0651*1000*1000)</v>
      </c>
    </row>
    <row r="22" spans="2:22" x14ac:dyDescent="0.3">
      <c r="B22" s="14" t="s">
        <v>296</v>
      </c>
      <c r="C22" s="44" t="e">
        <f ca="1">[1]!answer(C21)</f>
        <v>#NAME?</v>
      </c>
      <c r="D22" s="2" t="s">
        <v>312</v>
      </c>
      <c r="E22" s="14" t="s">
        <v>311</v>
      </c>
      <c r="F22" s="3">
        <v>199</v>
      </c>
      <c r="G22" s="42" t="e">
        <f ca="1">IF(C22&lt;F22,"･･･O.K.","･･･NG")</f>
        <v>#NAME?</v>
      </c>
      <c r="Q22" s="32"/>
      <c r="R22" s="32"/>
      <c r="S22" s="32"/>
      <c r="T22" s="32"/>
      <c r="U22" s="32"/>
    </row>
    <row r="23" spans="2:22" x14ac:dyDescent="0.3">
      <c r="B23" s="14"/>
      <c r="M23" s="32"/>
      <c r="N23" s="32"/>
      <c r="O23" s="32"/>
      <c r="P23" s="32"/>
      <c r="Q23" s="32"/>
      <c r="R23" s="32"/>
      <c r="S23" s="32"/>
      <c r="T23" s="187"/>
      <c r="U23" s="191"/>
    </row>
    <row r="24" spans="2:22" ht="12.75" customHeight="1" x14ac:dyDescent="0.3">
      <c r="B24" s="2" t="s">
        <v>315</v>
      </c>
      <c r="M24" s="32"/>
      <c r="N24" s="32"/>
      <c r="O24" s="32"/>
      <c r="P24" s="32"/>
      <c r="Q24" s="32"/>
      <c r="R24" s="32"/>
      <c r="S24" s="32"/>
      <c r="T24" s="190"/>
      <c r="U24" s="191"/>
    </row>
    <row r="25" spans="2:22" ht="12.75" customHeight="1" x14ac:dyDescent="0.3">
      <c r="B25" s="14" t="s">
        <v>316</v>
      </c>
      <c r="C25" s="2" t="s">
        <v>318</v>
      </c>
      <c r="M25" s="32"/>
      <c r="N25" s="32"/>
      <c r="O25" s="32"/>
      <c r="P25" s="32"/>
      <c r="Q25" s="32"/>
      <c r="R25" s="32"/>
      <c r="S25" s="32"/>
      <c r="T25" s="190"/>
      <c r="U25" s="191"/>
    </row>
    <row r="26" spans="2:22" ht="12.75" customHeight="1" x14ac:dyDescent="0.3">
      <c r="B26" s="14" t="s">
        <v>316</v>
      </c>
      <c r="C26" s="2" t="str">
        <f>CONCATENATE(ROUND(D8,1),"*1000*1000*",O16,"/(2*",T18,"*",O15,"*1000*1000)")</f>
        <v>24.7*1000*1000*1040/(2*295*0.0651*1000*1000)</v>
      </c>
      <c r="M26" s="32"/>
      <c r="N26" s="32"/>
      <c r="O26" s="32"/>
      <c r="P26" s="32"/>
      <c r="Q26" s="32"/>
      <c r="R26" s="32"/>
      <c r="S26" s="32"/>
      <c r="T26" s="190"/>
      <c r="U26" s="191"/>
    </row>
    <row r="27" spans="2:22" ht="12.75" customHeight="1" x14ac:dyDescent="0.3">
      <c r="B27" s="14" t="s">
        <v>316</v>
      </c>
      <c r="C27" s="110" t="e">
        <f ca="1">[1]!answer(C26)</f>
        <v>#NAME?</v>
      </c>
      <c r="D27" s="2" t="s">
        <v>312</v>
      </c>
      <c r="E27" s="14" t="s">
        <v>311</v>
      </c>
      <c r="F27" s="3">
        <f>+G33</f>
        <v>916</v>
      </c>
      <c r="G27" s="42" t="e">
        <f ca="1">IF(C27&lt;F27,"･･･O.K.","･･･NG")</f>
        <v>#NAME?</v>
      </c>
      <c r="M27" s="32"/>
      <c r="N27" s="32"/>
      <c r="O27" s="32"/>
      <c r="P27" s="32"/>
      <c r="Q27" s="104"/>
      <c r="R27" s="104"/>
      <c r="S27" s="32"/>
      <c r="T27" s="105"/>
      <c r="U27" s="105"/>
    </row>
    <row r="28" spans="2:22" x14ac:dyDescent="0.3">
      <c r="M28" s="105"/>
    </row>
    <row r="29" spans="2:22" x14ac:dyDescent="0.3">
      <c r="C29" s="10" t="s">
        <v>216</v>
      </c>
    </row>
    <row r="30" spans="2:22" x14ac:dyDescent="0.3">
      <c r="C30" s="112"/>
      <c r="D30" s="112" t="s">
        <v>322</v>
      </c>
      <c r="E30" s="112" t="s">
        <v>323</v>
      </c>
      <c r="F30" s="112" t="s">
        <v>324</v>
      </c>
      <c r="G30" s="112" t="s">
        <v>325</v>
      </c>
      <c r="H30" s="3"/>
      <c r="I30" s="10"/>
    </row>
    <row r="31" spans="2:22" x14ac:dyDescent="0.3">
      <c r="C31" s="112" t="s">
        <v>320</v>
      </c>
      <c r="D31" s="113" t="s">
        <v>330</v>
      </c>
      <c r="E31" s="114">
        <f>VLOOKUP(D31,W5:AA11,2)</f>
        <v>387</v>
      </c>
      <c r="F31" s="112">
        <v>2</v>
      </c>
      <c r="G31" s="109">
        <f>E31*F31</f>
        <v>774</v>
      </c>
      <c r="H31" s="10"/>
      <c r="I31" s="10"/>
      <c r="J31" s="10"/>
      <c r="K31" s="32"/>
    </row>
    <row r="32" spans="2:22" x14ac:dyDescent="0.3">
      <c r="C32" s="112" t="s">
        <v>321</v>
      </c>
      <c r="D32" s="113" t="s">
        <v>29</v>
      </c>
      <c r="E32" s="114">
        <f>VLOOKUP(D32,W6:AA11,2)</f>
        <v>71</v>
      </c>
      <c r="F32" s="114">
        <v>2</v>
      </c>
      <c r="G32" s="112">
        <f>+E32*F32</f>
        <v>142</v>
      </c>
      <c r="I32" s="10"/>
    </row>
    <row r="33" spans="3:7" x14ac:dyDescent="0.3">
      <c r="C33" s="115"/>
      <c r="D33" s="115"/>
      <c r="E33" s="115"/>
      <c r="F33" s="119" t="s">
        <v>326</v>
      </c>
      <c r="G33" s="112">
        <f>SUM(G31:G32)</f>
        <v>916</v>
      </c>
    </row>
  </sheetData>
  <mergeCells count="10">
    <mergeCell ref="Q18:S18"/>
    <mergeCell ref="T23:T26"/>
    <mergeCell ref="U23:U26"/>
    <mergeCell ref="K3:L3"/>
    <mergeCell ref="O5:P5"/>
    <mergeCell ref="D13:I13"/>
    <mergeCell ref="D14:E14"/>
    <mergeCell ref="C15:D15"/>
    <mergeCell ref="Q16:S16"/>
    <mergeCell ref="Q17:S17"/>
  </mergeCells>
  <phoneticPr fontId="1"/>
  <pageMargins left="0.75" right="0.75" top="1" bottom="1" header="0.51200000000000001" footer="0.51200000000000001"/>
  <pageSetup paperSize="9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Z36"/>
  <sheetViews>
    <sheetView view="pageBreakPreview" zoomScaleNormal="100" workbookViewId="0">
      <selection activeCell="O21" sqref="O21"/>
    </sheetView>
  </sheetViews>
  <sheetFormatPr defaultColWidth="9" defaultRowHeight="12.3" x14ac:dyDescent="0.3"/>
  <cols>
    <col min="1" max="1" width="2.62890625" style="2" customWidth="1"/>
    <col min="2" max="2" width="14.62890625" style="2" customWidth="1"/>
    <col min="3" max="3" width="16.62890625" style="2" customWidth="1"/>
    <col min="4" max="4" width="5.62890625" style="2" customWidth="1"/>
    <col min="5" max="5" width="3.1015625" style="2" customWidth="1"/>
    <col min="6" max="6" width="5.62890625" style="2" customWidth="1"/>
    <col min="7" max="7" width="5.47265625" style="2" customWidth="1"/>
    <col min="8" max="8" width="5.62890625" style="2" customWidth="1"/>
    <col min="9" max="9" width="8.62890625" style="2" customWidth="1"/>
    <col min="10" max="10" width="3.62890625" style="2" customWidth="1"/>
    <col min="11" max="11" width="4.62890625" style="2" customWidth="1"/>
    <col min="12" max="12" width="3.62890625" style="2" customWidth="1"/>
    <col min="13" max="13" width="6.62890625" style="2" customWidth="1"/>
    <col min="14" max="14" width="2.1015625" style="2" customWidth="1"/>
    <col min="15" max="15" width="6.62890625" style="2" customWidth="1"/>
    <col min="16" max="16" width="2.62890625" style="2" customWidth="1"/>
    <col min="17" max="17" width="6.62890625" style="2" customWidth="1"/>
    <col min="18" max="18" width="2.62890625" style="2" customWidth="1"/>
    <col min="19" max="19" width="3.62890625" style="2" customWidth="1"/>
    <col min="20" max="20" width="0.89453125" style="2" customWidth="1"/>
    <col min="21" max="21" width="2.26171875" style="2" customWidth="1"/>
    <col min="22" max="22" width="6.62890625" style="2" customWidth="1"/>
    <col min="23" max="16384" width="9" style="2"/>
  </cols>
  <sheetData>
    <row r="2" spans="2:26" ht="12.6" thickBot="1" x14ac:dyDescent="0.35">
      <c r="B2" s="59" t="s">
        <v>26</v>
      </c>
      <c r="C2" s="50"/>
      <c r="I2" s="3" t="s">
        <v>1</v>
      </c>
      <c r="K2" s="32"/>
      <c r="L2" s="32"/>
      <c r="M2" s="32"/>
      <c r="N2" s="32"/>
      <c r="O2" s="32"/>
    </row>
    <row r="3" spans="2:26" ht="12.6" thickTop="1" x14ac:dyDescent="0.3">
      <c r="I3" s="3" t="s">
        <v>2</v>
      </c>
      <c r="K3" s="192"/>
      <c r="L3" s="192"/>
      <c r="M3" s="61"/>
      <c r="N3" s="22"/>
      <c r="O3" s="22"/>
      <c r="P3" s="62"/>
      <c r="S3" s="6"/>
      <c r="T3" s="32"/>
      <c r="V3" s="7"/>
    </row>
    <row r="4" spans="2:26" x14ac:dyDescent="0.3">
      <c r="I4" s="49">
        <v>2</v>
      </c>
      <c r="K4" s="22"/>
      <c r="L4" s="22"/>
      <c r="M4" s="61"/>
      <c r="N4" s="22"/>
      <c r="O4" s="22"/>
      <c r="P4" s="62"/>
      <c r="S4" s="11"/>
      <c r="T4" s="32"/>
      <c r="V4" s="12"/>
    </row>
    <row r="5" spans="2:26" x14ac:dyDescent="0.3">
      <c r="B5" s="2" t="s">
        <v>112</v>
      </c>
      <c r="K5" s="22"/>
      <c r="L5" s="22"/>
      <c r="M5" s="61"/>
      <c r="N5" s="22"/>
      <c r="O5" s="22"/>
      <c r="P5" s="62"/>
      <c r="Q5" s="193">
        <v>1800</v>
      </c>
      <c r="R5" s="194"/>
      <c r="S5" s="11"/>
      <c r="T5" s="32"/>
      <c r="V5" s="12"/>
    </row>
    <row r="6" spans="2:26" x14ac:dyDescent="0.3">
      <c r="C6" s="14" t="s">
        <v>284</v>
      </c>
      <c r="D6" s="107">
        <v>45.2</v>
      </c>
      <c r="E6" s="28" t="s">
        <v>285</v>
      </c>
      <c r="F6" s="28"/>
      <c r="G6" s="16"/>
      <c r="K6" s="22"/>
      <c r="L6" s="22"/>
      <c r="M6" s="22"/>
      <c r="N6" s="22"/>
      <c r="O6" s="22"/>
      <c r="P6" s="22"/>
      <c r="Q6" s="22"/>
      <c r="R6" s="22"/>
      <c r="S6" s="23"/>
      <c r="T6" s="22"/>
      <c r="V6" s="24"/>
      <c r="Y6" s="2" t="s">
        <v>80</v>
      </c>
      <c r="Z6" s="2" t="str">
        <f>"@100"</f>
        <v>@100</v>
      </c>
    </row>
    <row r="7" spans="2:26" x14ac:dyDescent="0.3">
      <c r="B7" s="14" t="s">
        <v>286</v>
      </c>
      <c r="C7" s="3" t="s">
        <v>287</v>
      </c>
      <c r="D7" s="107" t="e">
        <f ca="1">[3]!answer(C7)</f>
        <v>#NAME?</v>
      </c>
      <c r="E7" s="28" t="s">
        <v>285</v>
      </c>
      <c r="K7" s="22"/>
      <c r="L7" s="22"/>
      <c r="M7" s="22"/>
      <c r="N7" s="22"/>
      <c r="O7" s="22"/>
      <c r="P7" s="22"/>
      <c r="Q7" s="22"/>
      <c r="R7" s="22"/>
      <c r="S7" s="22"/>
      <c r="T7" s="22"/>
      <c r="Y7" s="2" t="s">
        <v>30</v>
      </c>
      <c r="Z7" s="2" t="str">
        <f>"@125"</f>
        <v>@125</v>
      </c>
    </row>
    <row r="8" spans="2:26" ht="15" customHeight="1" x14ac:dyDescent="0.3">
      <c r="B8" s="14"/>
      <c r="C8" s="14" t="s">
        <v>297</v>
      </c>
      <c r="D8" s="108" t="e">
        <f ca="1">SUM(D6:D7)</f>
        <v>#NAME?</v>
      </c>
      <c r="E8" s="28" t="s">
        <v>285</v>
      </c>
      <c r="F8" s="28"/>
      <c r="G8" s="28"/>
      <c r="K8" s="22"/>
      <c r="L8" s="22"/>
      <c r="M8" s="22"/>
      <c r="N8" s="22"/>
      <c r="O8" s="22"/>
      <c r="P8" s="22"/>
      <c r="Q8" s="22"/>
      <c r="V8" s="29">
        <v>2550</v>
      </c>
      <c r="Y8" s="2" t="s">
        <v>32</v>
      </c>
      <c r="Z8" s="2" t="str">
        <f>"@150"</f>
        <v>@150</v>
      </c>
    </row>
    <row r="9" spans="2:26" ht="15" customHeight="1" x14ac:dyDescent="0.3">
      <c r="B9" s="14"/>
      <c r="C9" s="14"/>
      <c r="D9" s="108"/>
      <c r="E9" s="28"/>
      <c r="F9" s="28"/>
      <c r="G9" s="28"/>
      <c r="K9" s="22"/>
      <c r="L9" s="22"/>
      <c r="M9" s="22"/>
      <c r="N9" s="22"/>
      <c r="O9" s="22"/>
      <c r="P9" s="22"/>
      <c r="Q9" s="22"/>
      <c r="V9" s="60"/>
    </row>
    <row r="10" spans="2:26" ht="13.5" customHeight="1" x14ac:dyDescent="0.3">
      <c r="C10" s="14" t="s">
        <v>289</v>
      </c>
      <c r="D10" s="14">
        <f>MAX(Q17:Q18)</f>
        <v>2550</v>
      </c>
      <c r="E10" s="2" t="s">
        <v>291</v>
      </c>
      <c r="K10" s="32"/>
      <c r="L10" s="22"/>
      <c r="M10" s="22"/>
      <c r="N10" s="22"/>
      <c r="O10" s="22"/>
      <c r="P10" s="22"/>
      <c r="Q10" s="22"/>
      <c r="V10" s="32"/>
      <c r="Y10" s="2" t="s">
        <v>33</v>
      </c>
      <c r="Z10" s="2" t="str">
        <f>"@175"</f>
        <v>@175</v>
      </c>
    </row>
    <row r="11" spans="2:26" x14ac:dyDescent="0.3">
      <c r="C11" s="14" t="s">
        <v>290</v>
      </c>
      <c r="D11" s="14">
        <f>MIN(Q17:Q18)</f>
        <v>1800</v>
      </c>
      <c r="E11" s="2" t="s">
        <v>291</v>
      </c>
      <c r="G11" s="28"/>
      <c r="K11" s="32"/>
      <c r="L11" s="60"/>
      <c r="M11" s="60"/>
      <c r="N11" s="32"/>
      <c r="O11" s="32"/>
      <c r="R11" s="32"/>
      <c r="S11" s="32"/>
      <c r="T11" s="32"/>
      <c r="Y11" s="2" t="s">
        <v>37</v>
      </c>
      <c r="Z11" s="2" t="str">
        <f>"@200"</f>
        <v>@200</v>
      </c>
    </row>
    <row r="12" spans="2:26" x14ac:dyDescent="0.3">
      <c r="C12" s="14" t="s">
        <v>292</v>
      </c>
      <c r="D12" s="2">
        <v>0.73</v>
      </c>
      <c r="E12" s="2" t="s">
        <v>293</v>
      </c>
      <c r="L12" s="60"/>
      <c r="M12" s="39"/>
      <c r="N12" s="32"/>
      <c r="O12" s="32"/>
      <c r="P12" s="32"/>
      <c r="Q12" s="32"/>
      <c r="S12" s="14" t="s">
        <v>81</v>
      </c>
      <c r="U12" s="2" t="s">
        <v>9</v>
      </c>
      <c r="V12" s="2">
        <f>(Q17/10-6*2)*(Q18/10-6*2)</f>
        <v>40824</v>
      </c>
      <c r="W12" s="2" t="s">
        <v>10</v>
      </c>
    </row>
    <row r="13" spans="2:26" x14ac:dyDescent="0.3">
      <c r="C13" s="14"/>
      <c r="L13" s="60"/>
      <c r="M13" s="104"/>
      <c r="N13" s="32"/>
      <c r="O13" s="32"/>
      <c r="P13" s="32"/>
      <c r="Q13" s="32"/>
      <c r="S13" s="14"/>
    </row>
    <row r="14" spans="2:26" x14ac:dyDescent="0.3">
      <c r="C14" s="14" t="s">
        <v>288</v>
      </c>
      <c r="D14" s="195" t="str">
        <f>CONCATENATE(D10,"^2*",D11,"2*",D12,"*(4/3)/1000/1000=")</f>
        <v>2550^2*18002*0.73*(4/3)/1000/1000=</v>
      </c>
      <c r="E14" s="195"/>
      <c r="F14" s="195"/>
      <c r="G14" s="195"/>
      <c r="H14" s="195"/>
      <c r="I14" s="195"/>
      <c r="J14" s="185" t="e">
        <f ca="1">[3]!answer(D14)</f>
        <v>#NAME?</v>
      </c>
      <c r="K14" s="185"/>
      <c r="L14" s="106" t="s">
        <v>294</v>
      </c>
      <c r="M14" s="106"/>
      <c r="N14" s="106"/>
      <c r="S14" s="14" t="s">
        <v>12</v>
      </c>
      <c r="U14" s="2" t="s">
        <v>9</v>
      </c>
      <c r="V14" s="2">
        <f>2*((Q17/10-6*2)+(Q18/10-6*2))</f>
        <v>822</v>
      </c>
      <c r="W14" s="2" t="s">
        <v>13</v>
      </c>
    </row>
    <row r="15" spans="2:26" ht="13.5" customHeight="1" x14ac:dyDescent="0.3">
      <c r="C15" s="186" t="e">
        <f ca="1">+J14</f>
        <v>#NAME?</v>
      </c>
      <c r="D15" s="186"/>
      <c r="E15" s="43" t="s">
        <v>38</v>
      </c>
      <c r="F15" s="44" t="str">
        <f>+C8</f>
        <v>T＝</v>
      </c>
      <c r="G15" s="28" t="e">
        <f ca="1">D8</f>
        <v>#NAME?</v>
      </c>
      <c r="H15" s="42" t="e">
        <f ca="1">IF(C15&gt;G15,"･･･O.K.","･･･NG")</f>
        <v>#NAME?</v>
      </c>
      <c r="L15" s="3"/>
      <c r="M15" s="3"/>
      <c r="O15" s="14"/>
      <c r="Q15" s="64"/>
    </row>
    <row r="16" spans="2:26" ht="12.9" x14ac:dyDescent="0.3">
      <c r="M16" s="3"/>
      <c r="O16" s="14"/>
      <c r="Q16" s="63"/>
      <c r="S16" s="187" t="s">
        <v>18</v>
      </c>
      <c r="T16" s="187"/>
      <c r="U16" s="188"/>
      <c r="V16" s="52">
        <v>24</v>
      </c>
      <c r="W16" s="2" t="s">
        <v>19</v>
      </c>
    </row>
    <row r="17" spans="2:24" ht="12.75" customHeight="1" x14ac:dyDescent="0.3">
      <c r="B17" s="2" t="s">
        <v>20</v>
      </c>
      <c r="M17" s="3"/>
      <c r="O17" s="14" t="s">
        <v>83</v>
      </c>
      <c r="P17" s="3" t="s">
        <v>82</v>
      </c>
      <c r="Q17" s="41">
        <f>+V8</f>
        <v>2550</v>
      </c>
      <c r="R17" s="14"/>
      <c r="S17" s="187" t="s">
        <v>84</v>
      </c>
      <c r="T17" s="187"/>
      <c r="U17" s="189"/>
      <c r="V17" s="52">
        <v>21.5</v>
      </c>
      <c r="W17" s="2" t="s">
        <v>85</v>
      </c>
    </row>
    <row r="18" spans="2:24" ht="12.75" customHeight="1" x14ac:dyDescent="0.3">
      <c r="B18" s="2" t="s">
        <v>21</v>
      </c>
      <c r="M18" s="3"/>
      <c r="O18" s="14" t="s">
        <v>87</v>
      </c>
      <c r="P18" s="3" t="s">
        <v>86</v>
      </c>
      <c r="Q18" s="41">
        <f>+Q5</f>
        <v>1800</v>
      </c>
      <c r="R18" s="14"/>
      <c r="S18" s="187" t="s">
        <v>88</v>
      </c>
      <c r="T18" s="187"/>
      <c r="U18" s="189"/>
      <c r="V18" s="52">
        <v>19.5</v>
      </c>
      <c r="W18" s="2" t="s">
        <v>89</v>
      </c>
      <c r="X18" s="2">
        <f>IF(I4=1,V18,1.5*V18)</f>
        <v>29.25</v>
      </c>
    </row>
    <row r="19" spans="2:24" x14ac:dyDescent="0.3">
      <c r="B19" s="14" t="s">
        <v>296</v>
      </c>
      <c r="C19" s="2" t="s">
        <v>298</v>
      </c>
      <c r="M19" s="3"/>
      <c r="O19" s="14" t="s">
        <v>253</v>
      </c>
      <c r="P19" s="3" t="s">
        <v>9</v>
      </c>
      <c r="Q19" s="3">
        <v>70</v>
      </c>
    </row>
    <row r="20" spans="2:24" x14ac:dyDescent="0.3">
      <c r="B20" s="14" t="s">
        <v>86</v>
      </c>
      <c r="C20" s="44" t="e">
        <f ca="1">IF(I4=1,(D8*100*V14)/(2*V17*V12),(D8*100*V14)/(2*V17*1.5*V12))</f>
        <v>#NAME?</v>
      </c>
      <c r="D20" s="2" t="s">
        <v>90</v>
      </c>
      <c r="N20" s="32"/>
    </row>
    <row r="21" spans="2:24" x14ac:dyDescent="0.3">
      <c r="B21" s="2" t="s">
        <v>295</v>
      </c>
      <c r="O21" s="14" t="s">
        <v>299</v>
      </c>
      <c r="Q21" s="2">
        <f>Q17-Q19*2</f>
        <v>2410</v>
      </c>
    </row>
    <row r="22" spans="2:24" x14ac:dyDescent="0.3">
      <c r="N22" s="32"/>
      <c r="O22" s="32"/>
      <c r="P22" s="32"/>
      <c r="Q22" s="32"/>
      <c r="R22" s="32"/>
      <c r="S22" s="32"/>
      <c r="T22" s="32"/>
      <c r="U22" s="32"/>
      <c r="V22" s="32"/>
      <c r="W22" s="32"/>
    </row>
    <row r="23" spans="2:24" x14ac:dyDescent="0.3">
      <c r="N23" s="32"/>
      <c r="O23" s="32"/>
      <c r="P23" s="32"/>
      <c r="Q23" s="32"/>
      <c r="R23" s="32"/>
      <c r="S23" s="32"/>
      <c r="T23" s="32"/>
      <c r="U23" s="32"/>
      <c r="V23" s="187"/>
      <c r="W23" s="191"/>
    </row>
    <row r="24" spans="2:24" x14ac:dyDescent="0.3">
      <c r="N24" s="32"/>
      <c r="O24" s="32"/>
      <c r="P24" s="32"/>
      <c r="Q24" s="32"/>
      <c r="R24" s="32"/>
      <c r="S24" s="32"/>
      <c r="T24" s="32"/>
      <c r="U24" s="32"/>
      <c r="V24" s="190"/>
      <c r="W24" s="191"/>
    </row>
    <row r="25" spans="2:24" ht="5.0999999999999996" customHeight="1" x14ac:dyDescent="0.3">
      <c r="N25" s="32"/>
      <c r="O25" s="32"/>
      <c r="P25" s="32"/>
      <c r="Q25" s="32"/>
      <c r="R25" s="32"/>
      <c r="S25" s="32"/>
      <c r="T25" s="32"/>
      <c r="U25" s="32"/>
      <c r="V25" s="190"/>
      <c r="W25" s="191"/>
    </row>
    <row r="26" spans="2:24" ht="5.0999999999999996" customHeight="1" x14ac:dyDescent="0.3">
      <c r="N26" s="32"/>
      <c r="O26" s="32"/>
      <c r="P26" s="32"/>
      <c r="Q26" s="32"/>
      <c r="R26" s="32"/>
      <c r="S26" s="32"/>
      <c r="T26" s="32"/>
      <c r="U26" s="32"/>
      <c r="V26" s="190"/>
      <c r="W26" s="191"/>
    </row>
    <row r="27" spans="2:24" x14ac:dyDescent="0.3">
      <c r="N27" s="32"/>
      <c r="O27" s="32"/>
      <c r="P27" s="32"/>
      <c r="Q27" s="32"/>
      <c r="R27" s="32"/>
      <c r="S27" s="39"/>
      <c r="T27" s="39"/>
      <c r="U27" s="32"/>
      <c r="V27" s="40"/>
      <c r="W27" s="40"/>
    </row>
    <row r="28" spans="2:24" x14ac:dyDescent="0.3">
      <c r="B28" s="2" t="s">
        <v>25</v>
      </c>
      <c r="D28" s="37" t="s">
        <v>24</v>
      </c>
      <c r="E28" s="2" t="s">
        <v>103</v>
      </c>
      <c r="I28" s="2" t="s">
        <v>104</v>
      </c>
      <c r="N28" s="32"/>
      <c r="O28" s="32"/>
      <c r="P28" s="32"/>
      <c r="Q28" s="32"/>
      <c r="R28" s="32"/>
      <c r="S28" s="32"/>
      <c r="T28" s="32"/>
      <c r="U28" s="32"/>
      <c r="V28" s="60"/>
      <c r="W28" s="32"/>
    </row>
    <row r="29" spans="2:24" x14ac:dyDescent="0.3">
      <c r="B29" s="14" t="str">
        <f>"@≦"</f>
        <v>@≦</v>
      </c>
      <c r="C29" s="2" t="s">
        <v>105</v>
      </c>
      <c r="E29" s="3" t="s">
        <v>106</v>
      </c>
      <c r="F29" s="42" t="e">
        <f ca="1">IF(D28="D13",(1.27*2*X18*V12)/G15/100,IF(D28="D10",(0.71*2*X18*V12)/G15/100))</f>
        <v>#NAME?</v>
      </c>
      <c r="G29" s="3" t="s">
        <v>107</v>
      </c>
      <c r="H29" s="3" t="s">
        <v>108</v>
      </c>
      <c r="I29" s="2" t="s">
        <v>109</v>
      </c>
      <c r="J29" s="45" t="s">
        <v>111</v>
      </c>
      <c r="K29" s="48" t="s">
        <v>114</v>
      </c>
      <c r="L29" s="2" t="s">
        <v>110</v>
      </c>
      <c r="N29" s="32"/>
      <c r="O29" s="32"/>
      <c r="P29" s="32"/>
      <c r="Q29" s="32"/>
      <c r="R29" s="32"/>
      <c r="S29" s="32"/>
      <c r="T29" s="32"/>
      <c r="U29" s="32"/>
      <c r="V29" s="32"/>
      <c r="W29" s="32"/>
    </row>
    <row r="30" spans="2:24" x14ac:dyDescent="0.3"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</row>
    <row r="31" spans="2:24" x14ac:dyDescent="0.3">
      <c r="B31" s="2" t="s">
        <v>91</v>
      </c>
      <c r="M31" s="32"/>
      <c r="N31" s="39"/>
      <c r="O31" s="40"/>
    </row>
    <row r="32" spans="2:24" x14ac:dyDescent="0.3">
      <c r="C32" s="3" t="s">
        <v>92</v>
      </c>
      <c r="D32" s="47">
        <v>0</v>
      </c>
      <c r="E32" s="3" t="s">
        <v>93</v>
      </c>
      <c r="F32" s="47" t="s">
        <v>113</v>
      </c>
      <c r="G32" s="3" t="s">
        <v>94</v>
      </c>
      <c r="H32" s="3">
        <f>IF(F32="D22",3.87*D32,IF(F32="D13",1.27*D32,IF(F32="D16",1.99*D32,IF(F32="D19",2.87*D32,0))))</f>
        <v>0</v>
      </c>
      <c r="I32" s="10" t="s">
        <v>95</v>
      </c>
      <c r="M32" s="32"/>
    </row>
    <row r="33" spans="3:13" x14ac:dyDescent="0.3">
      <c r="C33" s="3" t="s">
        <v>23</v>
      </c>
      <c r="D33" s="47">
        <v>8</v>
      </c>
      <c r="E33" s="3" t="s">
        <v>96</v>
      </c>
      <c r="F33" s="47" t="s">
        <v>24</v>
      </c>
      <c r="G33" s="3" t="s">
        <v>97</v>
      </c>
      <c r="H33" s="3">
        <f>IF(F33="D10",0.71*D33,IF(F33="D13",1.27*D33,IF(F33="D16",1.99*D33,IF(F33="D19",2.87*D33,0))))</f>
        <v>10.16</v>
      </c>
      <c r="I33" s="10" t="s">
        <v>98</v>
      </c>
      <c r="K33" s="14"/>
      <c r="L33" s="32"/>
      <c r="M33" s="32"/>
    </row>
    <row r="34" spans="3:13" x14ac:dyDescent="0.3">
      <c r="M34" s="32"/>
    </row>
    <row r="35" spans="3:13" x14ac:dyDescent="0.3">
      <c r="C35" s="36"/>
      <c r="D35" s="36"/>
      <c r="E35" s="36"/>
      <c r="F35" s="36"/>
      <c r="G35" s="36"/>
      <c r="H35" s="36"/>
      <c r="I35" s="36"/>
      <c r="M35" s="32"/>
    </row>
    <row r="36" spans="3:13" x14ac:dyDescent="0.3">
      <c r="F36" s="2" t="s">
        <v>99</v>
      </c>
      <c r="G36" s="2" t="s">
        <v>100</v>
      </c>
      <c r="H36" s="2">
        <f>H32+H33</f>
        <v>10.16</v>
      </c>
      <c r="I36" s="10" t="s">
        <v>101</v>
      </c>
      <c r="J36" s="2" t="s">
        <v>102</v>
      </c>
      <c r="K36" s="2" t="e">
        <f ca="1">IF(H36&gt;C20,"･･･O.K.","･･･NG")</f>
        <v>#NAME?</v>
      </c>
      <c r="M36" s="32"/>
    </row>
  </sheetData>
  <mergeCells count="10">
    <mergeCell ref="D14:I14"/>
    <mergeCell ref="C15:D15"/>
    <mergeCell ref="V23:V26"/>
    <mergeCell ref="W23:W26"/>
    <mergeCell ref="K3:L3"/>
    <mergeCell ref="S16:U16"/>
    <mergeCell ref="S17:U17"/>
    <mergeCell ref="S18:U18"/>
    <mergeCell ref="Q5:R5"/>
    <mergeCell ref="J14:K14"/>
  </mergeCells>
  <phoneticPr fontId="1"/>
  <dataValidations count="2">
    <dataValidation type="list" allowBlank="1" showInputMessage="1" showErrorMessage="1" sqref="F32:F33 J29 D28" xr:uid="{00000000-0002-0000-0200-000000000000}">
      <formula1>$Y$6:$Y$11</formula1>
    </dataValidation>
    <dataValidation type="list" allowBlank="1" showInputMessage="1" showErrorMessage="1" sqref="K29" xr:uid="{00000000-0002-0000-0200-000001000000}">
      <formula1>$Z$6:$Z$14</formula1>
    </dataValidation>
  </dataValidations>
  <pageMargins left="0.75" right="0.75" top="1" bottom="1" header="0.51200000000000001" footer="0.51200000000000001"/>
  <pageSetup paperSize="9"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AA31"/>
  <sheetViews>
    <sheetView view="pageBreakPreview" zoomScaleNormal="100" workbookViewId="0">
      <selection activeCell="C43" sqref="C43"/>
    </sheetView>
  </sheetViews>
  <sheetFormatPr defaultColWidth="9" defaultRowHeight="12.3" x14ac:dyDescent="0.3"/>
  <cols>
    <col min="1" max="1" width="9" style="2"/>
    <col min="2" max="2" width="16.62890625" style="2" customWidth="1"/>
    <col min="3" max="3" width="5.62890625" style="2" customWidth="1"/>
    <col min="4" max="4" width="3.1015625" style="2" customWidth="1"/>
    <col min="5" max="5" width="5.62890625" style="2" customWidth="1"/>
    <col min="6" max="6" width="4.62890625" style="2" customWidth="1"/>
    <col min="7" max="7" width="5.62890625" style="2" customWidth="1"/>
    <col min="8" max="8" width="8.62890625" style="2" customWidth="1"/>
    <col min="9" max="9" width="3.62890625" style="2" customWidth="1"/>
    <col min="10" max="10" width="4.62890625" style="2" customWidth="1"/>
    <col min="11" max="11" width="3.62890625" style="2" customWidth="1"/>
    <col min="12" max="12" width="6.62890625" style="2" customWidth="1"/>
    <col min="13" max="13" width="2.62890625" style="2" customWidth="1"/>
    <col min="14" max="14" width="6.62890625" style="2" customWidth="1"/>
    <col min="15" max="15" width="2.1015625" style="2" customWidth="1"/>
    <col min="16" max="16" width="6.62890625" style="2" customWidth="1"/>
    <col min="17" max="17" width="2.62890625" style="2" customWidth="1"/>
    <col min="18" max="18" width="6.62890625" style="2" customWidth="1"/>
    <col min="19" max="19" width="2.62890625" style="2" customWidth="1"/>
    <col min="20" max="20" width="3.62890625" style="2" customWidth="1"/>
    <col min="21" max="21" width="0.89453125" style="2" customWidth="1"/>
    <col min="22" max="22" width="2.26171875" style="2" customWidth="1"/>
    <col min="23" max="23" width="6.62890625" style="2" customWidth="1"/>
    <col min="24" max="16384" width="9" style="2"/>
  </cols>
  <sheetData>
    <row r="2" spans="1:27" ht="12.6" thickBot="1" x14ac:dyDescent="0.35">
      <c r="A2" s="59" t="s">
        <v>26</v>
      </c>
      <c r="B2" s="50"/>
      <c r="H2" s="3" t="s">
        <v>1</v>
      </c>
      <c r="K2" s="2" t="s">
        <v>3</v>
      </c>
    </row>
    <row r="3" spans="1:27" ht="12.6" thickTop="1" x14ac:dyDescent="0.3">
      <c r="H3" s="3" t="s">
        <v>2</v>
      </c>
      <c r="J3" s="193">
        <f>R14</f>
        <v>0.245</v>
      </c>
      <c r="K3" s="194"/>
      <c r="L3" s="4"/>
      <c r="M3" s="5"/>
      <c r="T3" s="6"/>
      <c r="U3" s="32"/>
      <c r="W3" s="7"/>
    </row>
    <row r="4" spans="1:27" x14ac:dyDescent="0.3">
      <c r="H4" s="49">
        <v>1</v>
      </c>
      <c r="K4" s="8"/>
      <c r="L4" s="9"/>
      <c r="M4" s="5" t="s">
        <v>4</v>
      </c>
      <c r="N4" s="10">
        <f>N16</f>
        <v>0.55500000000000005</v>
      </c>
      <c r="T4" s="11"/>
      <c r="U4" s="32"/>
      <c r="W4" s="12"/>
    </row>
    <row r="5" spans="1:27" x14ac:dyDescent="0.3">
      <c r="A5" s="2" t="s">
        <v>0</v>
      </c>
      <c r="L5" s="9"/>
      <c r="M5" s="13"/>
      <c r="R5" s="193">
        <f>R16</f>
        <v>1000</v>
      </c>
      <c r="S5" s="194"/>
      <c r="T5" s="11"/>
      <c r="U5" s="32"/>
      <c r="W5" s="12"/>
    </row>
    <row r="6" spans="1:27" x14ac:dyDescent="0.3">
      <c r="A6" s="14" t="s">
        <v>5</v>
      </c>
      <c r="B6" s="15" t="s">
        <v>27</v>
      </c>
      <c r="C6" s="15">
        <f>N13/2-N14/2</f>
        <v>3.3975</v>
      </c>
      <c r="D6" s="16" t="s">
        <v>28</v>
      </c>
      <c r="E6" s="16"/>
      <c r="F6" s="16"/>
      <c r="K6" s="17"/>
      <c r="L6" s="18"/>
      <c r="M6" s="18"/>
      <c r="N6" s="19"/>
      <c r="O6" s="19"/>
      <c r="P6" s="20"/>
      <c r="Q6" s="21"/>
      <c r="R6" s="22"/>
      <c r="S6" s="22"/>
      <c r="T6" s="23"/>
      <c r="U6" s="22"/>
      <c r="W6" s="24"/>
      <c r="Z6" s="2" t="s">
        <v>29</v>
      </c>
      <c r="AA6" s="2" t="str">
        <f>"@100"</f>
        <v>@100</v>
      </c>
    </row>
    <row r="7" spans="1:27" x14ac:dyDescent="0.3">
      <c r="A7" s="2" t="s">
        <v>22</v>
      </c>
      <c r="K7" s="25"/>
      <c r="L7" s="26"/>
      <c r="M7" s="26"/>
      <c r="N7" s="26"/>
      <c r="O7" s="26"/>
      <c r="P7" s="27"/>
      <c r="Q7" s="21"/>
      <c r="R7" s="22"/>
      <c r="S7" s="22"/>
      <c r="T7" s="22"/>
      <c r="U7" s="22"/>
      <c r="Z7" s="2" t="s">
        <v>30</v>
      </c>
      <c r="AA7" s="2" t="str">
        <f>"@125"</f>
        <v>@125</v>
      </c>
    </row>
    <row r="8" spans="1:27" ht="15" customHeight="1" x14ac:dyDescent="0.3">
      <c r="A8" s="14" t="s">
        <v>6</v>
      </c>
      <c r="B8" s="2" t="s">
        <v>79</v>
      </c>
      <c r="C8" s="44">
        <f>N17*1*R13*N16</f>
        <v>15.140400000000001</v>
      </c>
      <c r="D8" s="28" t="s">
        <v>31</v>
      </c>
      <c r="E8" s="28"/>
      <c r="F8" s="28"/>
      <c r="K8" s="22"/>
      <c r="L8" s="22"/>
      <c r="M8" s="22"/>
      <c r="N8" s="22"/>
      <c r="O8" s="22"/>
      <c r="P8" s="22"/>
      <c r="Q8" s="22"/>
      <c r="R8" s="22"/>
      <c r="W8" s="29">
        <f>R15</f>
        <v>450</v>
      </c>
      <c r="Z8" s="2" t="s">
        <v>32</v>
      </c>
      <c r="AA8" s="2" t="str">
        <f>"@150"</f>
        <v>@150</v>
      </c>
    </row>
    <row r="9" spans="1:27" ht="10" customHeight="1" x14ac:dyDescent="0.3">
      <c r="C9" s="3"/>
      <c r="K9" s="30"/>
      <c r="L9" s="31"/>
      <c r="M9" s="31"/>
      <c r="N9" s="31"/>
      <c r="O9" s="31"/>
      <c r="P9" s="31"/>
      <c r="Q9" s="21"/>
      <c r="R9" s="22"/>
      <c r="W9" s="32"/>
      <c r="Z9" s="2" t="s">
        <v>33</v>
      </c>
      <c r="AA9" s="2" t="str">
        <f>"@175"</f>
        <v>@175</v>
      </c>
    </row>
    <row r="10" spans="1:27" x14ac:dyDescent="0.3">
      <c r="A10" s="14" t="s">
        <v>7</v>
      </c>
      <c r="B10" s="3" t="s">
        <v>34</v>
      </c>
      <c r="C10" s="44">
        <f>C8*C6</f>
        <v>51.439509000000001</v>
      </c>
      <c r="D10" s="28" t="s">
        <v>35</v>
      </c>
      <c r="E10" s="28"/>
      <c r="F10" s="28"/>
      <c r="K10" s="3"/>
      <c r="L10" s="3"/>
      <c r="M10" s="3" t="s">
        <v>36</v>
      </c>
      <c r="S10" s="32"/>
      <c r="T10" s="32"/>
      <c r="U10" s="32"/>
      <c r="Z10" s="2" t="s">
        <v>37</v>
      </c>
      <c r="AA10" s="2" t="str">
        <f>"@200"</f>
        <v>@200</v>
      </c>
    </row>
    <row r="11" spans="1:27" x14ac:dyDescent="0.3">
      <c r="K11" s="33"/>
      <c r="L11" s="34" t="s">
        <v>8</v>
      </c>
      <c r="M11" s="34" t="s">
        <v>9</v>
      </c>
      <c r="N11" s="35">
        <f>R13</f>
        <v>1.6</v>
      </c>
      <c r="O11" s="36"/>
      <c r="P11" s="36"/>
      <c r="Q11" s="11"/>
      <c r="R11" s="32"/>
      <c r="T11" s="14" t="s">
        <v>75</v>
      </c>
      <c r="V11" s="2" t="s">
        <v>9</v>
      </c>
      <c r="W11" s="2">
        <f>(R15/10-6*2)*(R16/10-6*2)</f>
        <v>2904</v>
      </c>
      <c r="X11" s="2" t="s">
        <v>10</v>
      </c>
    </row>
    <row r="12" spans="1:27" x14ac:dyDescent="0.3">
      <c r="B12" s="14" t="s">
        <v>11</v>
      </c>
      <c r="C12" s="43">
        <f>IF(H4=1,(4*W14*1000/3*(R15/1000)^2*(R16/1000))/3,2*(4*W14*1000/3*(R15/1000)^2*(R16/1000))/3)</f>
        <v>1890</v>
      </c>
      <c r="D12" s="43" t="s">
        <v>38</v>
      </c>
      <c r="E12" s="44" t="s">
        <v>6</v>
      </c>
      <c r="F12" s="28">
        <f>C10</f>
        <v>51.439509000000001</v>
      </c>
      <c r="G12" s="42" t="str">
        <f>IF(C12&gt;F12,"･･･O.K.","･･･NG")</f>
        <v>･･･O.K.</v>
      </c>
      <c r="H12" s="42"/>
      <c r="K12" s="3"/>
      <c r="L12" s="3"/>
      <c r="M12" s="3"/>
      <c r="T12" s="14" t="s">
        <v>12</v>
      </c>
      <c r="V12" s="2" t="s">
        <v>9</v>
      </c>
      <c r="W12" s="2">
        <f>2*((R15/10-6*2)+(R16/10-6*2))</f>
        <v>242</v>
      </c>
      <c r="X12" s="2" t="s">
        <v>13</v>
      </c>
    </row>
    <row r="13" spans="1:27" x14ac:dyDescent="0.3">
      <c r="K13" s="3"/>
      <c r="L13" s="3" t="s">
        <v>14</v>
      </c>
      <c r="M13" s="3" t="s">
        <v>9</v>
      </c>
      <c r="N13" s="41">
        <v>7.4950000000000001</v>
      </c>
      <c r="P13" s="14" t="s">
        <v>15</v>
      </c>
      <c r="Q13" s="2" t="s">
        <v>9</v>
      </c>
      <c r="R13" s="41">
        <v>1.6</v>
      </c>
    </row>
    <row r="14" spans="1:27" ht="12.9" x14ac:dyDescent="0.3">
      <c r="L14" s="3" t="s">
        <v>16</v>
      </c>
      <c r="M14" s="3" t="s">
        <v>9</v>
      </c>
      <c r="N14" s="41">
        <v>0.7</v>
      </c>
      <c r="P14" s="14" t="s">
        <v>17</v>
      </c>
      <c r="Q14" s="2" t="s">
        <v>9</v>
      </c>
      <c r="R14" s="41">
        <v>0.245</v>
      </c>
      <c r="T14" s="187" t="s">
        <v>18</v>
      </c>
      <c r="U14" s="187"/>
      <c r="V14" s="188"/>
      <c r="W14" s="52">
        <v>21</v>
      </c>
      <c r="X14" s="2" t="s">
        <v>19</v>
      </c>
    </row>
    <row r="15" spans="1:27" ht="12.75" customHeight="1" x14ac:dyDescent="0.3">
      <c r="A15" s="2" t="s">
        <v>20</v>
      </c>
      <c r="L15" s="3" t="s">
        <v>39</v>
      </c>
      <c r="M15" s="3" t="s">
        <v>40</v>
      </c>
      <c r="N15" s="41">
        <v>0.7</v>
      </c>
      <c r="P15" s="14" t="s">
        <v>41</v>
      </c>
      <c r="Q15" s="3" t="s">
        <v>40</v>
      </c>
      <c r="R15" s="41">
        <v>450</v>
      </c>
      <c r="S15" s="14"/>
      <c r="T15" s="187" t="s">
        <v>42</v>
      </c>
      <c r="U15" s="187"/>
      <c r="V15" s="189"/>
      <c r="W15" s="52">
        <v>21.5</v>
      </c>
      <c r="X15" s="2" t="s">
        <v>43</v>
      </c>
    </row>
    <row r="16" spans="1:27" ht="12.75" customHeight="1" x14ac:dyDescent="0.3">
      <c r="A16" s="2" t="s">
        <v>21</v>
      </c>
      <c r="L16" s="3" t="s">
        <v>44</v>
      </c>
      <c r="M16" s="3" t="s">
        <v>40</v>
      </c>
      <c r="N16" s="41">
        <f>R13/2-R14</f>
        <v>0.55500000000000005</v>
      </c>
      <c r="P16" s="14" t="s">
        <v>45</v>
      </c>
      <c r="Q16" s="3" t="s">
        <v>40</v>
      </c>
      <c r="R16" s="41">
        <v>1000</v>
      </c>
      <c r="S16" s="14"/>
      <c r="T16" s="187" t="s">
        <v>78</v>
      </c>
      <c r="U16" s="187"/>
      <c r="V16" s="189"/>
      <c r="W16" s="52">
        <v>19.5</v>
      </c>
      <c r="X16" s="2" t="s">
        <v>43</v>
      </c>
    </row>
    <row r="17" spans="1:24" x14ac:dyDescent="0.3">
      <c r="A17" s="14" t="s">
        <v>46</v>
      </c>
      <c r="B17" s="2" t="s">
        <v>47</v>
      </c>
      <c r="K17" s="2" t="s">
        <v>48</v>
      </c>
      <c r="L17" s="3"/>
      <c r="M17" s="3" t="s">
        <v>40</v>
      </c>
      <c r="N17" s="41">
        <v>17.05</v>
      </c>
      <c r="Q17" s="3"/>
    </row>
    <row r="18" spans="1:24" x14ac:dyDescent="0.3">
      <c r="A18" s="14" t="s">
        <v>40</v>
      </c>
      <c r="B18" s="44">
        <f>IF(H4=1,(C10*100*W12)/(2*W15*W11),(C10*100*W12)/(2*W15*1.5*W11))</f>
        <v>9.968897093023255</v>
      </c>
      <c r="C18" s="2" t="s">
        <v>49</v>
      </c>
      <c r="O18" s="32"/>
    </row>
    <row r="20" spans="1:24" x14ac:dyDescent="0.3">
      <c r="A20" s="2" t="s">
        <v>50</v>
      </c>
      <c r="O20" s="8"/>
    </row>
    <row r="21" spans="1:24" x14ac:dyDescent="0.3">
      <c r="B21" s="3" t="s">
        <v>51</v>
      </c>
      <c r="C21" s="47">
        <v>4</v>
      </c>
      <c r="D21" s="3" t="s">
        <v>52</v>
      </c>
      <c r="E21" s="47" t="s">
        <v>53</v>
      </c>
      <c r="F21" s="3" t="s">
        <v>54</v>
      </c>
      <c r="G21" s="3">
        <f>IF(E21="D22",3.87*C21,IF(E21="D13",1.27*C21,IF(E21="D16",1.99*C21,IF(E21="D19",2.87*C21,0))))</f>
        <v>11.48</v>
      </c>
      <c r="H21" s="10" t="s">
        <v>55</v>
      </c>
      <c r="L21" s="38"/>
      <c r="M21" s="38"/>
      <c r="N21" s="38"/>
      <c r="O21" s="8"/>
      <c r="P21" s="38"/>
      <c r="Q21" s="38"/>
      <c r="R21" s="38"/>
      <c r="S21" s="38"/>
      <c r="T21" s="38"/>
      <c r="U21" s="32"/>
      <c r="W21" s="196" t="s">
        <v>56</v>
      </c>
      <c r="X21" s="198">
        <f>R13</f>
        <v>1.6</v>
      </c>
    </row>
    <row r="22" spans="1:24" x14ac:dyDescent="0.3">
      <c r="B22" s="3" t="s">
        <v>23</v>
      </c>
      <c r="C22" s="47">
        <v>2</v>
      </c>
      <c r="D22" s="3" t="s">
        <v>57</v>
      </c>
      <c r="E22" s="47" t="s">
        <v>58</v>
      </c>
      <c r="F22" s="3" t="s">
        <v>59</v>
      </c>
      <c r="G22" s="3">
        <f>IF(E22="D10",0.71*C22,IF(E22="D13",1.27*C22,IF(E22="D16",1.99*C22,IF(E22="D19",2.87*C22,0))))</f>
        <v>2.54</v>
      </c>
      <c r="H22" s="10" t="s">
        <v>60</v>
      </c>
      <c r="J22" s="14"/>
      <c r="K22" s="32"/>
      <c r="O22" s="32"/>
      <c r="Q22" s="32"/>
      <c r="R22" s="32"/>
      <c r="W22" s="197"/>
      <c r="X22" s="198"/>
    </row>
    <row r="23" spans="1:24" ht="5.0999999999999996" customHeight="1" x14ac:dyDescent="0.3">
      <c r="L23" s="32"/>
      <c r="M23" s="53"/>
      <c r="N23" s="32"/>
      <c r="O23" s="8"/>
      <c r="P23" s="32"/>
      <c r="Q23" s="32"/>
      <c r="R23" s="32"/>
      <c r="S23" s="53"/>
      <c r="T23" s="32"/>
      <c r="U23" s="32"/>
      <c r="W23" s="197"/>
      <c r="X23" s="198"/>
    </row>
    <row r="24" spans="1:24" ht="5.0999999999999996" customHeight="1" x14ac:dyDescent="0.3">
      <c r="B24" s="36"/>
      <c r="C24" s="36"/>
      <c r="D24" s="36"/>
      <c r="E24" s="36"/>
      <c r="F24" s="36"/>
      <c r="G24" s="36"/>
      <c r="H24" s="36"/>
      <c r="L24" s="32"/>
      <c r="M24" s="8"/>
      <c r="N24" s="32"/>
      <c r="O24" s="8"/>
      <c r="P24" s="32"/>
      <c r="Q24" s="32"/>
      <c r="R24" s="32"/>
      <c r="S24" s="8"/>
      <c r="T24" s="32"/>
      <c r="U24" s="32"/>
      <c r="W24" s="197"/>
      <c r="X24" s="198"/>
    </row>
    <row r="25" spans="1:24" x14ac:dyDescent="0.3">
      <c r="E25" s="2" t="s">
        <v>61</v>
      </c>
      <c r="F25" s="2" t="s">
        <v>62</v>
      </c>
      <c r="G25" s="2">
        <f>G21+G22</f>
        <v>14.02</v>
      </c>
      <c r="H25" s="10" t="s">
        <v>63</v>
      </c>
      <c r="I25" s="2" t="s">
        <v>64</v>
      </c>
      <c r="J25" s="2" t="str">
        <f>IF(G25&gt;B18,"･･･O.K.","･･･NG")</f>
        <v>･･･O.K.</v>
      </c>
      <c r="L25" s="46"/>
      <c r="M25" s="54"/>
      <c r="N25" s="55"/>
      <c r="O25" s="8"/>
      <c r="P25" s="56"/>
      <c r="Q25" s="56"/>
      <c r="R25" s="46"/>
      <c r="S25" s="54"/>
      <c r="T25" s="57"/>
      <c r="U25" s="39"/>
      <c r="V25" s="46"/>
      <c r="W25" s="51" t="s">
        <v>77</v>
      </c>
      <c r="X25" s="10"/>
    </row>
    <row r="26" spans="1:24" x14ac:dyDescent="0.3">
      <c r="L26" s="36"/>
      <c r="M26" s="36"/>
      <c r="N26" s="36"/>
      <c r="O26" s="8"/>
      <c r="P26" s="36"/>
      <c r="Q26" s="36"/>
      <c r="R26" s="36"/>
      <c r="S26" s="36"/>
      <c r="T26" s="36"/>
      <c r="U26" s="32"/>
      <c r="W26" s="58">
        <f>N15</f>
        <v>0.7</v>
      </c>
    </row>
    <row r="27" spans="1:24" x14ac:dyDescent="0.3">
      <c r="L27" s="32"/>
      <c r="M27" s="32"/>
      <c r="N27" s="32"/>
      <c r="O27" s="8"/>
      <c r="P27" s="32"/>
      <c r="S27" s="32"/>
      <c r="T27" s="32"/>
      <c r="U27" s="32"/>
    </row>
    <row r="28" spans="1:24" x14ac:dyDescent="0.3">
      <c r="M28" s="1" t="s">
        <v>65</v>
      </c>
      <c r="N28" s="3">
        <f>N14</f>
        <v>0.7</v>
      </c>
      <c r="O28" s="32"/>
    </row>
    <row r="29" spans="1:24" x14ac:dyDescent="0.3">
      <c r="N29" s="39" t="s">
        <v>66</v>
      </c>
      <c r="O29" s="39"/>
      <c r="P29" s="40">
        <f>N13</f>
        <v>7.4950000000000001</v>
      </c>
    </row>
    <row r="30" spans="1:24" x14ac:dyDescent="0.3">
      <c r="A30" s="2" t="s">
        <v>25</v>
      </c>
      <c r="C30" s="37" t="s">
        <v>24</v>
      </c>
      <c r="D30" s="2" t="s">
        <v>67</v>
      </c>
      <c r="H30" s="2" t="s">
        <v>68</v>
      </c>
    </row>
    <row r="31" spans="1:24" x14ac:dyDescent="0.3">
      <c r="A31" s="14" t="str">
        <f>"@≦"</f>
        <v>@≦</v>
      </c>
      <c r="B31" s="2" t="s">
        <v>69</v>
      </c>
      <c r="D31" s="3" t="s">
        <v>70</v>
      </c>
      <c r="E31" s="42">
        <f>IF(C30="D13",(1.27*2*W16*W11)/F12/100,IF(C30="D10",(0.71*2*W16*W11)/F12/100))</f>
        <v>27.961993183099786</v>
      </c>
      <c r="F31" s="3" t="s">
        <v>71</v>
      </c>
      <c r="G31" s="3" t="s">
        <v>72</v>
      </c>
      <c r="H31" s="2" t="s">
        <v>73</v>
      </c>
      <c r="I31" s="45" t="s">
        <v>24</v>
      </c>
      <c r="J31" s="48" t="s">
        <v>76</v>
      </c>
      <c r="K31" s="2" t="s">
        <v>74</v>
      </c>
    </row>
  </sheetData>
  <mergeCells count="7">
    <mergeCell ref="W21:W24"/>
    <mergeCell ref="X21:X24"/>
    <mergeCell ref="J3:K3"/>
    <mergeCell ref="T14:V14"/>
    <mergeCell ref="T15:V15"/>
    <mergeCell ref="T16:V16"/>
    <mergeCell ref="R5:S5"/>
  </mergeCells>
  <phoneticPr fontId="1"/>
  <dataValidations count="2">
    <dataValidation type="list" allowBlank="1" showInputMessage="1" showErrorMessage="1" sqref="E21:E22 C30 I31" xr:uid="{00000000-0002-0000-0300-000000000000}">
      <formula1>$Z$6:$Z$10</formula1>
    </dataValidation>
    <dataValidation type="list" allowBlank="1" showInputMessage="1" showErrorMessage="1" sqref="J31" xr:uid="{00000000-0002-0000-0300-000001000000}">
      <formula1>$AA$6:$AA$12</formula1>
    </dataValidation>
  </dataValidations>
  <pageMargins left="0.75" right="0.75" top="1" bottom="1" header="0.51200000000000001" footer="0.51200000000000001"/>
  <pageSetup paperSize="9" orientation="landscape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69A4C-FE11-4D9F-873D-FB4A78B2D91E}">
  <sheetPr codeName="Sheet8"/>
  <dimension ref="B2:J68"/>
  <sheetViews>
    <sheetView workbookViewId="0">
      <selection activeCell="D8" sqref="D8"/>
    </sheetView>
  </sheetViews>
  <sheetFormatPr defaultRowHeight="13.5" x14ac:dyDescent="0.5"/>
  <cols>
    <col min="1" max="1" width="4.62890625" style="206" customWidth="1"/>
    <col min="2" max="2" width="8.62890625" style="206" customWidth="1"/>
    <col min="3" max="4" width="8.89453125" style="206" bestFit="1" customWidth="1"/>
    <col min="5" max="5" width="9" style="206" customWidth="1"/>
    <col min="6" max="6" width="8.62890625" style="206" customWidth="1"/>
    <col min="7" max="7" width="9.9453125" style="206" bestFit="1" customWidth="1"/>
    <col min="8" max="8" width="9" style="206" customWidth="1"/>
    <col min="9" max="10" width="9.9453125" style="206" bestFit="1" customWidth="1"/>
    <col min="11" max="16384" width="8.83984375" style="206"/>
  </cols>
  <sheetData>
    <row r="2" spans="2:9" x14ac:dyDescent="0.5">
      <c r="B2" s="206" t="s">
        <v>361</v>
      </c>
    </row>
    <row r="3" spans="2:9" x14ac:dyDescent="0.5">
      <c r="B3" s="206" t="s">
        <v>364</v>
      </c>
    </row>
    <row r="4" spans="2:9" x14ac:dyDescent="0.5">
      <c r="B4" s="205" t="s">
        <v>254</v>
      </c>
      <c r="C4" s="205" t="s">
        <v>255</v>
      </c>
      <c r="D4" s="205" t="s">
        <v>256</v>
      </c>
      <c r="E4" s="205" t="s">
        <v>257</v>
      </c>
      <c r="F4" s="205" t="s">
        <v>259</v>
      </c>
      <c r="G4" s="205" t="s">
        <v>258</v>
      </c>
      <c r="H4" s="205" t="s">
        <v>259</v>
      </c>
    </row>
    <row r="5" spans="2:9" x14ac:dyDescent="0.5">
      <c r="B5" s="207">
        <v>24</v>
      </c>
      <c r="C5" s="208">
        <f>MIN(B5/30,0.5+1/100*B5)</f>
        <v>0.74</v>
      </c>
      <c r="D5" s="207">
        <f>+C5*1.5</f>
        <v>1.1099999999999999</v>
      </c>
      <c r="E5" s="207">
        <v>195</v>
      </c>
      <c r="F5" s="207">
        <v>295</v>
      </c>
      <c r="G5" s="207">
        <v>215</v>
      </c>
      <c r="H5" s="207">
        <v>345</v>
      </c>
    </row>
    <row r="6" spans="2:9" x14ac:dyDescent="0.5">
      <c r="B6" s="205" t="s">
        <v>260</v>
      </c>
      <c r="C6" s="205" t="s">
        <v>261</v>
      </c>
      <c r="D6" s="205" t="s">
        <v>262</v>
      </c>
      <c r="E6" s="205" t="s">
        <v>263</v>
      </c>
      <c r="F6" s="205" t="s">
        <v>264</v>
      </c>
      <c r="G6" s="205" t="s">
        <v>265</v>
      </c>
      <c r="H6" s="205"/>
    </row>
    <row r="7" spans="2:9" x14ac:dyDescent="0.5">
      <c r="B7" s="207">
        <v>300</v>
      </c>
      <c r="C7" s="207">
        <v>2800</v>
      </c>
      <c r="D7" s="207">
        <v>70</v>
      </c>
      <c r="E7" s="207">
        <f>+C7-D7</f>
        <v>2730</v>
      </c>
      <c r="F7" s="209">
        <f>ROUND(E7*7/8,1)</f>
        <v>2388.8000000000002</v>
      </c>
      <c r="G7" s="207">
        <v>1</v>
      </c>
      <c r="H7" s="207"/>
    </row>
    <row r="9" spans="2:9" x14ac:dyDescent="0.5">
      <c r="C9" s="232" t="s">
        <v>363</v>
      </c>
      <c r="D9" s="232" t="s">
        <v>222</v>
      </c>
      <c r="E9" s="232" t="s">
        <v>363</v>
      </c>
      <c r="F9" s="232" t="s">
        <v>223</v>
      </c>
    </row>
    <row r="10" spans="2:9" x14ac:dyDescent="0.5">
      <c r="C10" s="232">
        <v>15.4</v>
      </c>
      <c r="D10" s="232">
        <v>224</v>
      </c>
      <c r="E10" s="232">
        <v>15.4</v>
      </c>
      <c r="F10" s="232">
        <v>163</v>
      </c>
    </row>
    <row r="11" spans="2:9" x14ac:dyDescent="0.5">
      <c r="B11" s="215" t="s">
        <v>209</v>
      </c>
    </row>
    <row r="12" spans="2:9" x14ac:dyDescent="0.5">
      <c r="D12" s="214" t="s">
        <v>349</v>
      </c>
      <c r="E12" s="206" t="str">
        <f>CONCATENATE(B7,"^2*",C7,"*1.15*",C5,"/3/10^6=")</f>
        <v>300^2*2800*1.15*0.74/3/10^6=</v>
      </c>
      <c r="I12" s="216">
        <f>ROUND(answer1(E12),1)</f>
        <v>71.5</v>
      </c>
    </row>
    <row r="13" spans="2:9" x14ac:dyDescent="0.5">
      <c r="D13" s="214" t="s">
        <v>362</v>
      </c>
      <c r="E13" s="206" t="str">
        <f>CONCATENATE(B7,"x",F7,"x",G7,"x",C5,"/1000=")</f>
        <v>300x2388.8x1x0.74/1000=</v>
      </c>
      <c r="H13" s="216">
        <f>ROUND(answer1(E13),1)</f>
        <v>530.29999999999995</v>
      </c>
    </row>
    <row r="14" spans="2:9" x14ac:dyDescent="0.5">
      <c r="D14" s="214" t="s">
        <v>208</v>
      </c>
      <c r="E14" s="251" t="str">
        <f>CONCATENATE("(",C10,"/",I12,")^2+(",D10,"/",H13,")^2=")</f>
        <v>(15.4/71.5)^2+(224/530.3)^2=</v>
      </c>
      <c r="F14" s="251"/>
      <c r="G14" s="251"/>
      <c r="H14" s="217">
        <f>ROUND(answer1(E14),1)</f>
        <v>0.2</v>
      </c>
      <c r="I14" s="206" t="str">
        <f>IF(H14&lt;1,"&lt;1(補強不要)","&gt;1(補強必要)")</f>
        <v>&lt;1(補強不要)</v>
      </c>
    </row>
    <row r="15" spans="2:9" x14ac:dyDescent="0.5">
      <c r="B15" s="206" t="s">
        <v>210</v>
      </c>
    </row>
    <row r="16" spans="2:9" x14ac:dyDescent="0.5">
      <c r="D16" s="214" t="s">
        <v>115</v>
      </c>
      <c r="E16" s="206" t="str">
        <f>CONCATENATE(B7,"^2","x",C7,"x(1.15)x",C5,"x1.5/3/10^6=")</f>
        <v>300^2x2800x(1.15)x0.74x1.5/3/10^6=</v>
      </c>
      <c r="I16" s="216">
        <f>ROUND(answer1(E16),1)</f>
        <v>107.2</v>
      </c>
    </row>
    <row r="17" spans="2:10" x14ac:dyDescent="0.5">
      <c r="D17" s="214" t="s">
        <v>365</v>
      </c>
      <c r="E17" s="252" t="str">
        <f>CONCATENATE(B7,"x",F7,"x",G7,"x",C5,"x1.5/1000=")</f>
        <v>300x2388.8x1x0.74x1.5/1000=</v>
      </c>
      <c r="F17" s="252"/>
      <c r="G17" s="252"/>
      <c r="H17" s="216">
        <f>ROUND(answer1(E17),1)</f>
        <v>795.5</v>
      </c>
    </row>
    <row r="18" spans="2:10" x14ac:dyDescent="0.5">
      <c r="D18" s="214" t="s">
        <v>208</v>
      </c>
      <c r="E18" s="252" t="str">
        <f>CONCATENATE("(",E10,"/",I16,")^2+(",F10,"/",H17,")^2=")</f>
        <v>(15.4/107.2)^2+(163/795.5)^2=</v>
      </c>
      <c r="F18" s="252"/>
      <c r="G18" s="252"/>
      <c r="H18" s="217">
        <f>ROUND(answer1(E18),1)</f>
        <v>0.1</v>
      </c>
      <c r="I18" s="206" t="str">
        <f>IF(H18&lt;1,"&lt;1(補強不要)","&gt;1(補強必要)")</f>
        <v>&lt;1(補強不要)</v>
      </c>
    </row>
    <row r="19" spans="2:10" x14ac:dyDescent="0.5">
      <c r="H19" s="217"/>
    </row>
    <row r="21" spans="2:10" x14ac:dyDescent="0.5">
      <c r="B21" s="214"/>
      <c r="E21" s="214"/>
      <c r="J21" s="220"/>
    </row>
    <row r="22" spans="2:10" x14ac:dyDescent="0.5">
      <c r="B22" s="214"/>
      <c r="E22" s="214"/>
      <c r="J22" s="220"/>
    </row>
    <row r="23" spans="2:10" x14ac:dyDescent="0.5">
      <c r="C23" s="214"/>
      <c r="E23" s="214"/>
      <c r="J23" s="220"/>
    </row>
    <row r="24" spans="2:10" x14ac:dyDescent="0.5">
      <c r="C24" s="215"/>
      <c r="E24" s="214"/>
      <c r="J24" s="220"/>
    </row>
    <row r="25" spans="2:10" x14ac:dyDescent="0.5">
      <c r="B25" s="215"/>
      <c r="E25" s="214"/>
      <c r="J25" s="220"/>
    </row>
    <row r="26" spans="2:10" x14ac:dyDescent="0.5">
      <c r="C26" s="214"/>
      <c r="F26" s="214"/>
      <c r="J26" s="220"/>
    </row>
    <row r="27" spans="2:10" x14ac:dyDescent="0.5">
      <c r="C27" s="214"/>
      <c r="E27" s="214"/>
      <c r="F27" s="221"/>
      <c r="J27" s="220"/>
    </row>
    <row r="28" spans="2:10" x14ac:dyDescent="0.5">
      <c r="C28" s="214"/>
      <c r="F28" s="214"/>
      <c r="J28" s="220"/>
    </row>
    <row r="29" spans="2:10" x14ac:dyDescent="0.5">
      <c r="E29" s="214"/>
      <c r="F29" s="221"/>
      <c r="J29" s="220"/>
    </row>
    <row r="30" spans="2:10" x14ac:dyDescent="0.5">
      <c r="C30" s="214"/>
      <c r="F30" s="214"/>
      <c r="J30" s="220"/>
    </row>
    <row r="31" spans="2:10" x14ac:dyDescent="0.5">
      <c r="C31" s="214"/>
      <c r="E31" s="214"/>
      <c r="F31" s="221"/>
      <c r="J31" s="220"/>
    </row>
    <row r="32" spans="2:10" x14ac:dyDescent="0.5">
      <c r="C32" s="214"/>
      <c r="F32" s="214"/>
      <c r="J32" s="220"/>
    </row>
    <row r="33" spans="2:10" x14ac:dyDescent="0.5">
      <c r="C33" s="214"/>
      <c r="E33" s="214"/>
      <c r="F33" s="221"/>
      <c r="J33" s="220"/>
    </row>
    <row r="34" spans="2:10" x14ac:dyDescent="0.5">
      <c r="C34" s="214"/>
      <c r="F34" s="214"/>
      <c r="J34" s="220"/>
    </row>
    <row r="35" spans="2:10" x14ac:dyDescent="0.5">
      <c r="E35" s="214"/>
      <c r="F35" s="221"/>
      <c r="J35" s="220"/>
    </row>
    <row r="36" spans="2:10" x14ac:dyDescent="0.5">
      <c r="J36" s="220"/>
    </row>
    <row r="37" spans="2:10" x14ac:dyDescent="0.5">
      <c r="J37" s="220"/>
    </row>
    <row r="38" spans="2:10" x14ac:dyDescent="0.5">
      <c r="B38" s="214"/>
      <c r="C38" s="214"/>
      <c r="D38" s="215"/>
      <c r="F38" s="214"/>
      <c r="J38" s="225"/>
    </row>
    <row r="39" spans="2:10" x14ac:dyDescent="0.5">
      <c r="B39" s="214"/>
      <c r="C39" s="214"/>
      <c r="D39" s="215"/>
      <c r="F39" s="214"/>
      <c r="J39" s="226"/>
    </row>
    <row r="40" spans="2:10" x14ac:dyDescent="0.5">
      <c r="D40" s="214"/>
      <c r="E40" s="223"/>
      <c r="F40" s="221"/>
    </row>
    <row r="41" spans="2:10" x14ac:dyDescent="0.5">
      <c r="D41" s="214"/>
      <c r="E41" s="224"/>
      <c r="F41" s="225"/>
    </row>
    <row r="42" spans="2:10" x14ac:dyDescent="0.5">
      <c r="D42" s="214"/>
      <c r="E42" s="224"/>
      <c r="F42" s="224"/>
    </row>
    <row r="43" spans="2:10" x14ac:dyDescent="0.5">
      <c r="D43" s="214"/>
      <c r="E43" s="226"/>
      <c r="F43" s="226"/>
    </row>
    <row r="44" spans="2:10" x14ac:dyDescent="0.5">
      <c r="D44" s="221"/>
      <c r="E44" s="221"/>
    </row>
    <row r="45" spans="2:10" x14ac:dyDescent="0.5">
      <c r="D45" s="221"/>
      <c r="E45" s="221"/>
      <c r="F45" s="221"/>
    </row>
    <row r="46" spans="2:10" x14ac:dyDescent="0.5">
      <c r="D46" s="221"/>
      <c r="E46" s="221"/>
      <c r="F46" s="221"/>
    </row>
    <row r="47" spans="2:10" x14ac:dyDescent="0.5">
      <c r="D47" s="221"/>
      <c r="E47" s="221"/>
      <c r="G47" s="227"/>
    </row>
    <row r="48" spans="2:10" x14ac:dyDescent="0.5">
      <c r="D48" s="221"/>
      <c r="E48" s="226"/>
      <c r="F48" s="226"/>
      <c r="G48" s="227"/>
    </row>
    <row r="51" spans="4:10" x14ac:dyDescent="0.5">
      <c r="D51" s="214"/>
      <c r="E51" s="223"/>
      <c r="F51" s="221"/>
      <c r="G51" s="223"/>
      <c r="H51" s="221"/>
      <c r="I51" s="223"/>
      <c r="J51" s="221"/>
    </row>
    <row r="52" spans="4:10" x14ac:dyDescent="0.5">
      <c r="D52" s="214"/>
      <c r="E52" s="223"/>
      <c r="F52" s="220"/>
      <c r="G52" s="223"/>
      <c r="H52" s="220"/>
      <c r="I52" s="223"/>
      <c r="J52" s="220"/>
    </row>
    <row r="53" spans="4:10" x14ac:dyDescent="0.5">
      <c r="D53" s="221"/>
      <c r="E53" s="221"/>
      <c r="F53" s="221"/>
      <c r="G53" s="221"/>
      <c r="H53" s="221"/>
      <c r="I53" s="221"/>
      <c r="J53" s="221"/>
    </row>
    <row r="54" spans="4:10" x14ac:dyDescent="0.5">
      <c r="D54" s="221"/>
      <c r="E54" s="221"/>
      <c r="F54" s="221"/>
      <c r="G54" s="221"/>
      <c r="H54" s="221"/>
      <c r="I54" s="221"/>
      <c r="J54" s="221"/>
    </row>
    <row r="55" spans="4:10" x14ac:dyDescent="0.5">
      <c r="D55" s="221"/>
      <c r="E55" s="250"/>
      <c r="F55" s="250"/>
      <c r="G55" s="250"/>
      <c r="H55" s="250"/>
      <c r="I55" s="250"/>
      <c r="J55" s="250"/>
    </row>
    <row r="56" spans="4:10" x14ac:dyDescent="0.5">
      <c r="D56" s="214"/>
      <c r="E56" s="223"/>
      <c r="F56" s="220"/>
      <c r="G56" s="223"/>
      <c r="H56" s="223"/>
      <c r="I56" s="223"/>
      <c r="J56" s="223"/>
    </row>
    <row r="57" spans="4:10" x14ac:dyDescent="0.5">
      <c r="D57" s="214"/>
      <c r="E57" s="220"/>
      <c r="F57" s="223"/>
      <c r="G57" s="220"/>
      <c r="H57" s="223"/>
      <c r="I57" s="220"/>
      <c r="J57" s="223"/>
    </row>
    <row r="58" spans="4:10" x14ac:dyDescent="0.5">
      <c r="D58" s="221"/>
      <c r="E58" s="221"/>
      <c r="F58" s="221"/>
      <c r="G58" s="221"/>
      <c r="H58" s="221"/>
      <c r="I58" s="221"/>
      <c r="J58" s="221"/>
    </row>
    <row r="59" spans="4:10" x14ac:dyDescent="0.5">
      <c r="D59" s="221"/>
      <c r="E59" s="221"/>
      <c r="F59" s="221"/>
      <c r="G59" s="221"/>
      <c r="H59" s="221"/>
      <c r="I59" s="221"/>
      <c r="J59" s="221"/>
    </row>
    <row r="60" spans="4:10" x14ac:dyDescent="0.5">
      <c r="D60" s="214"/>
      <c r="E60" s="229"/>
      <c r="F60" s="229"/>
      <c r="G60" s="229"/>
      <c r="H60" s="229"/>
      <c r="I60" s="229"/>
      <c r="J60" s="229"/>
    </row>
    <row r="61" spans="4:10" x14ac:dyDescent="0.5">
      <c r="D61" s="214"/>
      <c r="E61" s="228"/>
      <c r="F61" s="226"/>
    </row>
    <row r="66" spans="4:6" x14ac:dyDescent="0.5">
      <c r="D66" s="221"/>
      <c r="E66" s="221"/>
    </row>
    <row r="67" spans="4:6" x14ac:dyDescent="0.5">
      <c r="D67" s="221"/>
      <c r="E67" s="221"/>
    </row>
    <row r="68" spans="4:6" x14ac:dyDescent="0.5">
      <c r="D68" s="221"/>
      <c r="E68" s="226"/>
      <c r="F68" s="226"/>
    </row>
  </sheetData>
  <mergeCells count="3">
    <mergeCell ref="E17:G17"/>
    <mergeCell ref="E14:G14"/>
    <mergeCell ref="E18:G18"/>
  </mergeCells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2:J73"/>
  <sheetViews>
    <sheetView topLeftCell="A37" workbookViewId="0">
      <selection activeCell="G45" sqref="G45"/>
    </sheetView>
  </sheetViews>
  <sheetFormatPr defaultRowHeight="13.5" x14ac:dyDescent="0.5"/>
  <cols>
    <col min="1" max="1" width="4.62890625" style="206" customWidth="1"/>
    <col min="2" max="2" width="8.62890625" style="206" customWidth="1"/>
    <col min="3" max="4" width="8.89453125" style="206" bestFit="1" customWidth="1"/>
    <col min="5" max="5" width="9" style="206" customWidth="1"/>
    <col min="6" max="6" width="8.62890625" style="206" customWidth="1"/>
    <col min="7" max="7" width="9.9453125" style="206" bestFit="1" customWidth="1"/>
    <col min="8" max="8" width="9" style="206" customWidth="1"/>
    <col min="9" max="10" width="9.9453125" style="206" bestFit="1" customWidth="1"/>
    <col min="11" max="16384" width="8.83984375" style="206"/>
  </cols>
  <sheetData>
    <row r="2" spans="2:9" x14ac:dyDescent="0.5">
      <c r="B2" s="205" t="s">
        <v>254</v>
      </c>
      <c r="C2" s="205" t="s">
        <v>255</v>
      </c>
      <c r="D2" s="205" t="s">
        <v>256</v>
      </c>
      <c r="E2" s="205" t="s">
        <v>257</v>
      </c>
      <c r="F2" s="205" t="s">
        <v>259</v>
      </c>
      <c r="G2" s="205" t="s">
        <v>258</v>
      </c>
      <c r="H2" s="205" t="s">
        <v>259</v>
      </c>
    </row>
    <row r="3" spans="2:9" x14ac:dyDescent="0.5">
      <c r="B3" s="207">
        <v>24</v>
      </c>
      <c r="C3" s="208">
        <f>MIN(B3/30,0.5+1/100*B3)</f>
        <v>0.74</v>
      </c>
      <c r="D3" s="207">
        <f>+C3*1.5</f>
        <v>1.1099999999999999</v>
      </c>
      <c r="E3" s="207">
        <v>195</v>
      </c>
      <c r="F3" s="207">
        <v>295</v>
      </c>
      <c r="G3" s="207">
        <v>215</v>
      </c>
      <c r="H3" s="207">
        <v>345</v>
      </c>
    </row>
    <row r="4" spans="2:9" x14ac:dyDescent="0.5">
      <c r="B4" s="205" t="s">
        <v>260</v>
      </c>
      <c r="C4" s="205" t="s">
        <v>261</v>
      </c>
      <c r="D4" s="205" t="s">
        <v>262</v>
      </c>
      <c r="E4" s="205" t="s">
        <v>263</v>
      </c>
      <c r="F4" s="205" t="s">
        <v>264</v>
      </c>
      <c r="G4" s="205" t="s">
        <v>265</v>
      </c>
      <c r="H4" s="205"/>
    </row>
    <row r="5" spans="2:9" x14ac:dyDescent="0.5">
      <c r="B5" s="207">
        <v>300</v>
      </c>
      <c r="C5" s="207">
        <v>2800</v>
      </c>
      <c r="D5" s="207">
        <f>60+22*3</f>
        <v>126</v>
      </c>
      <c r="E5" s="207">
        <f>+C5-D5</f>
        <v>2674</v>
      </c>
      <c r="F5" s="209">
        <f>ROUND(E5*7/8,1)</f>
        <v>2339.8000000000002</v>
      </c>
      <c r="G5" s="207">
        <v>1</v>
      </c>
      <c r="H5" s="207"/>
    </row>
    <row r="6" spans="2:9" x14ac:dyDescent="0.5">
      <c r="B6" s="210"/>
      <c r="C6" s="210"/>
      <c r="D6" s="210"/>
      <c r="E6" s="210"/>
      <c r="F6" s="211"/>
      <c r="G6" s="210"/>
      <c r="H6" s="210"/>
    </row>
    <row r="7" spans="2:9" x14ac:dyDescent="0.5">
      <c r="B7" s="212"/>
      <c r="C7" s="213" t="s">
        <v>220</v>
      </c>
      <c r="D7" s="213" t="s">
        <v>231</v>
      </c>
      <c r="E7" s="213" t="s">
        <v>232</v>
      </c>
      <c r="F7" s="212"/>
      <c r="G7" s="213" t="s">
        <v>222</v>
      </c>
      <c r="H7" s="213" t="s">
        <v>223</v>
      </c>
    </row>
    <row r="8" spans="2:9" x14ac:dyDescent="0.5">
      <c r="B8" s="212" t="s">
        <v>219</v>
      </c>
      <c r="C8" s="212">
        <v>211</v>
      </c>
      <c r="D8" s="212">
        <v>213</v>
      </c>
      <c r="E8" s="212">
        <v>2</v>
      </c>
      <c r="F8" s="212"/>
      <c r="G8" s="212">
        <v>163</v>
      </c>
      <c r="H8" s="212">
        <v>164</v>
      </c>
    </row>
    <row r="9" spans="2:9" x14ac:dyDescent="0.5">
      <c r="B9" s="212" t="s">
        <v>221</v>
      </c>
      <c r="C9" s="212">
        <v>111</v>
      </c>
      <c r="D9" s="212"/>
      <c r="E9" s="212">
        <v>85</v>
      </c>
      <c r="F9" s="212"/>
      <c r="G9" s="212"/>
      <c r="H9" s="212"/>
    </row>
    <row r="10" spans="2:9" x14ac:dyDescent="0.5">
      <c r="B10" s="214" t="s">
        <v>352</v>
      </c>
      <c r="C10" s="215">
        <v>15.3</v>
      </c>
      <c r="D10" s="206" t="s">
        <v>353</v>
      </c>
      <c r="E10" s="206">
        <v>0</v>
      </c>
      <c r="F10" s="214" t="s">
        <v>207</v>
      </c>
      <c r="G10" s="215">
        <v>163</v>
      </c>
    </row>
    <row r="11" spans="2:9" x14ac:dyDescent="0.5">
      <c r="B11" s="215" t="s">
        <v>209</v>
      </c>
    </row>
    <row r="12" spans="2:9" x14ac:dyDescent="0.5">
      <c r="D12" s="214" t="s">
        <v>349</v>
      </c>
      <c r="E12" s="206" t="str">
        <f>CONCATENATE(B5,"^2*",C5,"*1.15*",C3,"/3/10^6=")</f>
        <v>300^2*2800*1.15*0.74/3/10^6=</v>
      </c>
      <c r="I12" s="216">
        <f>ROUND(answer1(E12),1)</f>
        <v>71.5</v>
      </c>
    </row>
    <row r="13" spans="2:9" x14ac:dyDescent="0.5">
      <c r="D13" s="214" t="s">
        <v>116</v>
      </c>
      <c r="E13" s="206" t="str">
        <f>CONCATENATE(B5,"x",F5,"x",G5,"x",C3,"/1000=")</f>
        <v>300x2339.8x1x0.74/1000=</v>
      </c>
      <c r="H13" s="216">
        <f>ROUND(answer1(E13),1)</f>
        <v>519.4</v>
      </c>
    </row>
    <row r="14" spans="2:9" x14ac:dyDescent="0.5">
      <c r="D14" s="214" t="s">
        <v>208</v>
      </c>
      <c r="E14" s="251" t="str">
        <f>CONCATENATE("(",C10,"/",I12,")^2+(",G10,"/",H13,")^2=")</f>
        <v>(15.3/71.5)^2+(163/519.4)^2=</v>
      </c>
      <c r="F14" s="251"/>
      <c r="G14" s="251"/>
      <c r="H14" s="217">
        <f>ROUND(answer1(E14),1)</f>
        <v>0.1</v>
      </c>
      <c r="I14" s="206" t="str">
        <f>IF(H14&lt;1,"&lt;1(補強不要)","&gt;1(補強必要)")</f>
        <v>&lt;1(補強不要)</v>
      </c>
    </row>
    <row r="15" spans="2:9" x14ac:dyDescent="0.5">
      <c r="B15" s="206" t="s">
        <v>210</v>
      </c>
    </row>
    <row r="16" spans="2:9" x14ac:dyDescent="0.5">
      <c r="D16" s="214" t="s">
        <v>115</v>
      </c>
      <c r="E16" s="206" t="str">
        <f>CONCATENATE(B5,"^2","x",C5,"x(1.15)x",C3,"x1.5/3/10^6=")</f>
        <v>300^2x2800x(1.15)x0.74x1.5/3/10^6=</v>
      </c>
      <c r="I16" s="216">
        <f>ROUND(answer1(E16),1)</f>
        <v>107.2</v>
      </c>
    </row>
    <row r="17" spans="2:10" x14ac:dyDescent="0.5">
      <c r="D17" s="214" t="s">
        <v>116</v>
      </c>
      <c r="E17" s="252" t="str">
        <f>CONCATENATE(B5,"x",F5,"x",G5,"x",C3,"x1.5/1000=")</f>
        <v>300x2339.8x1x0.74x1.5/1000=</v>
      </c>
      <c r="F17" s="252"/>
      <c r="G17" s="252"/>
      <c r="H17" s="216">
        <f>ROUND(answer1(E17),1)</f>
        <v>779.2</v>
      </c>
    </row>
    <row r="18" spans="2:10" x14ac:dyDescent="0.5">
      <c r="D18" s="214" t="s">
        <v>208</v>
      </c>
      <c r="E18" s="252" t="str">
        <f>CONCATENATE("(",C10,"/",I16,")^2+(",G10,"/",H17,")^2=")</f>
        <v>(15.3/107.2)^2+(163/779.2)^2=</v>
      </c>
      <c r="F18" s="252"/>
      <c r="G18" s="252"/>
      <c r="H18" s="217">
        <f>ROUND(answer1(E18),1)</f>
        <v>0.1</v>
      </c>
      <c r="I18" s="206" t="str">
        <f>IF(H18&lt;1,"&lt;1(補強不要)","&gt;1(補強必要)")</f>
        <v>&lt;1(補強不要)</v>
      </c>
    </row>
    <row r="19" spans="2:10" x14ac:dyDescent="0.5">
      <c r="B19" s="206" t="s">
        <v>211</v>
      </c>
      <c r="H19" s="217"/>
    </row>
    <row r="20" spans="2:10" x14ac:dyDescent="0.5">
      <c r="D20" s="214" t="s">
        <v>117</v>
      </c>
      <c r="E20" s="206" t="str">
        <f>CONCATENATE("(",B5,"-",D5,"x2)x(",C5,"-",D5,"x2)=")</f>
        <v>(300-126x2)x(2800-126x2)=</v>
      </c>
      <c r="H20" s="219">
        <f>ROUND(answer1(E20),1)</f>
        <v>122304</v>
      </c>
    </row>
    <row r="21" spans="2:10" x14ac:dyDescent="0.5">
      <c r="D21" s="214" t="s">
        <v>212</v>
      </c>
      <c r="E21" s="206" t="str">
        <f>CONCATENATE("((",B5,"-",D5,"x2)+","(",C5,"-",D5,"x2))x2=")</f>
        <v>((300-126x2)+(2800-126x2))x2=</v>
      </c>
      <c r="I21" s="219">
        <f>ROUND(answer1(E21),1)</f>
        <v>5192</v>
      </c>
    </row>
    <row r="22" spans="2:10" x14ac:dyDescent="0.5">
      <c r="B22" s="206" t="s">
        <v>213</v>
      </c>
    </row>
    <row r="23" spans="2:10" x14ac:dyDescent="0.5">
      <c r="B23" s="206" t="s">
        <v>209</v>
      </c>
      <c r="E23" s="214" t="s">
        <v>354</v>
      </c>
      <c r="F23" s="252" t="str">
        <f>CONCATENATE(C10,"x10^6/(",E3,"x",H20,"x",B5,")=")</f>
        <v>15.3x10^6/(195x122304x300)=</v>
      </c>
      <c r="G23" s="252"/>
      <c r="H23" s="252"/>
      <c r="I23" s="206">
        <f>answer1(F23)</f>
        <v>2.1384293362315342E-3</v>
      </c>
    </row>
    <row r="24" spans="2:10" x14ac:dyDescent="0.5">
      <c r="B24" s="206" t="s">
        <v>210</v>
      </c>
      <c r="E24" s="214" t="s">
        <v>355</v>
      </c>
      <c r="F24" s="252" t="str">
        <f>CONCATENATE(C10,"x10^6/(",F3,"x",H20,"x",B5,")=")</f>
        <v>15.3x10^6/(295x122304x300)=</v>
      </c>
      <c r="G24" s="252"/>
      <c r="H24" s="252"/>
      <c r="I24" s="206">
        <f>answer1(F24)</f>
        <v>1.4135380358140648E-3</v>
      </c>
    </row>
    <row r="25" spans="2:10" x14ac:dyDescent="0.5">
      <c r="B25" s="206" t="s">
        <v>216</v>
      </c>
    </row>
    <row r="26" spans="2:10" x14ac:dyDescent="0.5">
      <c r="B26" s="214" t="s">
        <v>209</v>
      </c>
      <c r="E26" s="214" t="s">
        <v>359</v>
      </c>
      <c r="F26" s="206" t="str">
        <f>CONCATENATE(C10,"*10^6*",I21,"/(2*",G3,"*",H20,")=")</f>
        <v>15.3*10^6*5192/(2*215*122304)=</v>
      </c>
      <c r="J26" s="220">
        <f>answer1(F26)</f>
        <v>1510.4870212843634</v>
      </c>
    </row>
    <row r="27" spans="2:10" x14ac:dyDescent="0.5">
      <c r="B27" s="214" t="s">
        <v>210</v>
      </c>
      <c r="E27" s="214" t="s">
        <v>360</v>
      </c>
      <c r="F27" s="206" t="str">
        <f>CONCATENATE(C10,"*10^6*",I21,"/(2*",H3,"*",H20,")=")</f>
        <v>15.3*10^6*5192/(2*345*122304)=</v>
      </c>
      <c r="J27" s="220">
        <f>answer1(F27)</f>
        <v>941.31799877141486</v>
      </c>
    </row>
    <row r="28" spans="2:10" x14ac:dyDescent="0.5">
      <c r="C28" s="214"/>
      <c r="E28" s="214"/>
      <c r="J28" s="220"/>
    </row>
    <row r="29" spans="2:10" x14ac:dyDescent="0.5">
      <c r="C29" s="215"/>
      <c r="E29" s="214"/>
      <c r="J29" s="220"/>
    </row>
    <row r="30" spans="2:10" x14ac:dyDescent="0.5">
      <c r="B30" s="215" t="s">
        <v>218</v>
      </c>
      <c r="E30" s="214"/>
      <c r="J30" s="220"/>
    </row>
    <row r="31" spans="2:10" x14ac:dyDescent="0.5">
      <c r="C31" s="214" t="s">
        <v>224</v>
      </c>
      <c r="D31" s="206" t="s">
        <v>229</v>
      </c>
      <c r="F31" s="214" t="s">
        <v>357</v>
      </c>
      <c r="G31" s="206" t="str">
        <f>CONCATENATE(C8,"*10^6/(",G3,"*",F5,")=")</f>
        <v>211*10^6/(215*2339.8)=</v>
      </c>
      <c r="J31" s="220">
        <f>answer1(G31)</f>
        <v>419.43557091939874</v>
      </c>
    </row>
    <row r="32" spans="2:10" x14ac:dyDescent="0.5">
      <c r="C32" s="214"/>
      <c r="E32" s="214" t="s">
        <v>228</v>
      </c>
      <c r="F32" s="221" t="s">
        <v>350</v>
      </c>
      <c r="G32" s="206">
        <f>Bar_1(F32,11)*100</f>
        <v>193500</v>
      </c>
      <c r="J32" s="220"/>
    </row>
    <row r="33" spans="2:10" x14ac:dyDescent="0.5">
      <c r="C33" s="214" t="s">
        <v>221</v>
      </c>
      <c r="D33" s="206" t="s">
        <v>230</v>
      </c>
      <c r="F33" s="214" t="s">
        <v>357</v>
      </c>
      <c r="G33" s="206" t="str">
        <f>CONCATENATE(C9,"x10^6/(",G3,"*",F5,")=")</f>
        <v>111x10^6/(215*2339.8)=</v>
      </c>
      <c r="J33" s="220">
        <f t="shared" ref="J33:J39" si="0">answer1(G33)</f>
        <v>220.65094015191119</v>
      </c>
    </row>
    <row r="34" spans="2:10" x14ac:dyDescent="0.5">
      <c r="E34" s="214" t="s">
        <v>228</v>
      </c>
      <c r="F34" s="221" t="s">
        <v>350</v>
      </c>
      <c r="G34" s="206">
        <f>Bar_1(F34,11)*100</f>
        <v>193500</v>
      </c>
      <c r="J34" s="220"/>
    </row>
    <row r="35" spans="2:10" x14ac:dyDescent="0.5">
      <c r="C35" s="214" t="s">
        <v>226</v>
      </c>
      <c r="D35" s="206" t="s">
        <v>229</v>
      </c>
      <c r="F35" s="214" t="s">
        <v>358</v>
      </c>
      <c r="G35" s="206" t="str">
        <f>CONCATENATE(D8,"*10^6/(",H3,"*",F5,")=")</f>
        <v>213*10^6/(345*2339.8)=</v>
      </c>
      <c r="J35" s="220">
        <f t="shared" si="0"/>
        <v>263.86499031875633</v>
      </c>
    </row>
    <row r="36" spans="2:10" x14ac:dyDescent="0.5">
      <c r="C36" s="214"/>
      <c r="E36" s="214" t="s">
        <v>228</v>
      </c>
      <c r="F36" s="221" t="s">
        <v>350</v>
      </c>
      <c r="G36" s="206">
        <f>Bar_1(F36,11)*100</f>
        <v>193500</v>
      </c>
      <c r="J36" s="220"/>
    </row>
    <row r="37" spans="2:10" x14ac:dyDescent="0.5">
      <c r="C37" s="214"/>
      <c r="D37" s="206" t="s">
        <v>230</v>
      </c>
      <c r="F37" s="214" t="s">
        <v>227</v>
      </c>
      <c r="G37" s="206" t="str">
        <f>CONCATENATE(E8,"*10^6/(",H3,"*",F5,")=")</f>
        <v>2*10^6/(345*2339.8)=</v>
      </c>
      <c r="J37" s="220">
        <f t="shared" si="0"/>
        <v>2.4776055428991204</v>
      </c>
    </row>
    <row r="38" spans="2:10" x14ac:dyDescent="0.5">
      <c r="C38" s="214"/>
      <c r="E38" s="214" t="s">
        <v>228</v>
      </c>
      <c r="F38" s="221" t="s">
        <v>350</v>
      </c>
      <c r="G38" s="206">
        <f>Bar_1(F38,11)*100</f>
        <v>193500</v>
      </c>
      <c r="J38" s="220"/>
    </row>
    <row r="39" spans="2:10" x14ac:dyDescent="0.5">
      <c r="C39" s="214" t="s">
        <v>221</v>
      </c>
      <c r="D39" s="206" t="s">
        <v>230</v>
      </c>
      <c r="F39" s="214" t="s">
        <v>358</v>
      </c>
      <c r="G39" s="206" t="str">
        <f>CONCATENATE(E9,"*10^6/(",H3,"*",F5,")=")</f>
        <v>85*10^6/(345*2339.8)=</v>
      </c>
      <c r="J39" s="220">
        <f t="shared" si="0"/>
        <v>105.29823557321261</v>
      </c>
    </row>
    <row r="40" spans="2:10" x14ac:dyDescent="0.5">
      <c r="E40" s="214" t="s">
        <v>228</v>
      </c>
      <c r="F40" s="221" t="s">
        <v>350</v>
      </c>
      <c r="G40" s="206">
        <f>Bar_1(F40,11)*100</f>
        <v>193500</v>
      </c>
      <c r="J40" s="220"/>
    </row>
    <row r="41" spans="2:10" x14ac:dyDescent="0.5">
      <c r="B41" s="206" t="s">
        <v>233</v>
      </c>
      <c r="J41" s="220"/>
    </row>
    <row r="42" spans="2:10" x14ac:dyDescent="0.5">
      <c r="J42" s="220"/>
    </row>
    <row r="43" spans="2:10" x14ac:dyDescent="0.5">
      <c r="B43" s="214" t="s">
        <v>209</v>
      </c>
      <c r="C43" s="214" t="s">
        <v>235</v>
      </c>
      <c r="D43" s="215">
        <f>+G8</f>
        <v>163</v>
      </c>
      <c r="F43" s="214" t="s">
        <v>356</v>
      </c>
      <c r="G43" s="206" t="str">
        <f>CONCATENATE(D43,"*1000/(",B5,"*",F5,")=")</f>
        <v>163*1000/(300*2339.8)=</v>
      </c>
      <c r="J43" s="225">
        <f>answer1(G43)</f>
        <v>0.23221357950822008</v>
      </c>
    </row>
    <row r="44" spans="2:10" x14ac:dyDescent="0.5">
      <c r="B44" s="214" t="s">
        <v>210</v>
      </c>
      <c r="C44" s="214" t="s">
        <v>235</v>
      </c>
      <c r="D44" s="215">
        <f>H8</f>
        <v>164</v>
      </c>
      <c r="F44" s="214" t="s">
        <v>356</v>
      </c>
      <c r="G44" s="206" t="str">
        <f>CONCATENATE(D44,"*1000/(",B5,"*",F5,")=")</f>
        <v>164*1000/(300*2339.8)=</v>
      </c>
      <c r="J44" s="226">
        <f>answer1(G44)</f>
        <v>0.23363820269538707</v>
      </c>
    </row>
    <row r="45" spans="2:10" x14ac:dyDescent="0.5">
      <c r="D45" s="214"/>
      <c r="E45" s="223" t="s">
        <v>209</v>
      </c>
      <c r="F45" s="221" t="s">
        <v>210</v>
      </c>
    </row>
    <row r="46" spans="2:10" x14ac:dyDescent="0.5">
      <c r="D46" s="214" t="s">
        <v>237</v>
      </c>
      <c r="E46" s="224">
        <f>+I23*100</f>
        <v>0.21384293362315343</v>
      </c>
      <c r="F46" s="225">
        <f>+I24*100</f>
        <v>0.14135380358140648</v>
      </c>
    </row>
    <row r="47" spans="2:10" x14ac:dyDescent="0.5">
      <c r="D47" s="214" t="s">
        <v>238</v>
      </c>
      <c r="E47" s="224">
        <f>IF(J43&lt;C3,0,J43)</f>
        <v>0</v>
      </c>
      <c r="F47" s="224">
        <f>IF(J44&lt;D3,0,#REF!)</f>
        <v>0</v>
      </c>
    </row>
    <row r="48" spans="2:10" x14ac:dyDescent="0.5">
      <c r="D48" s="214" t="s">
        <v>243</v>
      </c>
      <c r="E48" s="226">
        <f>SUM(E46:E47)</f>
        <v>0.21384293362315343</v>
      </c>
      <c r="F48" s="226">
        <f>SUM(F46:F47)</f>
        <v>0.14135380358140648</v>
      </c>
    </row>
    <row r="49" spans="4:10" x14ac:dyDescent="0.5">
      <c r="D49" s="221" t="s">
        <v>239</v>
      </c>
      <c r="E49" s="221" t="s">
        <v>240</v>
      </c>
      <c r="F49" s="206" t="str">
        <f>+E49</f>
        <v>2-D10</v>
      </c>
    </row>
    <row r="50" spans="4:10" x14ac:dyDescent="0.5">
      <c r="D50" s="221" t="s">
        <v>242</v>
      </c>
      <c r="E50" s="221">
        <f>Bar_1(E49,11)</f>
        <v>142</v>
      </c>
      <c r="F50" s="221">
        <f>Bar_1(F49,11)</f>
        <v>142</v>
      </c>
    </row>
    <row r="51" spans="4:10" x14ac:dyDescent="0.5">
      <c r="D51" s="221"/>
      <c r="E51" s="221">
        <v>200</v>
      </c>
      <c r="F51" s="221">
        <f>+E51</f>
        <v>200</v>
      </c>
    </row>
    <row r="52" spans="4:10" x14ac:dyDescent="0.5">
      <c r="D52" s="221" t="s">
        <v>241</v>
      </c>
      <c r="E52" s="221">
        <f>+E50/E51/B5*100</f>
        <v>0.23666666666666666</v>
      </c>
      <c r="F52" s="206">
        <f>+E52</f>
        <v>0.23666666666666666</v>
      </c>
      <c r="G52" s="227"/>
    </row>
    <row r="53" spans="4:10" x14ac:dyDescent="0.5">
      <c r="D53" s="221" t="s">
        <v>244</v>
      </c>
      <c r="E53" s="226">
        <f>+E48/E52</f>
        <v>0.90356169136543707</v>
      </c>
      <c r="F53" s="226">
        <f>+F48/F52</f>
        <v>0.59726959259749213</v>
      </c>
      <c r="G53" s="227"/>
    </row>
    <row r="55" spans="4:10" x14ac:dyDescent="0.5">
      <c r="E55" s="206" t="s">
        <v>251</v>
      </c>
      <c r="G55" s="206" t="s">
        <v>252</v>
      </c>
      <c r="I55" s="206" t="s">
        <v>221</v>
      </c>
    </row>
    <row r="56" spans="4:10" x14ac:dyDescent="0.5">
      <c r="D56" s="214"/>
      <c r="E56" s="223" t="s">
        <v>209</v>
      </c>
      <c r="F56" s="221" t="s">
        <v>210</v>
      </c>
      <c r="G56" s="223" t="s">
        <v>209</v>
      </c>
      <c r="H56" s="221" t="s">
        <v>210</v>
      </c>
      <c r="I56" s="223" t="s">
        <v>209</v>
      </c>
      <c r="J56" s="221" t="s">
        <v>210</v>
      </c>
    </row>
    <row r="57" spans="4:10" x14ac:dyDescent="0.5">
      <c r="D57" s="214" t="s">
        <v>245</v>
      </c>
      <c r="E57" s="223">
        <f>+J26</f>
        <v>1510.4870212843634</v>
      </c>
      <c r="F57" s="220">
        <f>+J27</f>
        <v>941.31799877141486</v>
      </c>
      <c r="G57" s="223">
        <v>0</v>
      </c>
      <c r="H57" s="220">
        <v>0</v>
      </c>
      <c r="I57" s="223">
        <f>+J26</f>
        <v>1510.4870212843634</v>
      </c>
      <c r="J57" s="220">
        <f>+J27</f>
        <v>941.31799877141486</v>
      </c>
    </row>
    <row r="58" spans="4:10" x14ac:dyDescent="0.5">
      <c r="D58" s="221" t="s">
        <v>239</v>
      </c>
      <c r="E58" s="221" t="s">
        <v>351</v>
      </c>
      <c r="F58" s="221" t="s">
        <v>351</v>
      </c>
      <c r="G58" s="221" t="s">
        <v>351</v>
      </c>
      <c r="H58" s="221" t="s">
        <v>351</v>
      </c>
      <c r="I58" s="221" t="s">
        <v>351</v>
      </c>
      <c r="J58" s="221" t="s">
        <v>351</v>
      </c>
    </row>
    <row r="59" spans="4:10" x14ac:dyDescent="0.5">
      <c r="D59" s="221" t="s">
        <v>250</v>
      </c>
      <c r="E59" s="221">
        <f>Bar_1(E58,11)</f>
        <v>1270</v>
      </c>
      <c r="F59" s="221">
        <f t="shared" ref="F59:J59" si="1">Bar_1(F58,11)</f>
        <v>1270</v>
      </c>
      <c r="G59" s="221">
        <f t="shared" si="1"/>
        <v>1270</v>
      </c>
      <c r="H59" s="221">
        <f t="shared" si="1"/>
        <v>1270</v>
      </c>
      <c r="I59" s="221">
        <f t="shared" si="1"/>
        <v>1270</v>
      </c>
      <c r="J59" s="221">
        <f t="shared" si="1"/>
        <v>1270</v>
      </c>
    </row>
    <row r="60" spans="4:10" x14ac:dyDescent="0.5">
      <c r="D60" s="221" t="s">
        <v>247</v>
      </c>
      <c r="E60" s="250">
        <f>MAX(E57-E59,0)</f>
        <v>240.48702128436344</v>
      </c>
      <c r="F60" s="250">
        <f>MAX(F57-F59,0)</f>
        <v>0</v>
      </c>
      <c r="G60" s="250">
        <f t="shared" ref="G60:J60" si="2">MAX(G57-G59,0)</f>
        <v>0</v>
      </c>
      <c r="H60" s="250">
        <f t="shared" si="2"/>
        <v>0</v>
      </c>
      <c r="I60" s="250">
        <f t="shared" si="2"/>
        <v>240.48702128436344</v>
      </c>
      <c r="J60" s="250">
        <f t="shared" si="2"/>
        <v>0</v>
      </c>
    </row>
    <row r="61" spans="4:10" x14ac:dyDescent="0.5">
      <c r="D61" s="214" t="s">
        <v>248</v>
      </c>
      <c r="E61" s="223">
        <f>+J31</f>
        <v>419.43557091939874</v>
      </c>
      <c r="F61" s="220">
        <f>+J35</f>
        <v>263.86499031875633</v>
      </c>
      <c r="G61" s="223">
        <v>0</v>
      </c>
      <c r="H61" s="223">
        <f>+K37</f>
        <v>0</v>
      </c>
      <c r="I61" s="223">
        <f>+J33</f>
        <v>220.65094015191119</v>
      </c>
      <c r="J61" s="223">
        <f>+J39</f>
        <v>105.29823557321261</v>
      </c>
    </row>
    <row r="62" spans="4:10" x14ac:dyDescent="0.5">
      <c r="D62" s="214" t="s">
        <v>236</v>
      </c>
      <c r="E62" s="220">
        <f>+E61+E60/2</f>
        <v>539.67908156158046</v>
      </c>
      <c r="F62" s="223">
        <f>+F61+F60</f>
        <v>263.86499031875633</v>
      </c>
      <c r="G62" s="220">
        <f>+G61+G60/2</f>
        <v>0</v>
      </c>
      <c r="H62" s="223">
        <f>+H61+H60</f>
        <v>0</v>
      </c>
      <c r="I62" s="220">
        <f>+I61+I60/2</f>
        <v>340.8944507940929</v>
      </c>
      <c r="J62" s="223">
        <f>+J61+J60</f>
        <v>105.29823557321261</v>
      </c>
    </row>
    <row r="63" spans="4:10" x14ac:dyDescent="0.5">
      <c r="D63" s="221" t="s">
        <v>249</v>
      </c>
      <c r="E63" s="221" t="s">
        <v>350</v>
      </c>
      <c r="F63" s="221" t="s">
        <v>350</v>
      </c>
      <c r="G63" s="221" t="s">
        <v>350</v>
      </c>
      <c r="H63" s="221" t="s">
        <v>350</v>
      </c>
      <c r="I63" s="221" t="s">
        <v>350</v>
      </c>
      <c r="J63" s="221" t="s">
        <v>350</v>
      </c>
    </row>
    <row r="64" spans="4:10" x14ac:dyDescent="0.5">
      <c r="D64" s="221" t="s">
        <v>250</v>
      </c>
      <c r="E64" s="221">
        <f>Bar_1(E63,11)</f>
        <v>1935</v>
      </c>
      <c r="F64" s="221">
        <f t="shared" ref="F64:J64" si="3">Bar_1(F63,11)</f>
        <v>1935</v>
      </c>
      <c r="G64" s="221">
        <f t="shared" si="3"/>
        <v>1935</v>
      </c>
      <c r="H64" s="221">
        <f t="shared" si="3"/>
        <v>1935</v>
      </c>
      <c r="I64" s="221">
        <f t="shared" si="3"/>
        <v>1935</v>
      </c>
      <c r="J64" s="221">
        <f t="shared" si="3"/>
        <v>1935</v>
      </c>
    </row>
    <row r="65" spans="4:10" x14ac:dyDescent="0.5">
      <c r="D65" s="214"/>
      <c r="E65" s="229">
        <f>+E62/E64</f>
        <v>0.27890391811967985</v>
      </c>
      <c r="F65" s="229">
        <f t="shared" ref="F65:J65" si="4">+F62/F64</f>
        <v>0.13636433608204462</v>
      </c>
      <c r="G65" s="229">
        <f t="shared" si="4"/>
        <v>0</v>
      </c>
      <c r="H65" s="229">
        <f t="shared" si="4"/>
        <v>0</v>
      </c>
      <c r="I65" s="229">
        <f t="shared" si="4"/>
        <v>0.17617284278764492</v>
      </c>
      <c r="J65" s="229">
        <f t="shared" si="4"/>
        <v>5.4417692802693853E-2</v>
      </c>
    </row>
    <row r="66" spans="4:10" x14ac:dyDescent="0.5">
      <c r="D66" s="214"/>
      <c r="E66" s="228"/>
      <c r="F66" s="226"/>
    </row>
    <row r="71" spans="4:10" x14ac:dyDescent="0.5">
      <c r="D71" s="221"/>
      <c r="E71" s="221"/>
    </row>
    <row r="72" spans="4:10" x14ac:dyDescent="0.5">
      <c r="D72" s="221"/>
      <c r="E72" s="221"/>
    </row>
    <row r="73" spans="4:10" x14ac:dyDescent="0.5">
      <c r="D73" s="221"/>
      <c r="E73" s="226"/>
      <c r="F73" s="226"/>
    </row>
  </sheetData>
  <mergeCells count="5">
    <mergeCell ref="E14:G14"/>
    <mergeCell ref="E18:G18"/>
    <mergeCell ref="E17:G17"/>
    <mergeCell ref="F23:H23"/>
    <mergeCell ref="F24:H24"/>
  </mergeCells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K78"/>
  <sheetViews>
    <sheetView topLeftCell="A16" workbookViewId="0">
      <selection activeCell="I17" sqref="I17"/>
    </sheetView>
  </sheetViews>
  <sheetFormatPr defaultRowHeight="13.5" x14ac:dyDescent="0.5"/>
  <cols>
    <col min="1" max="1" width="2.62890625" style="206" customWidth="1"/>
    <col min="2" max="2" width="4.62890625" style="206" customWidth="1"/>
    <col min="3" max="3" width="8.62890625" style="206" customWidth="1"/>
    <col min="4" max="5" width="9" style="206" bestFit="1" customWidth="1"/>
    <col min="6" max="6" width="9" style="206" customWidth="1"/>
    <col min="7" max="7" width="8.62890625" style="206" customWidth="1"/>
    <col min="8" max="8" width="9.9453125" style="206" customWidth="1"/>
    <col min="9" max="9" width="9" style="206" customWidth="1"/>
    <col min="10" max="11" width="13.89453125" style="206" bestFit="1" customWidth="1"/>
    <col min="12" max="16384" width="8.83984375" style="206"/>
  </cols>
  <sheetData>
    <row r="1" spans="1:11" x14ac:dyDescent="0.5">
      <c r="A1" s="206" t="s">
        <v>271</v>
      </c>
      <c r="H1" s="206" t="s">
        <v>278</v>
      </c>
    </row>
    <row r="2" spans="1:11" x14ac:dyDescent="0.5">
      <c r="A2" s="206" t="s">
        <v>276</v>
      </c>
    </row>
    <row r="3" spans="1:11" x14ac:dyDescent="0.5">
      <c r="C3" s="230"/>
      <c r="D3" s="231"/>
      <c r="E3" s="232" t="s">
        <v>266</v>
      </c>
      <c r="F3" s="232" t="s">
        <v>274</v>
      </c>
      <c r="H3" s="214" t="s">
        <v>272</v>
      </c>
      <c r="I3" s="233" t="str">
        <f>CONCATENATE(C13,"^2x",D13,"x",E11,"x(4/3)/1000/1000")</f>
        <v>300^2x600x1.05x(4/3)/1000/1000</v>
      </c>
      <c r="J3" s="233"/>
      <c r="K3" s="233"/>
    </row>
    <row r="4" spans="1:11" x14ac:dyDescent="0.5">
      <c r="C4" s="230" t="s">
        <v>268</v>
      </c>
      <c r="D4" s="231"/>
      <c r="E4" s="232">
        <v>0</v>
      </c>
      <c r="F4" s="232">
        <v>24</v>
      </c>
      <c r="H4" s="214" t="s">
        <v>273</v>
      </c>
      <c r="I4" s="221">
        <f>answer1(I3)</f>
        <v>75.599999999999994</v>
      </c>
      <c r="J4" s="206" t="s">
        <v>275</v>
      </c>
    </row>
    <row r="5" spans="1:11" ht="5.0999999999999996" customHeight="1" x14ac:dyDescent="0.5">
      <c r="B5" s="234"/>
      <c r="C5" s="235"/>
      <c r="D5" s="235"/>
      <c r="E5" s="234"/>
    </row>
    <row r="6" spans="1:11" x14ac:dyDescent="0.5">
      <c r="C6" s="212"/>
      <c r="D6" s="213" t="s">
        <v>220</v>
      </c>
      <c r="E6" s="213" t="s">
        <v>231</v>
      </c>
      <c r="F6" s="213" t="s">
        <v>232</v>
      </c>
      <c r="G6" s="212"/>
      <c r="H6" s="213" t="s">
        <v>222</v>
      </c>
      <c r="I6" s="213" t="s">
        <v>223</v>
      </c>
    </row>
    <row r="7" spans="1:11" x14ac:dyDescent="0.5">
      <c r="C7" s="212" t="s">
        <v>219</v>
      </c>
      <c r="D7" s="212">
        <v>22</v>
      </c>
      <c r="E7" s="212">
        <v>24</v>
      </c>
      <c r="F7" s="212">
        <v>0</v>
      </c>
      <c r="G7" s="212"/>
      <c r="H7" s="212">
        <v>19</v>
      </c>
      <c r="I7" s="212">
        <v>19</v>
      </c>
    </row>
    <row r="8" spans="1:11" x14ac:dyDescent="0.5">
      <c r="C8" s="212" t="s">
        <v>221</v>
      </c>
      <c r="D8" s="212">
        <v>10</v>
      </c>
      <c r="E8" s="212"/>
      <c r="F8" s="212">
        <v>10</v>
      </c>
      <c r="G8" s="212"/>
      <c r="H8" s="212"/>
      <c r="I8" s="212"/>
    </row>
    <row r="9" spans="1:11" ht="5.0999999999999996" customHeight="1" x14ac:dyDescent="0.5">
      <c r="C9" s="210"/>
      <c r="D9" s="210"/>
    </row>
    <row r="10" spans="1:11" x14ac:dyDescent="0.5">
      <c r="C10" s="205" t="s">
        <v>254</v>
      </c>
      <c r="D10" s="205" t="s">
        <v>255</v>
      </c>
      <c r="E10" s="205" t="s">
        <v>256</v>
      </c>
      <c r="F10" s="205" t="s">
        <v>257</v>
      </c>
      <c r="G10" s="205" t="s">
        <v>259</v>
      </c>
      <c r="H10" s="205" t="s">
        <v>258</v>
      </c>
      <c r="I10" s="205" t="s">
        <v>259</v>
      </c>
    </row>
    <row r="11" spans="1:11" x14ac:dyDescent="0.5">
      <c r="C11" s="207">
        <v>21</v>
      </c>
      <c r="D11" s="208">
        <f>MIN(C11/30,0.5+1/100*C11)</f>
        <v>0.7</v>
      </c>
      <c r="E11" s="207">
        <f>+D11*1.5</f>
        <v>1.0499999999999998</v>
      </c>
      <c r="F11" s="207">
        <v>195</v>
      </c>
      <c r="G11" s="207">
        <v>295</v>
      </c>
      <c r="H11" s="207">
        <v>215</v>
      </c>
      <c r="I11" s="207">
        <v>345</v>
      </c>
    </row>
    <row r="12" spans="1:11" x14ac:dyDescent="0.5">
      <c r="C12" s="205" t="s">
        <v>260</v>
      </c>
      <c r="D12" s="205" t="s">
        <v>261</v>
      </c>
      <c r="E12" s="205" t="s">
        <v>262</v>
      </c>
      <c r="F12" s="205" t="s">
        <v>263</v>
      </c>
      <c r="G12" s="205" t="s">
        <v>264</v>
      </c>
      <c r="H12" s="205" t="s">
        <v>265</v>
      </c>
      <c r="I12" s="205"/>
    </row>
    <row r="13" spans="1:11" x14ac:dyDescent="0.5">
      <c r="C13" s="207">
        <v>300</v>
      </c>
      <c r="D13" s="207">
        <v>600</v>
      </c>
      <c r="E13" s="207">
        <v>60</v>
      </c>
      <c r="F13" s="207">
        <f>+D13-E13</f>
        <v>540</v>
      </c>
      <c r="G13" s="209">
        <f>F13*7/8</f>
        <v>472.5</v>
      </c>
      <c r="H13" s="207">
        <v>1</v>
      </c>
      <c r="I13" s="207"/>
    </row>
    <row r="14" spans="1:11" ht="5.0999999999999996" customHeight="1" x14ac:dyDescent="0.5"/>
    <row r="15" spans="1:11" x14ac:dyDescent="0.5">
      <c r="E15" s="214" t="s">
        <v>115</v>
      </c>
      <c r="F15" s="206" t="str">
        <f>CONCATENATE(C13,"^2","x",D13,"x(1.15)x",D11,"/3/1000/1000=")</f>
        <v>300^2x600x(1.15)x0.7/3/1000/1000=</v>
      </c>
      <c r="J15" s="216">
        <f>ROUND(answer1(F15),1)</f>
        <v>14.5</v>
      </c>
    </row>
    <row r="16" spans="1:11" x14ac:dyDescent="0.5">
      <c r="C16" s="214" t="s">
        <v>209</v>
      </c>
      <c r="E16" s="214" t="s">
        <v>116</v>
      </c>
      <c r="F16" s="206" t="str">
        <f>CONCATENATE(C13,"x",G13,"x",H13,"x",D11,"/1000=")</f>
        <v>300x472.5x1x0.7/1000=</v>
      </c>
      <c r="I16" s="216">
        <f>ROUND(answer1(F16),1)</f>
        <v>99.2</v>
      </c>
    </row>
    <row r="17" spans="1:11" x14ac:dyDescent="0.5">
      <c r="C17" s="214"/>
      <c r="E17" s="214" t="s">
        <v>208</v>
      </c>
      <c r="F17" s="206" t="str">
        <f>CONCATENATE("(",E4,"/",J15,")^2+(",H7,"/",I16,")^2=")</f>
        <v>(0/14.5)^2+(19/99.2)^2=</v>
      </c>
      <c r="I17" s="217" t="e">
        <f ca="1">ROUND([3]!answer(F17),1)</f>
        <v>#NAME?</v>
      </c>
    </row>
    <row r="18" spans="1:11" x14ac:dyDescent="0.5">
      <c r="C18" s="214" t="s">
        <v>210</v>
      </c>
      <c r="E18" s="214" t="s">
        <v>115</v>
      </c>
      <c r="F18" s="206" t="str">
        <f>CONCATENATE(C13,"^2","x",D13,"x(1.15)x",D11,"x1.5/3/1000/1000=")</f>
        <v>300^2x600x(1.15)x0.7x1.5/3/1000/1000=</v>
      </c>
      <c r="J18" s="216" t="e">
        <f ca="1">ROUND([3]!answer(F18),1)</f>
        <v>#NAME?</v>
      </c>
    </row>
    <row r="19" spans="1:11" x14ac:dyDescent="0.5">
      <c r="E19" s="214" t="s">
        <v>116</v>
      </c>
      <c r="F19" s="206" t="str">
        <f>CONCATENATE(C13,"x",G13,"x",H13,"x",D11,"x1.5/1000=")</f>
        <v>300x472.5x1x0.7x1.5/1000=</v>
      </c>
      <c r="I19" s="216" t="e">
        <f ca="1">ROUND([3]!answer(F19),1)</f>
        <v>#NAME?</v>
      </c>
    </row>
    <row r="20" spans="1:11" x14ac:dyDescent="0.5">
      <c r="E20" s="214" t="s">
        <v>208</v>
      </c>
      <c r="F20" s="218" t="e">
        <f ca="1">CONCATENATE("(",F4,"/",J18,")^2+(",I7,"/",I19,")^2=")</f>
        <v>#NAME?</v>
      </c>
      <c r="I20" s="217" t="e">
        <f ca="1">ROUND([3]!answer(F20),1)</f>
        <v>#NAME?</v>
      </c>
    </row>
    <row r="21" spans="1:11" x14ac:dyDescent="0.5">
      <c r="A21" s="206" t="s">
        <v>277</v>
      </c>
      <c r="I21" s="217"/>
    </row>
    <row r="22" spans="1:11" x14ac:dyDescent="0.5">
      <c r="F22" s="214" t="s">
        <v>117</v>
      </c>
      <c r="G22" s="206" t="str">
        <f>CONCATENATE("(",C13,"-",E13,"x2)x(",D13,"-",E13,"x2)=")</f>
        <v>(300-60x2)x(600-60x2)=</v>
      </c>
      <c r="J22" s="219" t="e">
        <f ca="1">ROUND([3]!answer(G22),1)</f>
        <v>#NAME?</v>
      </c>
    </row>
    <row r="23" spans="1:11" x14ac:dyDescent="0.5">
      <c r="F23" s="214" t="s">
        <v>212</v>
      </c>
      <c r="G23" s="206" t="str">
        <f>CONCATENATE("((",C13,"-",E13,"x2)+","(",D13,"-",E13,"x2))x2=")</f>
        <v>((300-60x2)+(600-60x2))x2=</v>
      </c>
      <c r="J23" s="219" t="e">
        <f ca="1">ROUND([3]!answer(G23),1)</f>
        <v>#NAME?</v>
      </c>
    </row>
    <row r="24" spans="1:11" x14ac:dyDescent="0.5">
      <c r="C24" s="206" t="s">
        <v>269</v>
      </c>
    </row>
    <row r="25" spans="1:11" x14ac:dyDescent="0.5">
      <c r="C25" s="214" t="s">
        <v>209</v>
      </c>
      <c r="F25" s="214" t="s">
        <v>214</v>
      </c>
      <c r="G25" s="206" t="e">
        <f ca="1">CONCATENATE(E4,"x1000x1000/(",F11,"x",J22,"x",C13,")=")</f>
        <v>#NAME?</v>
      </c>
      <c r="K25" s="215" t="e">
        <f ca="1">[3]!answer(G25)</f>
        <v>#NAME?</v>
      </c>
    </row>
    <row r="26" spans="1:11" x14ac:dyDescent="0.5">
      <c r="C26" s="214" t="s">
        <v>210</v>
      </c>
      <c r="F26" s="214" t="s">
        <v>215</v>
      </c>
      <c r="G26" s="206" t="e">
        <f ca="1">CONCATENATE(F4,"x1000x1000/(",G11,"x",J22,"x",C13,")=")</f>
        <v>#NAME?</v>
      </c>
      <c r="K26" s="215" t="e">
        <f ca="1">[3]!answer(G26)</f>
        <v>#NAME?</v>
      </c>
    </row>
    <row r="27" spans="1:11" x14ac:dyDescent="0.5">
      <c r="C27" s="215" t="s">
        <v>270</v>
      </c>
    </row>
    <row r="28" spans="1:11" x14ac:dyDescent="0.5">
      <c r="C28" s="214" t="s">
        <v>209</v>
      </c>
      <c r="E28" s="214" t="s">
        <v>217</v>
      </c>
      <c r="F28" s="206" t="e">
        <f ca="1">CONCATENATE(E4,"x1000x1000x",J23,"/(2x",H11,"x",J22,")=")</f>
        <v>#NAME?</v>
      </c>
      <c r="J28" s="220" t="e">
        <f ca="1">[3]!answer(F28)</f>
        <v>#NAME?</v>
      </c>
    </row>
    <row r="29" spans="1:11" x14ac:dyDescent="0.5">
      <c r="C29" s="214" t="s">
        <v>210</v>
      </c>
      <c r="E29" s="214" t="s">
        <v>246</v>
      </c>
      <c r="F29" s="206" t="e">
        <f ca="1">CONCATENATE(F4,"x1000x1000x",J23,"/(2x",I11,"x",J22,")=")</f>
        <v>#NAME?</v>
      </c>
      <c r="J29" s="220" t="e">
        <f ca="1">[3]!answer(F29)</f>
        <v>#NAME?</v>
      </c>
    </row>
    <row r="30" spans="1:11" x14ac:dyDescent="0.5">
      <c r="A30" s="215" t="s">
        <v>279</v>
      </c>
      <c r="F30" s="214"/>
      <c r="K30" s="220"/>
    </row>
    <row r="31" spans="1:11" x14ac:dyDescent="0.5">
      <c r="D31" s="214" t="s">
        <v>224</v>
      </c>
      <c r="E31" s="206" t="s">
        <v>229</v>
      </c>
      <c r="G31" s="214" t="s">
        <v>225</v>
      </c>
      <c r="H31" s="206" t="str">
        <f>CONCATENATE(D7,"x1000x1000","/(",H11,"x",G13,")=")</f>
        <v>22x1000x1000/(215x472.5)=</v>
      </c>
      <c r="K31" s="219" t="e">
        <f ca="1">[3]!answer(H31)</f>
        <v>#NAME?</v>
      </c>
    </row>
    <row r="32" spans="1:11" x14ac:dyDescent="0.5">
      <c r="D32" s="214" t="s">
        <v>221</v>
      </c>
      <c r="E32" s="206" t="s">
        <v>230</v>
      </c>
      <c r="G32" s="214" t="s">
        <v>225</v>
      </c>
      <c r="H32" s="206" t="str">
        <f>CONCATENATE(D8,"x1000x1000","/(",H11,"x",G13,")=")</f>
        <v>10x1000x1000/(215x472.5)=</v>
      </c>
      <c r="K32" s="219" t="e">
        <f ca="1">[3]!answer(H32)</f>
        <v>#NAME?</v>
      </c>
    </row>
    <row r="33" spans="1:11" x14ac:dyDescent="0.5">
      <c r="D33" s="214" t="s">
        <v>226</v>
      </c>
      <c r="E33" s="206" t="s">
        <v>229</v>
      </c>
      <c r="G33" s="214" t="s">
        <v>227</v>
      </c>
      <c r="H33" s="206" t="str">
        <f>CONCATENATE(E7,"x1000x1000","/(",I11,"x",G13,")=")</f>
        <v>24x1000x1000/(345x472.5)=</v>
      </c>
      <c r="K33" s="219" t="e">
        <f ca="1">[3]!answer(H33)</f>
        <v>#NAME?</v>
      </c>
    </row>
    <row r="34" spans="1:11" x14ac:dyDescent="0.5">
      <c r="D34" s="214"/>
      <c r="E34" s="206" t="s">
        <v>230</v>
      </c>
      <c r="G34" s="214" t="s">
        <v>227</v>
      </c>
      <c r="H34" s="206" t="str">
        <f>CONCATENATE(F7,"x1000x1000","/(",I11,"x",G13,")=")</f>
        <v>0x1000x1000/(345x472.5)=</v>
      </c>
      <c r="K34" s="219" t="e">
        <f ca="1">[3]!answer(H34)</f>
        <v>#NAME?</v>
      </c>
    </row>
    <row r="35" spans="1:11" x14ac:dyDescent="0.5">
      <c r="D35" s="214" t="s">
        <v>221</v>
      </c>
      <c r="E35" s="206" t="s">
        <v>230</v>
      </c>
      <c r="G35" s="214" t="s">
        <v>227</v>
      </c>
      <c r="H35" s="206" t="str">
        <f>CONCATENATE(F8,"x1000x1000","/(",I11,"x",G13,")=")</f>
        <v>10x1000x1000/(345x472.5)=</v>
      </c>
      <c r="K35" s="219" t="e">
        <f ca="1">[3]!answer(H35)</f>
        <v>#NAME?</v>
      </c>
    </row>
    <row r="36" spans="1:11" x14ac:dyDescent="0.5">
      <c r="D36" s="236"/>
      <c r="E36" s="237"/>
      <c r="F36" s="212" t="s">
        <v>251</v>
      </c>
      <c r="G36" s="212"/>
      <c r="H36" s="212" t="s">
        <v>252</v>
      </c>
      <c r="I36" s="212"/>
      <c r="J36" s="212" t="s">
        <v>221</v>
      </c>
      <c r="K36" s="212"/>
    </row>
    <row r="37" spans="1:11" x14ac:dyDescent="0.5">
      <c r="D37" s="238"/>
      <c r="E37" s="239"/>
      <c r="F37" s="240" t="s">
        <v>209</v>
      </c>
      <c r="G37" s="232" t="s">
        <v>210</v>
      </c>
      <c r="H37" s="240" t="s">
        <v>209</v>
      </c>
      <c r="I37" s="232" t="s">
        <v>210</v>
      </c>
      <c r="J37" s="240" t="s">
        <v>209</v>
      </c>
      <c r="K37" s="232" t="s">
        <v>210</v>
      </c>
    </row>
    <row r="38" spans="1:11" x14ac:dyDescent="0.5">
      <c r="D38" s="241"/>
      <c r="E38" s="242" t="s">
        <v>245</v>
      </c>
      <c r="F38" s="240" t="e">
        <f ca="1">+J28</f>
        <v>#NAME?</v>
      </c>
      <c r="G38" s="243" t="e">
        <f ca="1">+J29</f>
        <v>#NAME?</v>
      </c>
      <c r="H38" s="240" t="e">
        <f ca="1">+J28</f>
        <v>#NAME?</v>
      </c>
      <c r="I38" s="243" t="e">
        <f ca="1">+J29</f>
        <v>#NAME?</v>
      </c>
      <c r="J38" s="240" t="e">
        <f ca="1">+J28</f>
        <v>#NAME?</v>
      </c>
      <c r="K38" s="243" t="e">
        <f ca="1">+J29</f>
        <v>#NAME?</v>
      </c>
    </row>
    <row r="39" spans="1:11" x14ac:dyDescent="0.5">
      <c r="D39" s="241"/>
      <c r="E39" s="244" t="s">
        <v>239</v>
      </c>
      <c r="F39" s="232" t="s">
        <v>240</v>
      </c>
      <c r="G39" s="232" t="str">
        <f>+F39</f>
        <v>2-D10</v>
      </c>
      <c r="H39" s="232" t="str">
        <f>+G39</f>
        <v>2-D10</v>
      </c>
      <c r="I39" s="232" t="str">
        <f t="shared" ref="I39:K39" si="0">+H39</f>
        <v>2-D10</v>
      </c>
      <c r="J39" s="232" t="str">
        <f t="shared" si="0"/>
        <v>2-D10</v>
      </c>
      <c r="K39" s="232" t="str">
        <f t="shared" si="0"/>
        <v>2-D10</v>
      </c>
    </row>
    <row r="40" spans="1:11" x14ac:dyDescent="0.5">
      <c r="D40" s="241"/>
      <c r="E40" s="244" t="s">
        <v>250</v>
      </c>
      <c r="F40" s="232" t="e">
        <f ca="1">[2]!Bar(F39,11)*100</f>
        <v>#NAME?</v>
      </c>
      <c r="G40" s="232" t="e">
        <f ca="1">+F40</f>
        <v>#NAME?</v>
      </c>
      <c r="H40" s="232" t="e">
        <f ca="1">[2]!Bar(H39,11)*100</f>
        <v>#NAME?</v>
      </c>
      <c r="I40" s="232" t="e">
        <f ca="1">+H40</f>
        <v>#NAME?</v>
      </c>
      <c r="J40" s="232" t="e">
        <f ca="1">[2]!Bar(J39,11)*100</f>
        <v>#NAME?</v>
      </c>
      <c r="K40" s="232" t="e">
        <f ca="1">+J40</f>
        <v>#NAME?</v>
      </c>
    </row>
    <row r="41" spans="1:11" x14ac:dyDescent="0.5">
      <c r="D41" s="241"/>
      <c r="E41" s="244" t="s">
        <v>247</v>
      </c>
      <c r="F41" s="240" t="e">
        <f ca="1">IF(F38&lt;1,0,+F38-F40)</f>
        <v>#NAME?</v>
      </c>
      <c r="G41" s="240" t="e">
        <f t="shared" ref="G41:K41" ca="1" si="1">IF(G38&lt;1,0,+G38-G40)</f>
        <v>#NAME?</v>
      </c>
      <c r="H41" s="240" t="e">
        <f t="shared" ca="1" si="1"/>
        <v>#NAME?</v>
      </c>
      <c r="I41" s="240" t="e">
        <f t="shared" ca="1" si="1"/>
        <v>#NAME?</v>
      </c>
      <c r="J41" s="240" t="e">
        <f t="shared" ca="1" si="1"/>
        <v>#NAME?</v>
      </c>
      <c r="K41" s="240" t="e">
        <f t="shared" ca="1" si="1"/>
        <v>#NAME?</v>
      </c>
    </row>
    <row r="42" spans="1:11" x14ac:dyDescent="0.5">
      <c r="D42" s="241"/>
      <c r="E42" s="242" t="s">
        <v>248</v>
      </c>
      <c r="F42" s="240" t="e">
        <f ca="1">+K31</f>
        <v>#NAME?</v>
      </c>
      <c r="G42" s="240" t="e">
        <f ca="1">+K33</f>
        <v>#NAME?</v>
      </c>
      <c r="H42" s="240">
        <v>0</v>
      </c>
      <c r="I42" s="240" t="e">
        <f ca="1">+K34</f>
        <v>#NAME?</v>
      </c>
      <c r="J42" s="240" t="e">
        <f ca="1">+K32</f>
        <v>#NAME?</v>
      </c>
      <c r="K42" s="240" t="e">
        <f ca="1">+K35</f>
        <v>#NAME?</v>
      </c>
    </row>
    <row r="43" spans="1:11" x14ac:dyDescent="0.5">
      <c r="D43" s="241"/>
      <c r="E43" s="242" t="s">
        <v>236</v>
      </c>
      <c r="F43" s="240" t="e">
        <f ca="1">+F42+F41/2</f>
        <v>#NAME?</v>
      </c>
      <c r="G43" s="240" t="e">
        <f ca="1">+G42+G41</f>
        <v>#NAME?</v>
      </c>
      <c r="H43" s="240" t="e">
        <f ca="1">+H42+H41/2</f>
        <v>#NAME?</v>
      </c>
      <c r="I43" s="240" t="e">
        <f ca="1">+I42+I41</f>
        <v>#NAME?</v>
      </c>
      <c r="J43" s="240" t="e">
        <f ca="1">+J42+J41/2</f>
        <v>#NAME?</v>
      </c>
      <c r="K43" s="240" t="e">
        <f ca="1">+K42+K41</f>
        <v>#NAME?</v>
      </c>
    </row>
    <row r="44" spans="1:11" x14ac:dyDescent="0.5">
      <c r="D44" s="241"/>
      <c r="E44" s="244" t="s">
        <v>239</v>
      </c>
      <c r="F44" s="232" t="s">
        <v>267</v>
      </c>
      <c r="G44" s="232" t="str">
        <f>+F44</f>
        <v>3-D19</v>
      </c>
      <c r="H44" s="232" t="str">
        <f>+G44</f>
        <v>3-D19</v>
      </c>
      <c r="I44" s="232" t="str">
        <f t="shared" ref="I44:K44" si="2">+H44</f>
        <v>3-D19</v>
      </c>
      <c r="J44" s="232" t="str">
        <f t="shared" si="2"/>
        <v>3-D19</v>
      </c>
      <c r="K44" s="232" t="str">
        <f t="shared" si="2"/>
        <v>3-D19</v>
      </c>
    </row>
    <row r="45" spans="1:11" x14ac:dyDescent="0.5">
      <c r="D45" s="241"/>
      <c r="E45" s="244" t="s">
        <v>250</v>
      </c>
      <c r="F45" s="232" t="e">
        <f ca="1">[2]!Bar(F44,11)*100</f>
        <v>#NAME?</v>
      </c>
      <c r="G45" s="232" t="e">
        <f ca="1">[2]!Bar(G44,11)*100</f>
        <v>#NAME?</v>
      </c>
      <c r="H45" s="232" t="e">
        <f ca="1">[2]!Bar(H44,11)*100</f>
        <v>#NAME?</v>
      </c>
      <c r="I45" s="232" t="e">
        <f ca="1">[2]!Bar(I44,11)*100</f>
        <v>#NAME?</v>
      </c>
      <c r="J45" s="232" t="e">
        <f ca="1">[2]!Bar(J44,11)*100</f>
        <v>#NAME?</v>
      </c>
      <c r="K45" s="232" t="e">
        <f ca="1">[2]!Bar(K44,11)*100</f>
        <v>#NAME?</v>
      </c>
    </row>
    <row r="46" spans="1:11" x14ac:dyDescent="0.5">
      <c r="D46" s="241"/>
      <c r="E46" s="242"/>
      <c r="F46" s="245" t="e">
        <f ca="1">+F43/F45</f>
        <v>#NAME?</v>
      </c>
      <c r="G46" s="245" t="e">
        <f t="shared" ref="G46:K46" ca="1" si="3">+G43/G45</f>
        <v>#NAME?</v>
      </c>
      <c r="H46" s="245" t="e">
        <f t="shared" ca="1" si="3"/>
        <v>#NAME?</v>
      </c>
      <c r="I46" s="245" t="e">
        <f t="shared" ca="1" si="3"/>
        <v>#NAME?</v>
      </c>
      <c r="J46" s="245" t="e">
        <f t="shared" ca="1" si="3"/>
        <v>#NAME?</v>
      </c>
      <c r="K46" s="245" t="e">
        <f t="shared" ca="1" si="3"/>
        <v>#NAME?</v>
      </c>
    </row>
    <row r="47" spans="1:11" x14ac:dyDescent="0.5">
      <c r="A47" s="206" t="s">
        <v>280</v>
      </c>
      <c r="G47" s="214"/>
      <c r="H47" s="215"/>
    </row>
    <row r="48" spans="1:11" x14ac:dyDescent="0.5">
      <c r="B48" s="206" t="s">
        <v>209</v>
      </c>
      <c r="E48" s="214" t="s">
        <v>234</v>
      </c>
      <c r="F48" s="206" t="str">
        <f>CONCATENATE("(",H7,"x1000/(",C13,"x",G13,")-",H13,"x",D11,")x2/",F11,"+0.002=")</f>
        <v>(19x1000/(300x472.5)-1x0.7)x2/195+0.002=</v>
      </c>
      <c r="K48" s="222" t="e">
        <f ca="1">[3]!answer(F48)</f>
        <v>#NAME?</v>
      </c>
    </row>
    <row r="49" spans="2:11" x14ac:dyDescent="0.5">
      <c r="B49" s="206" t="s">
        <v>210</v>
      </c>
      <c r="E49" s="214" t="s">
        <v>234</v>
      </c>
      <c r="F49" s="206" t="str">
        <f>CONCATENATE("(",I7,"x1000/(",C13,"x",G13,")-",H13,"x",E11,")x2/",G11,"+0.002=")</f>
        <v>(19x1000/(300x472.5)-1x1.05)x2/295+0.002=</v>
      </c>
      <c r="K49" s="222" t="e">
        <f ca="1">[3]!answer(F49)</f>
        <v>#NAME?</v>
      </c>
    </row>
    <row r="50" spans="2:11" x14ac:dyDescent="0.5">
      <c r="D50" s="246"/>
      <c r="E50" s="235"/>
      <c r="F50" s="244"/>
      <c r="G50" s="240" t="s">
        <v>209</v>
      </c>
      <c r="H50" s="232" t="s">
        <v>210</v>
      </c>
    </row>
    <row r="51" spans="2:11" x14ac:dyDescent="0.5">
      <c r="D51" s="241"/>
      <c r="E51" s="247"/>
      <c r="F51" s="242" t="s">
        <v>237</v>
      </c>
      <c r="G51" s="248" t="e">
        <f ca="1">+K25*100</f>
        <v>#NAME?</v>
      </c>
      <c r="H51" s="248" t="e">
        <f ca="1">+K26*100</f>
        <v>#NAME?</v>
      </c>
    </row>
    <row r="52" spans="2:11" x14ac:dyDescent="0.5">
      <c r="D52" s="241"/>
      <c r="E52" s="247"/>
      <c r="F52" s="242" t="s">
        <v>238</v>
      </c>
      <c r="G52" s="248" t="e">
        <f ca="1">IF(K48&lt;1,0,K48*100)</f>
        <v>#NAME?</v>
      </c>
      <c r="H52" s="248" t="e">
        <f ca="1">IF(K49&lt;1,0,K49*100)</f>
        <v>#NAME?</v>
      </c>
    </row>
    <row r="53" spans="2:11" x14ac:dyDescent="0.5">
      <c r="D53" s="241"/>
      <c r="E53" s="247"/>
      <c r="F53" s="242" t="s">
        <v>243</v>
      </c>
      <c r="G53" s="249" t="e">
        <f ca="1">IF(SUM(G51:G52)=0,0.2,SUM(G51:G52))</f>
        <v>#NAME?</v>
      </c>
      <c r="H53" s="249" t="e">
        <f ca="1">IF(SUM(H51:H52)=0,0.2,SUM(H51:H52))</f>
        <v>#NAME?</v>
      </c>
    </row>
    <row r="54" spans="2:11" x14ac:dyDescent="0.5">
      <c r="D54" s="241"/>
      <c r="E54" s="247"/>
      <c r="F54" s="244" t="s">
        <v>239</v>
      </c>
      <c r="G54" s="232" t="s">
        <v>240</v>
      </c>
      <c r="H54" s="232" t="str">
        <f>+G54</f>
        <v>2-D10</v>
      </c>
    </row>
    <row r="55" spans="2:11" x14ac:dyDescent="0.5">
      <c r="D55" s="241"/>
      <c r="E55" s="247"/>
      <c r="F55" s="244" t="s">
        <v>242</v>
      </c>
      <c r="G55" s="232" t="e">
        <f ca="1">[2]!Bar(G54,11)*100</f>
        <v>#NAME?</v>
      </c>
      <c r="H55" s="232" t="e">
        <f ca="1">+G55</f>
        <v>#NAME?</v>
      </c>
    </row>
    <row r="56" spans="2:11" x14ac:dyDescent="0.5">
      <c r="D56" s="241"/>
      <c r="E56" s="247"/>
      <c r="F56" s="244"/>
      <c r="G56" s="232">
        <v>150</v>
      </c>
      <c r="H56" s="232">
        <f>+G56</f>
        <v>150</v>
      </c>
    </row>
    <row r="57" spans="2:11" x14ac:dyDescent="0.5">
      <c r="D57" s="241"/>
      <c r="E57" s="247"/>
      <c r="F57" s="244" t="s">
        <v>241</v>
      </c>
      <c r="G57" s="232" t="e">
        <f ca="1">+G55/G56/C13*100</f>
        <v>#NAME?</v>
      </c>
      <c r="H57" s="232" t="e">
        <f ca="1">+H55/H56/C13*100</f>
        <v>#NAME?</v>
      </c>
    </row>
    <row r="58" spans="2:11" x14ac:dyDescent="0.5">
      <c r="D58" s="241"/>
      <c r="E58" s="247"/>
      <c r="F58" s="244" t="s">
        <v>244</v>
      </c>
      <c r="G58" s="249" t="e">
        <f ca="1">+G53/G57</f>
        <v>#NAME?</v>
      </c>
      <c r="H58" s="249" t="e">
        <f ca="1">+H53/H57</f>
        <v>#NAME?</v>
      </c>
    </row>
    <row r="60" spans="2:11" x14ac:dyDescent="0.5">
      <c r="C60" s="214" t="s">
        <v>281</v>
      </c>
      <c r="D60" s="206" t="s">
        <v>283</v>
      </c>
    </row>
    <row r="61" spans="2:11" x14ac:dyDescent="0.5">
      <c r="D61" s="206" t="s">
        <v>282</v>
      </c>
    </row>
    <row r="71" spans="5:7" x14ac:dyDescent="0.5">
      <c r="E71" s="214"/>
      <c r="F71" s="228"/>
      <c r="G71" s="226"/>
    </row>
    <row r="76" spans="5:7" x14ac:dyDescent="0.5">
      <c r="E76" s="221"/>
      <c r="F76" s="221"/>
    </row>
    <row r="77" spans="5:7" x14ac:dyDescent="0.5">
      <c r="E77" s="221"/>
      <c r="F77" s="221"/>
    </row>
    <row r="78" spans="5:7" x14ac:dyDescent="0.5">
      <c r="E78" s="221"/>
      <c r="F78" s="226"/>
      <c r="G78" s="226"/>
    </row>
  </sheetData>
  <mergeCells count="3">
    <mergeCell ref="C4:D4"/>
    <mergeCell ref="C3:D3"/>
    <mergeCell ref="I3:K3"/>
  </mergeCells>
  <phoneticPr fontId="1"/>
  <pageMargins left="0.82677165354330717" right="0.23622047244094491" top="0.74803149606299213" bottom="0.74803149606299213" header="0.31496062992125984" footer="0.31496062992125984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4</vt:i4>
      </vt:variant>
    </vt:vector>
  </HeadingPairs>
  <TitlesOfParts>
    <vt:vector size="13" baseType="lpstr">
      <vt:lpstr>ねじれモーメントの検討  (2)</vt:lpstr>
      <vt:lpstr>ねじれモーメントの検討 </vt:lpstr>
      <vt:lpstr>長方形 (2)</vt:lpstr>
      <vt:lpstr>PILE Footingねじれモーメントの検討 (2)</vt:lpstr>
      <vt:lpstr>ねじれモーメントの検討</vt:lpstr>
      <vt:lpstr>ねじれモーメントの検討(柱型芯にて検討)</vt:lpstr>
      <vt:lpstr>Sheet2 (3)</vt:lpstr>
      <vt:lpstr>Sheet2</vt:lpstr>
      <vt:lpstr>Sheet2 (2)</vt:lpstr>
      <vt:lpstr>'PILE Footingねじれモーメントの検討 (2)'!Print_Area</vt:lpstr>
      <vt:lpstr>ねじれモーメントの検討!Print_Area</vt:lpstr>
      <vt:lpstr>'ねじれモーメントの検討 '!Print_Area</vt:lpstr>
      <vt:lpstr>'ねじれモーメントの検討(柱型芯にて検討)'!Print_Area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Administrator</cp:lastModifiedBy>
  <cp:lastPrinted>2023-03-27T05:14:29Z</cp:lastPrinted>
  <dcterms:created xsi:type="dcterms:W3CDTF">1997-01-08T22:48:59Z</dcterms:created>
  <dcterms:modified xsi:type="dcterms:W3CDTF">2023-03-27T09:10:00Z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b313929-e9c4-48cb-bec8-1c8404fadbed_Enabled">
    <vt:lpwstr>true</vt:lpwstr>
  </property>
  <property fmtid="{D5CDD505-2E9C-101B-9397-08002B2CF9AE}" pid="3" name="MSIP_Label_bb313929-e9c4-48cb-bec8-1c8404fadbed_SetDate">
    <vt:lpwstr>2023-03-27T05:13:38Z</vt:lpwstr>
  </property>
  <property fmtid="{D5CDD505-2E9C-101B-9397-08002B2CF9AE}" pid="4" name="MSIP_Label_bb313929-e9c4-48cb-bec8-1c8404fadbed_Method">
    <vt:lpwstr>Privileged</vt:lpwstr>
  </property>
  <property fmtid="{D5CDD505-2E9C-101B-9397-08002B2CF9AE}" pid="5" name="MSIP_Label_bb313929-e9c4-48cb-bec8-1c8404fadbed_Name">
    <vt:lpwstr>一般公開</vt:lpwstr>
  </property>
  <property fmtid="{D5CDD505-2E9C-101B-9397-08002B2CF9AE}" pid="6" name="MSIP_Label_bb313929-e9c4-48cb-bec8-1c8404fadbed_SiteId">
    <vt:lpwstr>e7b9c1d5-0d8a-4ce9-84f5-a3b79615e52e</vt:lpwstr>
  </property>
  <property fmtid="{D5CDD505-2E9C-101B-9397-08002B2CF9AE}" pid="7" name="MSIP_Label_bb313929-e9c4-48cb-bec8-1c8404fadbed_ActionId">
    <vt:lpwstr>d51a3ba2-bee5-45c0-ad74-540390219827</vt:lpwstr>
  </property>
  <property fmtid="{D5CDD505-2E9C-101B-9397-08002B2CF9AE}" pid="8" name="MSIP_Label_bb313929-e9c4-48cb-bec8-1c8404fadbed_ContentBits">
    <vt:lpwstr>0</vt:lpwstr>
  </property>
</Properties>
</file>