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8_{8722A3BA-4470-4B99-873F-D3BB8A0BC65D}" xr6:coauthVersionLast="36" xr6:coauthVersionMax="36" xr10:uidLastSave="{00000000-0000-0000-0000-000000000000}"/>
  <bookViews>
    <workbookView xWindow="1440" yWindow="360" windowWidth="11664" windowHeight="6516" xr2:uid="{00000000-000D-0000-FFFF-FFFF00000000}"/>
  </bookViews>
  <sheets>
    <sheet name="壁" sheetId="23" r:id="rId1"/>
    <sheet name="壁転倒" sheetId="25" r:id="rId2"/>
    <sheet name="スラブ (2)" sheetId="24" r:id="rId3"/>
    <sheet name="スラブ" sheetId="22" r:id="rId4"/>
    <sheet name="barφ" sheetId="20" r:id="rId5"/>
    <sheet name="開口補強hoyu" sheetId="21" r:id="rId6"/>
    <sheet name="開口補強" sheetId="18" r:id="rId7"/>
    <sheet name="長方形　せん断" sheetId="19" r:id="rId8"/>
    <sheet name="長方形 (2)" sheetId="12" r:id="rId9"/>
    <sheet name="Sheet2" sheetId="16" r:id="rId10"/>
    <sheet name="Sheet3" sheetId="17" r:id="rId11"/>
    <sheet name="円形柱の曲げ - (3)" sheetId="15" r:id="rId12"/>
    <sheet name="長方形梁" sheetId="11" r:id="rId13"/>
    <sheet name="円形柱の曲げ - (2)" sheetId="14" r:id="rId14"/>
    <sheet name="円形柱の曲げ -" sheetId="10" r:id="rId15"/>
    <sheet name="円形柱の曲げ + (2)" sheetId="13" r:id="rId16"/>
    <sheet name="円形柱の曲げ +" sheetId="9" r:id="rId17"/>
    <sheet name="Sheet1" sheetId="1" r:id="rId18"/>
    <sheet name="長方形" sheetId="4" r:id="rId19"/>
    <sheet name="円形柱の曲げ" sheetId="2" r:id="rId20"/>
  </sheets>
  <externalReferences>
    <externalReference r:id="rId21"/>
    <externalReference r:id="rId22"/>
  </externalReferenc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9" i="25" l="1"/>
  <c r="I36" i="25"/>
  <c r="K35" i="25"/>
  <c r="K34" i="25"/>
  <c r="K33" i="25"/>
  <c r="K36" i="25" s="1"/>
  <c r="G37" i="25"/>
  <c r="G38" i="25" s="1"/>
  <c r="G39" i="25" s="1"/>
  <c r="G36" i="25"/>
  <c r="G35" i="25"/>
  <c r="G34" i="25"/>
  <c r="G33" i="25"/>
  <c r="I8" i="25"/>
  <c r="H8" i="25"/>
  <c r="I7" i="25"/>
  <c r="L9" i="25" s="1"/>
  <c r="K37" i="25" s="1"/>
  <c r="I6" i="25"/>
  <c r="H6" i="25"/>
  <c r="D54" i="25"/>
  <c r="I43" i="25"/>
  <c r="E46" i="25" s="1"/>
  <c r="G43" i="25"/>
  <c r="D43" i="25"/>
  <c r="D31" i="23"/>
  <c r="K8" i="23"/>
  <c r="E18" i="18"/>
  <c r="E18" i="21"/>
  <c r="E9" i="21"/>
  <c r="P29" i="24"/>
  <c r="I35" i="24"/>
  <c r="G35" i="24"/>
  <c r="F35" i="24"/>
  <c r="I31" i="23"/>
  <c r="E34" i="23" s="1"/>
  <c r="I7" i="23"/>
  <c r="I8" i="23"/>
  <c r="D42" i="23"/>
  <c r="L43" i="24"/>
  <c r="F43" i="24" s="1"/>
  <c r="D51" i="24"/>
  <c r="O21" i="22"/>
  <c r="I32" i="24"/>
  <c r="E33" i="24" s="1"/>
  <c r="G32" i="24"/>
  <c r="F32" i="24"/>
  <c r="H51" i="24" s="1"/>
  <c r="I28" i="24"/>
  <c r="E29" i="24" s="1"/>
  <c r="G28" i="24"/>
  <c r="F28" i="24"/>
  <c r="F52" i="24" s="1"/>
  <c r="K5" i="24"/>
  <c r="E17" i="22"/>
  <c r="G31" i="23"/>
  <c r="E21" i="20"/>
  <c r="E19" i="20"/>
  <c r="H51" i="22"/>
  <c r="E51" i="22"/>
  <c r="H47" i="22"/>
  <c r="D48" i="22"/>
  <c r="F47" i="22"/>
  <c r="E47" i="22"/>
  <c r="H43" i="22"/>
  <c r="F43" i="22"/>
  <c r="E43" i="22"/>
  <c r="F39" i="22"/>
  <c r="H39" i="22"/>
  <c r="D40" i="22"/>
  <c r="E17" i="20"/>
  <c r="G39" i="24"/>
  <c r="E39" i="22"/>
  <c r="C19" i="22"/>
  <c r="J6" i="22"/>
  <c r="C11" i="22" s="1"/>
  <c r="E6" i="21"/>
  <c r="F12" i="21"/>
  <c r="C12" i="21"/>
  <c r="D12" i="21"/>
  <c r="G15" i="21"/>
  <c r="H15" i="21"/>
  <c r="F18" i="21"/>
  <c r="E6" i="18"/>
  <c r="D12" i="18"/>
  <c r="C12" i="18"/>
  <c r="G15" i="18"/>
  <c r="H15" i="18" s="1"/>
  <c r="F18" i="18"/>
  <c r="E9" i="19"/>
  <c r="H13" i="19"/>
  <c r="F9" i="19"/>
  <c r="F19" i="19" s="1"/>
  <c r="F53" i="19"/>
  <c r="D42" i="19"/>
  <c r="E42" i="19"/>
  <c r="C50" i="19"/>
  <c r="H47" i="19"/>
  <c r="C16" i="19"/>
  <c r="E19" i="19"/>
  <c r="H5" i="15"/>
  <c r="G5" i="15"/>
  <c r="C5" i="15"/>
  <c r="E5" i="15"/>
  <c r="D5" i="15"/>
  <c r="V38" i="17"/>
  <c r="T38" i="17"/>
  <c r="S38" i="17"/>
  <c r="U23" i="17"/>
  <c r="U22" i="17"/>
  <c r="S20" i="17"/>
  <c r="U20" i="17" s="1"/>
  <c r="W14" i="17"/>
  <c r="V10" i="17"/>
  <c r="W10" i="17"/>
  <c r="X14" i="17"/>
  <c r="V9" i="17"/>
  <c r="W9" i="17"/>
  <c r="W8" i="17"/>
  <c r="V8" i="17"/>
  <c r="R7" i="15"/>
  <c r="R8" i="15"/>
  <c r="Q7" i="15"/>
  <c r="Q6" i="15" s="1"/>
  <c r="Q8" i="15"/>
  <c r="Q9" i="15"/>
  <c r="C10" i="17"/>
  <c r="D10" i="17"/>
  <c r="H10" i="17"/>
  <c r="E10" i="17"/>
  <c r="J10" i="17"/>
  <c r="Q24" i="16"/>
  <c r="I24" i="16"/>
  <c r="O24" i="16" s="1"/>
  <c r="H24" i="16"/>
  <c r="R24" i="16" s="1"/>
  <c r="V24" i="16"/>
  <c r="L44" i="16"/>
  <c r="M25" i="16"/>
  <c r="I25" i="16"/>
  <c r="O25" i="16"/>
  <c r="M26" i="16"/>
  <c r="I26" i="16"/>
  <c r="O26" i="16" s="1"/>
  <c r="M27" i="16"/>
  <c r="I27" i="16"/>
  <c r="M28" i="16"/>
  <c r="I28" i="16"/>
  <c r="O28" i="16" s="1"/>
  <c r="M29" i="16"/>
  <c r="I29" i="16"/>
  <c r="O29" i="16"/>
  <c r="M30" i="16"/>
  <c r="O30" i="16" s="1"/>
  <c r="I30" i="16"/>
  <c r="M31" i="16"/>
  <c r="I31" i="16"/>
  <c r="O31" i="16" s="1"/>
  <c r="M32" i="16"/>
  <c r="I32" i="16"/>
  <c r="O32" i="16" s="1"/>
  <c r="M33" i="16"/>
  <c r="I33" i="16"/>
  <c r="O33" i="16"/>
  <c r="M34" i="16"/>
  <c r="I34" i="16"/>
  <c r="M24" i="16"/>
  <c r="L24" i="16"/>
  <c r="N24" i="16"/>
  <c r="S24" i="16" s="1"/>
  <c r="B25" i="16"/>
  <c r="Q25" i="16"/>
  <c r="H25" i="16"/>
  <c r="R25" i="16"/>
  <c r="L25" i="16"/>
  <c r="H26" i="16"/>
  <c r="N26" i="16" s="1"/>
  <c r="L26" i="16"/>
  <c r="H27" i="16"/>
  <c r="L27" i="16"/>
  <c r="H28" i="16"/>
  <c r="L28" i="16"/>
  <c r="H29" i="16"/>
  <c r="L29" i="16"/>
  <c r="H30" i="16"/>
  <c r="L30" i="16"/>
  <c r="H31" i="16"/>
  <c r="L31" i="16"/>
  <c r="H32" i="16"/>
  <c r="L32" i="16"/>
  <c r="N32" i="16"/>
  <c r="H33" i="16"/>
  <c r="R33" i="16" s="1"/>
  <c r="L33" i="16"/>
  <c r="H34" i="16"/>
  <c r="N34" i="16" s="1"/>
  <c r="L34" i="16"/>
  <c r="A3" i="16"/>
  <c r="A4" i="16" s="1"/>
  <c r="A5" i="16" s="1"/>
  <c r="F3" i="16"/>
  <c r="B3" i="16"/>
  <c r="B4" i="16"/>
  <c r="C3" i="16"/>
  <c r="C4" i="16" s="1"/>
  <c r="C5" i="16" s="1"/>
  <c r="C6" i="16" s="1"/>
  <c r="C7" i="16" s="1"/>
  <c r="C8" i="16" s="1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D3" i="16"/>
  <c r="D4" i="16"/>
  <c r="D5" i="16"/>
  <c r="D6" i="16" s="1"/>
  <c r="D7" i="16" s="1"/>
  <c r="D8" i="16" s="1"/>
  <c r="D9" i="16" s="1"/>
  <c r="E3" i="16"/>
  <c r="E4" i="16"/>
  <c r="E5" i="16" s="1"/>
  <c r="E6" i="16" s="1"/>
  <c r="E7" i="16" s="1"/>
  <c r="E8" i="16" s="1"/>
  <c r="E9" i="16" s="1"/>
  <c r="E10" i="16"/>
  <c r="E11" i="16" s="1"/>
  <c r="E12" i="16" s="1"/>
  <c r="E13" i="16" s="1"/>
  <c r="E14" i="16" s="1"/>
  <c r="E15" i="16" s="1"/>
  <c r="E16" i="16" s="1"/>
  <c r="E17" i="16" s="1"/>
  <c r="E18" i="16" s="1"/>
  <c r="F4" i="16"/>
  <c r="F5" i="16" s="1"/>
  <c r="F6" i="16" s="1"/>
  <c r="F7" i="16"/>
  <c r="F8" i="16" s="1"/>
  <c r="F9" i="16" s="1"/>
  <c r="F10" i="16" s="1"/>
  <c r="F11" i="16" s="1"/>
  <c r="F12" i="16" s="1"/>
  <c r="F13" i="16" s="1"/>
  <c r="F14" i="16" s="1"/>
  <c r="F15" i="16" s="1"/>
  <c r="F16" i="16" s="1"/>
  <c r="F17" i="16" s="1"/>
  <c r="F18" i="16" s="1"/>
  <c r="D10" i="16"/>
  <c r="D11" i="16" s="1"/>
  <c r="D12" i="16" s="1"/>
  <c r="D13" i="16" s="1"/>
  <c r="D14" i="16" s="1"/>
  <c r="D15" i="16" s="1"/>
  <c r="D16" i="16" s="1"/>
  <c r="D17" i="16" s="1"/>
  <c r="D18" i="16" s="1"/>
  <c r="G2" i="16"/>
  <c r="I2" i="16"/>
  <c r="H2" i="16"/>
  <c r="I6" i="15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I54" i="15" s="1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I201" i="15" s="1"/>
  <c r="I202" i="15" s="1"/>
  <c r="I203" i="15" s="1"/>
  <c r="I204" i="15" s="1"/>
  <c r="I205" i="15" s="1"/>
  <c r="I206" i="15" s="1"/>
  <c r="I207" i="15" s="1"/>
  <c r="I208" i="15" s="1"/>
  <c r="I209" i="15" s="1"/>
  <c r="I210" i="15" s="1"/>
  <c r="I211" i="15" s="1"/>
  <c r="I212" i="15" s="1"/>
  <c r="I213" i="15" s="1"/>
  <c r="I214" i="15" s="1"/>
  <c r="I215" i="15" s="1"/>
  <c r="I216" i="15" s="1"/>
  <c r="I217" i="15" s="1"/>
  <c r="I218" i="15" s="1"/>
  <c r="I219" i="15" s="1"/>
  <c r="I220" i="15" s="1"/>
  <c r="I221" i="15" s="1"/>
  <c r="I222" i="15" s="1"/>
  <c r="I223" i="15" s="1"/>
  <c r="I224" i="15" s="1"/>
  <c r="I225" i="15" s="1"/>
  <c r="I226" i="15" s="1"/>
  <c r="I227" i="15" s="1"/>
  <c r="I228" i="15" s="1"/>
  <c r="I229" i="15" s="1"/>
  <c r="I230" i="15" s="1"/>
  <c r="I231" i="15" s="1"/>
  <c r="I232" i="15" s="1"/>
  <c r="I233" i="15" s="1"/>
  <c r="I234" i="15" s="1"/>
  <c r="I235" i="15" s="1"/>
  <c r="I236" i="15" s="1"/>
  <c r="I237" i="15" s="1"/>
  <c r="I238" i="15" s="1"/>
  <c r="I239" i="15" s="1"/>
  <c r="I240" i="15" s="1"/>
  <c r="I241" i="15" s="1"/>
  <c r="I242" i="15" s="1"/>
  <c r="I243" i="15" s="1"/>
  <c r="I244" i="15" s="1"/>
  <c r="I245" i="15" s="1"/>
  <c r="I246" i="15" s="1"/>
  <c r="I247" i="15" s="1"/>
  <c r="I248" i="15" s="1"/>
  <c r="I249" i="15" s="1"/>
  <c r="I250" i="15" s="1"/>
  <c r="I251" i="15" s="1"/>
  <c r="I252" i="15" s="1"/>
  <c r="I253" i="15" s="1"/>
  <c r="I254" i="15" s="1"/>
  <c r="I255" i="15" s="1"/>
  <c r="I256" i="15" s="1"/>
  <c r="I257" i="15" s="1"/>
  <c r="I258" i="15" s="1"/>
  <c r="I259" i="15" s="1"/>
  <c r="I260" i="15" s="1"/>
  <c r="I261" i="15" s="1"/>
  <c r="I262" i="15" s="1"/>
  <c r="I263" i="15" s="1"/>
  <c r="I264" i="15" s="1"/>
  <c r="I265" i="15" s="1"/>
  <c r="I266" i="15" s="1"/>
  <c r="I267" i="15" s="1"/>
  <c r="I268" i="15" s="1"/>
  <c r="I269" i="15" s="1"/>
  <c r="I270" i="15" s="1"/>
  <c r="I271" i="15" s="1"/>
  <c r="I272" i="15" s="1"/>
  <c r="I273" i="15" s="1"/>
  <c r="I274" i="15" s="1"/>
  <c r="I275" i="15" s="1"/>
  <c r="I276" i="15" s="1"/>
  <c r="I277" i="15" s="1"/>
  <c r="I278" i="15" s="1"/>
  <c r="I279" i="15" s="1"/>
  <c r="I280" i="15" s="1"/>
  <c r="I281" i="15" s="1"/>
  <c r="I282" i="15" s="1"/>
  <c r="I283" i="15" s="1"/>
  <c r="I284" i="15" s="1"/>
  <c r="I285" i="15" s="1"/>
  <c r="I286" i="15" s="1"/>
  <c r="I287" i="15" s="1"/>
  <c r="I288" i="15" s="1"/>
  <c r="I289" i="15" s="1"/>
  <c r="I290" i="15" s="1"/>
  <c r="I291" i="15" s="1"/>
  <c r="I292" i="15" s="1"/>
  <c r="I293" i="15" s="1"/>
  <c r="I294" i="15" s="1"/>
  <c r="I295" i="15" s="1"/>
  <c r="I296" i="15" s="1"/>
  <c r="I297" i="15" s="1"/>
  <c r="I298" i="15" s="1"/>
  <c r="I299" i="15" s="1"/>
  <c r="I300" i="15" s="1"/>
  <c r="I301" i="15" s="1"/>
  <c r="I302" i="15" s="1"/>
  <c r="I303" i="15" s="1"/>
  <c r="I304" i="15" s="1"/>
  <c r="I305" i="15" s="1"/>
  <c r="I306" i="15" s="1"/>
  <c r="I307" i="15" s="1"/>
  <c r="I308" i="15" s="1"/>
  <c r="I309" i="15" s="1"/>
  <c r="I310" i="15" s="1"/>
  <c r="I311" i="15" s="1"/>
  <c r="I312" i="15" s="1"/>
  <c r="I313" i="15" s="1"/>
  <c r="I314" i="15" s="1"/>
  <c r="I315" i="15" s="1"/>
  <c r="I316" i="15" s="1"/>
  <c r="I317" i="15" s="1"/>
  <c r="I318" i="15" s="1"/>
  <c r="I319" i="15" s="1"/>
  <c r="I320" i="15" s="1"/>
  <c r="I321" i="15" s="1"/>
  <c r="I322" i="15" s="1"/>
  <c r="I323" i="15" s="1"/>
  <c r="I324" i="15" s="1"/>
  <c r="I325" i="15" s="1"/>
  <c r="I326" i="15" s="1"/>
  <c r="I327" i="15" s="1"/>
  <c r="I328" i="15" s="1"/>
  <c r="I329" i="15" s="1"/>
  <c r="I330" i="15" s="1"/>
  <c r="I331" i="15" s="1"/>
  <c r="I332" i="15" s="1"/>
  <c r="I333" i="15" s="1"/>
  <c r="I334" i="15" s="1"/>
  <c r="I335" i="15" s="1"/>
  <c r="I336" i="15" s="1"/>
  <c r="I337" i="15" s="1"/>
  <c r="I338" i="15" s="1"/>
  <c r="I339" i="15" s="1"/>
  <c r="I340" i="15" s="1"/>
  <c r="I341" i="15" s="1"/>
  <c r="I342" i="15" s="1"/>
  <c r="I343" i="15" s="1"/>
  <c r="I344" i="15" s="1"/>
  <c r="I345" i="15" s="1"/>
  <c r="I346" i="15" s="1"/>
  <c r="I347" i="15" s="1"/>
  <c r="I348" i="15" s="1"/>
  <c r="I349" i="15" s="1"/>
  <c r="I350" i="15" s="1"/>
  <c r="I351" i="15" s="1"/>
  <c r="I352" i="15" s="1"/>
  <c r="I353" i="15" s="1"/>
  <c r="I354" i="15" s="1"/>
  <c r="I355" i="15" s="1"/>
  <c r="I356" i="15" s="1"/>
  <c r="I357" i="15" s="1"/>
  <c r="I358" i="15" s="1"/>
  <c r="I359" i="15" s="1"/>
  <c r="I360" i="15" s="1"/>
  <c r="I361" i="15" s="1"/>
  <c r="I362" i="15" s="1"/>
  <c r="I363" i="15" s="1"/>
  <c r="I364" i="15" s="1"/>
  <c r="I365" i="15" s="1"/>
  <c r="I366" i="15" s="1"/>
  <c r="I367" i="15" s="1"/>
  <c r="I368" i="15" s="1"/>
  <c r="I369" i="15" s="1"/>
  <c r="I370" i="15" s="1"/>
  <c r="I371" i="15" s="1"/>
  <c r="I372" i="15" s="1"/>
  <c r="I373" i="15" s="1"/>
  <c r="I374" i="15" s="1"/>
  <c r="I375" i="15" s="1"/>
  <c r="I376" i="15" s="1"/>
  <c r="I377" i="15" s="1"/>
  <c r="I378" i="15" s="1"/>
  <c r="I379" i="15" s="1"/>
  <c r="I380" i="15" s="1"/>
  <c r="I381" i="15" s="1"/>
  <c r="I382" i="15" s="1"/>
  <c r="I383" i="15" s="1"/>
  <c r="I384" i="15" s="1"/>
  <c r="I385" i="15" s="1"/>
  <c r="I386" i="15" s="1"/>
  <c r="I387" i="15" s="1"/>
  <c r="I388" i="15" s="1"/>
  <c r="I389" i="15" s="1"/>
  <c r="I390" i="15" s="1"/>
  <c r="I391" i="15" s="1"/>
  <c r="I392" i="15" s="1"/>
  <c r="I393" i="15" s="1"/>
  <c r="I394" i="15" s="1"/>
  <c r="I395" i="15" s="1"/>
  <c r="I396" i="15" s="1"/>
  <c r="I397" i="15" s="1"/>
  <c r="I398" i="15" s="1"/>
  <c r="I399" i="15" s="1"/>
  <c r="I400" i="15" s="1"/>
  <c r="I401" i="15" s="1"/>
  <c r="I402" i="15" s="1"/>
  <c r="I403" i="15" s="1"/>
  <c r="I404" i="15" s="1"/>
  <c r="I405" i="15" s="1"/>
  <c r="I406" i="15" s="1"/>
  <c r="I407" i="15" s="1"/>
  <c r="I408" i="15" s="1"/>
  <c r="I409" i="15" s="1"/>
  <c r="I410" i="15" s="1"/>
  <c r="I411" i="15" s="1"/>
  <c r="I412" i="15" s="1"/>
  <c r="I413" i="15" s="1"/>
  <c r="I414" i="15" s="1"/>
  <c r="I415" i="15" s="1"/>
  <c r="I416" i="15" s="1"/>
  <c r="I417" i="15" s="1"/>
  <c r="I418" i="15" s="1"/>
  <c r="I419" i="15" s="1"/>
  <c r="I420" i="15" s="1"/>
  <c r="I421" i="15" s="1"/>
  <c r="I422" i="15" s="1"/>
  <c r="I423" i="15" s="1"/>
  <c r="I424" i="15" s="1"/>
  <c r="I425" i="15" s="1"/>
  <c r="I426" i="15" s="1"/>
  <c r="I427" i="15" s="1"/>
  <c r="I428" i="15" s="1"/>
  <c r="I429" i="15" s="1"/>
  <c r="I430" i="15" s="1"/>
  <c r="I431" i="15" s="1"/>
  <c r="I432" i="15" s="1"/>
  <c r="I433" i="15" s="1"/>
  <c r="I434" i="15" s="1"/>
  <c r="I435" i="15" s="1"/>
  <c r="I436" i="15" s="1"/>
  <c r="I437" i="15" s="1"/>
  <c r="I438" i="15" s="1"/>
  <c r="I439" i="15" s="1"/>
  <c r="I440" i="15" s="1"/>
  <c r="I441" i="15" s="1"/>
  <c r="I442" i="15" s="1"/>
  <c r="I443" i="15" s="1"/>
  <c r="I444" i="15" s="1"/>
  <c r="I445" i="15" s="1"/>
  <c r="I446" i="15" s="1"/>
  <c r="I447" i="15" s="1"/>
  <c r="I448" i="15" s="1"/>
  <c r="I449" i="15" s="1"/>
  <c r="I450" i="15" s="1"/>
  <c r="I451" i="15" s="1"/>
  <c r="I452" i="15" s="1"/>
  <c r="I453" i="15" s="1"/>
  <c r="I454" i="15" s="1"/>
  <c r="I455" i="15" s="1"/>
  <c r="I456" i="15" s="1"/>
  <c r="I457" i="15" s="1"/>
  <c r="I458" i="15" s="1"/>
  <c r="I459" i="15" s="1"/>
  <c r="I460" i="15" s="1"/>
  <c r="I461" i="15" s="1"/>
  <c r="I462" i="15" s="1"/>
  <c r="I463" i="15" s="1"/>
  <c r="I464" i="15" s="1"/>
  <c r="I465" i="15" s="1"/>
  <c r="I466" i="15" s="1"/>
  <c r="I467" i="15" s="1"/>
  <c r="I468" i="15" s="1"/>
  <c r="I469" i="15" s="1"/>
  <c r="I470" i="15" s="1"/>
  <c r="I471" i="15" s="1"/>
  <c r="I472" i="15" s="1"/>
  <c r="I473" i="15" s="1"/>
  <c r="I474" i="15" s="1"/>
  <c r="I475" i="15" s="1"/>
  <c r="I476" i="15" s="1"/>
  <c r="I477" i="15" s="1"/>
  <c r="I478" i="15" s="1"/>
  <c r="I479" i="15" s="1"/>
  <c r="I480" i="15" s="1"/>
  <c r="I481" i="15" s="1"/>
  <c r="I482" i="15" s="1"/>
  <c r="I483" i="15" s="1"/>
  <c r="I484" i="15" s="1"/>
  <c r="I485" i="15" s="1"/>
  <c r="I486" i="15" s="1"/>
  <c r="I487" i="15" s="1"/>
  <c r="I488" i="15" s="1"/>
  <c r="I489" i="15" s="1"/>
  <c r="I490" i="15" s="1"/>
  <c r="I491" i="15" s="1"/>
  <c r="I492" i="15" s="1"/>
  <c r="I493" i="15" s="1"/>
  <c r="I494" i="15" s="1"/>
  <c r="I495" i="15" s="1"/>
  <c r="I496" i="15" s="1"/>
  <c r="I497" i="15" s="1"/>
  <c r="I498" i="15" s="1"/>
  <c r="I499" i="15" s="1"/>
  <c r="I500" i="15" s="1"/>
  <c r="I501" i="15" s="1"/>
  <c r="I502" i="15" s="1"/>
  <c r="I503" i="15" s="1"/>
  <c r="I504" i="15" s="1"/>
  <c r="I505" i="15" s="1"/>
  <c r="I506" i="15" s="1"/>
  <c r="I507" i="15" s="1"/>
  <c r="I508" i="15" s="1"/>
  <c r="I509" i="15" s="1"/>
  <c r="I510" i="15" s="1"/>
  <c r="I511" i="15" s="1"/>
  <c r="I512" i="15" s="1"/>
  <c r="I513" i="15" s="1"/>
  <c r="I514" i="15" s="1"/>
  <c r="I515" i="15" s="1"/>
  <c r="I516" i="15" s="1"/>
  <c r="I517" i="15" s="1"/>
  <c r="I518" i="15" s="1"/>
  <c r="I519" i="15" s="1"/>
  <c r="I520" i="15" s="1"/>
  <c r="I521" i="15" s="1"/>
  <c r="I522" i="15" s="1"/>
  <c r="I523" i="15" s="1"/>
  <c r="I524" i="15" s="1"/>
  <c r="I525" i="15" s="1"/>
  <c r="I526" i="15" s="1"/>
  <c r="I527" i="15" s="1"/>
  <c r="I528" i="15" s="1"/>
  <c r="I529" i="15" s="1"/>
  <c r="I530" i="15" s="1"/>
  <c r="I531" i="15" s="1"/>
  <c r="I532" i="15" s="1"/>
  <c r="I533" i="15" s="1"/>
  <c r="I534" i="15" s="1"/>
  <c r="I535" i="15" s="1"/>
  <c r="I536" i="15" s="1"/>
  <c r="I537" i="15" s="1"/>
  <c r="I538" i="15" s="1"/>
  <c r="I539" i="15" s="1"/>
  <c r="I540" i="15" s="1"/>
  <c r="I541" i="15" s="1"/>
  <c r="I542" i="15" s="1"/>
  <c r="I543" i="15" s="1"/>
  <c r="I544" i="15" s="1"/>
  <c r="I545" i="15" s="1"/>
  <c r="I546" i="15" s="1"/>
  <c r="I547" i="15" s="1"/>
  <c r="I548" i="15" s="1"/>
  <c r="I549" i="15" s="1"/>
  <c r="I550" i="15" s="1"/>
  <c r="I551" i="15" s="1"/>
  <c r="I552" i="15" s="1"/>
  <c r="I553" i="15" s="1"/>
  <c r="I554" i="15" s="1"/>
  <c r="I555" i="15" s="1"/>
  <c r="I556" i="15" s="1"/>
  <c r="I557" i="15" s="1"/>
  <c r="I558" i="15" s="1"/>
  <c r="I559" i="15" s="1"/>
  <c r="I560" i="15" s="1"/>
  <c r="I561" i="15" s="1"/>
  <c r="I562" i="15" s="1"/>
  <c r="I563" i="15" s="1"/>
  <c r="I564" i="15" s="1"/>
  <c r="I565" i="15" s="1"/>
  <c r="I566" i="15" s="1"/>
  <c r="I567" i="15" s="1"/>
  <c r="I568" i="15" s="1"/>
  <c r="I569" i="15" s="1"/>
  <c r="I570" i="15" s="1"/>
  <c r="I571" i="15" s="1"/>
  <c r="I572" i="15" s="1"/>
  <c r="I573" i="15" s="1"/>
  <c r="I574" i="15" s="1"/>
  <c r="I575" i="15" s="1"/>
  <c r="I576" i="15" s="1"/>
  <c r="I577" i="15" s="1"/>
  <c r="I578" i="15" s="1"/>
  <c r="I579" i="15" s="1"/>
  <c r="I580" i="15" s="1"/>
  <c r="I581" i="15" s="1"/>
  <c r="I582" i="15" s="1"/>
  <c r="I583" i="15" s="1"/>
  <c r="I584" i="15" s="1"/>
  <c r="I585" i="15" s="1"/>
  <c r="I586" i="15" s="1"/>
  <c r="I587" i="15" s="1"/>
  <c r="I588" i="15" s="1"/>
  <c r="I589" i="15" s="1"/>
  <c r="I590" i="15" s="1"/>
  <c r="I591" i="15" s="1"/>
  <c r="I592" i="15" s="1"/>
  <c r="I593" i="15" s="1"/>
  <c r="I594" i="15" s="1"/>
  <c r="I595" i="15" s="1"/>
  <c r="I596" i="15" s="1"/>
  <c r="I597" i="15" s="1"/>
  <c r="I598" i="15" s="1"/>
  <c r="I599" i="15" s="1"/>
  <c r="I600" i="15" s="1"/>
  <c r="I601" i="15" s="1"/>
  <c r="I602" i="15" s="1"/>
  <c r="I603" i="15" s="1"/>
  <c r="I604" i="15" s="1"/>
  <c r="I605" i="15" s="1"/>
  <c r="I606" i="15" s="1"/>
  <c r="I607" i="15" s="1"/>
  <c r="I608" i="15" s="1"/>
  <c r="I609" i="15" s="1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C6" i="15"/>
  <c r="C7" i="15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C106" i="15" s="1"/>
  <c r="C107" i="15" s="1"/>
  <c r="C108" i="15" s="1"/>
  <c r="C109" i="15" s="1"/>
  <c r="C110" i="15" s="1"/>
  <c r="C111" i="15" s="1"/>
  <c r="C112" i="15" s="1"/>
  <c r="C113" i="15" s="1"/>
  <c r="C114" i="15" s="1"/>
  <c r="C115" i="15" s="1"/>
  <c r="C116" i="15" s="1"/>
  <c r="C117" i="15" s="1"/>
  <c r="C118" i="15" s="1"/>
  <c r="C119" i="15" s="1"/>
  <c r="C120" i="15" s="1"/>
  <c r="C121" i="15" s="1"/>
  <c r="C122" i="15" s="1"/>
  <c r="C123" i="15" s="1"/>
  <c r="C124" i="15" s="1"/>
  <c r="C125" i="15" s="1"/>
  <c r="C126" i="15" s="1"/>
  <c r="C127" i="15" s="1"/>
  <c r="C128" i="15" s="1"/>
  <c r="C129" i="15" s="1"/>
  <c r="C130" i="15" s="1"/>
  <c r="C131" i="15" s="1"/>
  <c r="C132" i="15" s="1"/>
  <c r="C133" i="15" s="1"/>
  <c r="C134" i="15" s="1"/>
  <c r="C135" i="15" s="1"/>
  <c r="C136" i="15" s="1"/>
  <c r="C137" i="15" s="1"/>
  <c r="C138" i="15" s="1"/>
  <c r="C139" i="15" s="1"/>
  <c r="C140" i="15" s="1"/>
  <c r="C141" i="15" s="1"/>
  <c r="C142" i="15" s="1"/>
  <c r="C143" i="15" s="1"/>
  <c r="C144" i="15" s="1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C157" i="15" s="1"/>
  <c r="C158" i="15" s="1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C174" i="15" s="1"/>
  <c r="C175" i="15" s="1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C191" i="15" s="1"/>
  <c r="C192" i="15" s="1"/>
  <c r="C193" i="15" s="1"/>
  <c r="C194" i="15" s="1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C208" i="15" s="1"/>
  <c r="C209" i="15" s="1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C225" i="15" s="1"/>
  <c r="C226" i="15" s="1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C259" i="15" s="1"/>
  <c r="C260" i="15" s="1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C276" i="15" s="1"/>
  <c r="C277" i="15" s="1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290" i="15" s="1"/>
  <c r="C291" i="15" s="1"/>
  <c r="C292" i="15" s="1"/>
  <c r="C293" i="15" s="1"/>
  <c r="C294" i="15" s="1"/>
  <c r="C295" i="15" s="1"/>
  <c r="C296" i="15" s="1"/>
  <c r="C297" i="15" s="1"/>
  <c r="C298" i="15" s="1"/>
  <c r="C299" i="15" s="1"/>
  <c r="C300" i="15" s="1"/>
  <c r="C301" i="15" s="1"/>
  <c r="C302" i="15" s="1"/>
  <c r="C303" i="15" s="1"/>
  <c r="C304" i="15" s="1"/>
  <c r="C305" i="15" s="1"/>
  <c r="C306" i="15" s="1"/>
  <c r="C307" i="15" s="1"/>
  <c r="C308" i="15" s="1"/>
  <c r="C309" i="15" s="1"/>
  <c r="C310" i="15" s="1"/>
  <c r="C311" i="15" s="1"/>
  <c r="C312" i="15" s="1"/>
  <c r="C313" i="15" s="1"/>
  <c r="C314" i="15" s="1"/>
  <c r="C315" i="15" s="1"/>
  <c r="C316" i="15" s="1"/>
  <c r="C317" i="15" s="1"/>
  <c r="C318" i="15" s="1"/>
  <c r="C319" i="15" s="1"/>
  <c r="C320" i="15" s="1"/>
  <c r="C321" i="15" s="1"/>
  <c r="C322" i="15" s="1"/>
  <c r="C323" i="15" s="1"/>
  <c r="C324" i="15" s="1"/>
  <c r="C325" i="15" s="1"/>
  <c r="C326" i="15" s="1"/>
  <c r="C327" i="15" s="1"/>
  <c r="C328" i="15" s="1"/>
  <c r="C329" i="15" s="1"/>
  <c r="C330" i="15" s="1"/>
  <c r="C331" i="15" s="1"/>
  <c r="C332" i="15" s="1"/>
  <c r="C333" i="15" s="1"/>
  <c r="C334" i="15" s="1"/>
  <c r="C335" i="15" s="1"/>
  <c r="C336" i="15" s="1"/>
  <c r="C337" i="15" s="1"/>
  <c r="C338" i="15" s="1"/>
  <c r="C339" i="15" s="1"/>
  <c r="C340" i="15" s="1"/>
  <c r="C341" i="15" s="1"/>
  <c r="C342" i="15" s="1"/>
  <c r="C343" i="15" s="1"/>
  <c r="C344" i="15" s="1"/>
  <c r="C345" i="15" s="1"/>
  <c r="C346" i="15" s="1"/>
  <c r="C347" i="15" s="1"/>
  <c r="C348" i="15" s="1"/>
  <c r="C349" i="15" s="1"/>
  <c r="C350" i="15" s="1"/>
  <c r="C351" i="15" s="1"/>
  <c r="C352" i="15" s="1"/>
  <c r="C353" i="15" s="1"/>
  <c r="C354" i="15" s="1"/>
  <c r="C355" i="15" s="1"/>
  <c r="C356" i="15" s="1"/>
  <c r="C357" i="15" s="1"/>
  <c r="C358" i="15" s="1"/>
  <c r="C359" i="15" s="1"/>
  <c r="C360" i="15" s="1"/>
  <c r="C361" i="15" s="1"/>
  <c r="C362" i="15" s="1"/>
  <c r="C363" i="15" s="1"/>
  <c r="C364" i="15" s="1"/>
  <c r="C365" i="15" s="1"/>
  <c r="C366" i="15" s="1"/>
  <c r="C367" i="15" s="1"/>
  <c r="C368" i="15" s="1"/>
  <c r="C369" i="15" s="1"/>
  <c r="C370" i="15" s="1"/>
  <c r="C371" i="15" s="1"/>
  <c r="C372" i="15" s="1"/>
  <c r="C373" i="15" s="1"/>
  <c r="C374" i="15" s="1"/>
  <c r="C375" i="15" s="1"/>
  <c r="C376" i="15" s="1"/>
  <c r="C377" i="15" s="1"/>
  <c r="C378" i="15" s="1"/>
  <c r="C379" i="15" s="1"/>
  <c r="C380" i="15" s="1"/>
  <c r="C381" i="15" s="1"/>
  <c r="C382" i="15" s="1"/>
  <c r="C383" i="15" s="1"/>
  <c r="C384" i="15" s="1"/>
  <c r="C385" i="15" s="1"/>
  <c r="C386" i="15" s="1"/>
  <c r="C387" i="15" s="1"/>
  <c r="C388" i="15" s="1"/>
  <c r="C389" i="15" s="1"/>
  <c r="C390" i="15" s="1"/>
  <c r="C391" i="15" s="1"/>
  <c r="C392" i="15" s="1"/>
  <c r="C393" i="15" s="1"/>
  <c r="C394" i="15" s="1"/>
  <c r="C395" i="15" s="1"/>
  <c r="C396" i="15" s="1"/>
  <c r="C397" i="15" s="1"/>
  <c r="C398" i="15" s="1"/>
  <c r="C399" i="15" s="1"/>
  <c r="C400" i="15" s="1"/>
  <c r="C401" i="15" s="1"/>
  <c r="C402" i="15" s="1"/>
  <c r="C403" i="15" s="1"/>
  <c r="C404" i="15" s="1"/>
  <c r="C405" i="15" s="1"/>
  <c r="C406" i="15" s="1"/>
  <c r="C407" i="15" s="1"/>
  <c r="C408" i="15" s="1"/>
  <c r="C409" i="15" s="1"/>
  <c r="C410" i="15" s="1"/>
  <c r="C411" i="15" s="1"/>
  <c r="C412" i="15" s="1"/>
  <c r="C413" i="15" s="1"/>
  <c r="C414" i="15" s="1"/>
  <c r="C415" i="15" s="1"/>
  <c r="C416" i="15" s="1"/>
  <c r="C417" i="15" s="1"/>
  <c r="C418" i="15" s="1"/>
  <c r="C419" i="15" s="1"/>
  <c r="C420" i="15" s="1"/>
  <c r="C421" i="15" s="1"/>
  <c r="C422" i="15" s="1"/>
  <c r="C423" i="15" s="1"/>
  <c r="C424" i="15" s="1"/>
  <c r="C425" i="15" s="1"/>
  <c r="C426" i="15" s="1"/>
  <c r="C427" i="15" s="1"/>
  <c r="C428" i="15" s="1"/>
  <c r="C429" i="15" s="1"/>
  <c r="C430" i="15" s="1"/>
  <c r="C431" i="15" s="1"/>
  <c r="C432" i="15" s="1"/>
  <c r="C433" i="15" s="1"/>
  <c r="C434" i="15" s="1"/>
  <c r="C435" i="15" s="1"/>
  <c r="C436" i="15" s="1"/>
  <c r="C437" i="15" s="1"/>
  <c r="C438" i="15" s="1"/>
  <c r="C439" i="15" s="1"/>
  <c r="C440" i="15" s="1"/>
  <c r="C441" i="15" s="1"/>
  <c r="C442" i="15" s="1"/>
  <c r="C443" i="15" s="1"/>
  <c r="C444" i="15" s="1"/>
  <c r="C445" i="15" s="1"/>
  <c r="C446" i="15" s="1"/>
  <c r="C447" i="15" s="1"/>
  <c r="C448" i="15" s="1"/>
  <c r="C449" i="15" s="1"/>
  <c r="C450" i="15" s="1"/>
  <c r="C451" i="15" s="1"/>
  <c r="C452" i="15" s="1"/>
  <c r="C453" i="15" s="1"/>
  <c r="C454" i="15" s="1"/>
  <c r="C455" i="15" s="1"/>
  <c r="C456" i="15" s="1"/>
  <c r="C457" i="15" s="1"/>
  <c r="C458" i="15" s="1"/>
  <c r="C459" i="15" s="1"/>
  <c r="C460" i="15" s="1"/>
  <c r="C461" i="15" s="1"/>
  <c r="C462" i="15" s="1"/>
  <c r="C463" i="15" s="1"/>
  <c r="C464" i="15" s="1"/>
  <c r="C465" i="15" s="1"/>
  <c r="C466" i="15" s="1"/>
  <c r="C467" i="15" s="1"/>
  <c r="C468" i="15" s="1"/>
  <c r="C469" i="15" s="1"/>
  <c r="C470" i="15" s="1"/>
  <c r="C471" i="15" s="1"/>
  <c r="C472" i="15" s="1"/>
  <c r="C473" i="15" s="1"/>
  <c r="C474" i="15" s="1"/>
  <c r="C475" i="15" s="1"/>
  <c r="C476" i="15" s="1"/>
  <c r="C477" i="15" s="1"/>
  <c r="C478" i="15" s="1"/>
  <c r="C479" i="15" s="1"/>
  <c r="C480" i="15" s="1"/>
  <c r="C481" i="15" s="1"/>
  <c r="C482" i="15" s="1"/>
  <c r="C483" i="15" s="1"/>
  <c r="C484" i="15" s="1"/>
  <c r="C485" i="15" s="1"/>
  <c r="C486" i="15" s="1"/>
  <c r="C487" i="15" s="1"/>
  <c r="C488" i="15" s="1"/>
  <c r="C489" i="15" s="1"/>
  <c r="C490" i="15" s="1"/>
  <c r="C491" i="15" s="1"/>
  <c r="C492" i="15" s="1"/>
  <c r="C493" i="15" s="1"/>
  <c r="C494" i="15" s="1"/>
  <c r="C495" i="15" s="1"/>
  <c r="C496" i="15" s="1"/>
  <c r="C497" i="15" s="1"/>
  <c r="C498" i="15" s="1"/>
  <c r="C499" i="15" s="1"/>
  <c r="C500" i="15" s="1"/>
  <c r="C501" i="15" s="1"/>
  <c r="C502" i="15" s="1"/>
  <c r="C503" i="15" s="1"/>
  <c r="C504" i="15" s="1"/>
  <c r="C505" i="15" s="1"/>
  <c r="C506" i="15" s="1"/>
  <c r="C507" i="15" s="1"/>
  <c r="C508" i="15" s="1"/>
  <c r="C509" i="15" s="1"/>
  <c r="C510" i="15" s="1"/>
  <c r="C511" i="15" s="1"/>
  <c r="C512" i="15" s="1"/>
  <c r="C513" i="15" s="1"/>
  <c r="C514" i="15" s="1"/>
  <c r="C515" i="15" s="1"/>
  <c r="C516" i="15" s="1"/>
  <c r="C517" i="15" s="1"/>
  <c r="C518" i="15" s="1"/>
  <c r="C519" i="15" s="1"/>
  <c r="C520" i="15" s="1"/>
  <c r="C521" i="15" s="1"/>
  <c r="C522" i="15" s="1"/>
  <c r="C523" i="15" s="1"/>
  <c r="C524" i="15" s="1"/>
  <c r="C525" i="15" s="1"/>
  <c r="C526" i="15" s="1"/>
  <c r="C527" i="15" s="1"/>
  <c r="C528" i="15" s="1"/>
  <c r="C529" i="15" s="1"/>
  <c r="C530" i="15" s="1"/>
  <c r="C531" i="15" s="1"/>
  <c r="C532" i="15" s="1"/>
  <c r="C533" i="15" s="1"/>
  <c r="C534" i="15" s="1"/>
  <c r="C535" i="15" s="1"/>
  <c r="C536" i="15" s="1"/>
  <c r="C537" i="15" s="1"/>
  <c r="C538" i="15" s="1"/>
  <c r="C539" i="15" s="1"/>
  <c r="C540" i="15" s="1"/>
  <c r="C541" i="15" s="1"/>
  <c r="C542" i="15" s="1"/>
  <c r="C543" i="15" s="1"/>
  <c r="C544" i="15" s="1"/>
  <c r="C545" i="15" s="1"/>
  <c r="C546" i="15" s="1"/>
  <c r="C547" i="15" s="1"/>
  <c r="C548" i="15" s="1"/>
  <c r="C549" i="15" s="1"/>
  <c r="C550" i="15" s="1"/>
  <c r="C551" i="15" s="1"/>
  <c r="C552" i="15" s="1"/>
  <c r="C553" i="15" s="1"/>
  <c r="C554" i="15" s="1"/>
  <c r="C555" i="15" s="1"/>
  <c r="C556" i="15" s="1"/>
  <c r="C557" i="15" s="1"/>
  <c r="C558" i="15" s="1"/>
  <c r="C559" i="15" s="1"/>
  <c r="C560" i="15" s="1"/>
  <c r="C561" i="15" s="1"/>
  <c r="C562" i="15" s="1"/>
  <c r="C563" i="15" s="1"/>
  <c r="C564" i="15" s="1"/>
  <c r="C565" i="15" s="1"/>
  <c r="C566" i="15" s="1"/>
  <c r="C567" i="15" s="1"/>
  <c r="C568" i="15" s="1"/>
  <c r="C569" i="15" s="1"/>
  <c r="C570" i="15" s="1"/>
  <c r="C571" i="15" s="1"/>
  <c r="C572" i="15" s="1"/>
  <c r="C573" i="15" s="1"/>
  <c r="C574" i="15" s="1"/>
  <c r="C575" i="15" s="1"/>
  <c r="C576" i="15" s="1"/>
  <c r="C577" i="15" s="1"/>
  <c r="C578" i="15" s="1"/>
  <c r="C579" i="15" s="1"/>
  <c r="C580" i="15" s="1"/>
  <c r="C581" i="15" s="1"/>
  <c r="C582" i="15" s="1"/>
  <c r="C583" i="15" s="1"/>
  <c r="C584" i="15" s="1"/>
  <c r="C585" i="15" s="1"/>
  <c r="C586" i="15" s="1"/>
  <c r="C587" i="15" s="1"/>
  <c r="C588" i="15" s="1"/>
  <c r="C589" i="15" s="1"/>
  <c r="C590" i="15" s="1"/>
  <c r="C591" i="15" s="1"/>
  <c r="C592" i="15" s="1"/>
  <c r="C593" i="15" s="1"/>
  <c r="C594" i="15" s="1"/>
  <c r="C595" i="15" s="1"/>
  <c r="C596" i="15" s="1"/>
  <c r="C597" i="15" s="1"/>
  <c r="C598" i="15" s="1"/>
  <c r="C599" i="15" s="1"/>
  <c r="C600" i="15" s="1"/>
  <c r="C601" i="15" s="1"/>
  <c r="C602" i="15" s="1"/>
  <c r="C603" i="15" s="1"/>
  <c r="C604" i="15" s="1"/>
  <c r="C605" i="15" s="1"/>
  <c r="C606" i="15" s="1"/>
  <c r="C607" i="15" s="1"/>
  <c r="C608" i="15" s="1"/>
  <c r="C609" i="15" s="1"/>
  <c r="C610" i="15" s="1"/>
  <c r="C611" i="15" s="1"/>
  <c r="C612" i="15" s="1"/>
  <c r="C613" i="15" s="1"/>
  <c r="C614" i="15" s="1"/>
  <c r="C615" i="15" s="1"/>
  <c r="C616" i="15" s="1"/>
  <c r="C617" i="15" s="1"/>
  <c r="C618" i="15" s="1"/>
  <c r="C619" i="15" s="1"/>
  <c r="C620" i="15" s="1"/>
  <c r="C621" i="15" s="1"/>
  <c r="C622" i="15" s="1"/>
  <c r="C623" i="15" s="1"/>
  <c r="C624" i="15" s="1"/>
  <c r="C625" i="15" s="1"/>
  <c r="C626" i="15" s="1"/>
  <c r="C627" i="15" s="1"/>
  <c r="C628" i="15" s="1"/>
  <c r="C629" i="15" s="1"/>
  <c r="C630" i="15" s="1"/>
  <c r="C631" i="15" s="1"/>
  <c r="C632" i="15" s="1"/>
  <c r="C633" i="15" s="1"/>
  <c r="D6" i="15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67" i="15" s="1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D252" i="15" s="1"/>
  <c r="D253" i="15" s="1"/>
  <c r="D254" i="15" s="1"/>
  <c r="D255" i="15" s="1"/>
  <c r="D256" i="15" s="1"/>
  <c r="D257" i="15" s="1"/>
  <c r="D258" i="15" s="1"/>
  <c r="D259" i="15" s="1"/>
  <c r="D260" i="15" s="1"/>
  <c r="D261" i="15" s="1"/>
  <c r="D262" i="15" s="1"/>
  <c r="D263" i="15" s="1"/>
  <c r="D264" i="15" s="1"/>
  <c r="D265" i="15" s="1"/>
  <c r="D266" i="15" s="1"/>
  <c r="D267" i="15" s="1"/>
  <c r="D268" i="15" s="1"/>
  <c r="D269" i="15" s="1"/>
  <c r="D270" i="15" s="1"/>
  <c r="D271" i="15" s="1"/>
  <c r="D272" i="15" s="1"/>
  <c r="D273" i="15" s="1"/>
  <c r="D274" i="15" s="1"/>
  <c r="D275" i="15" s="1"/>
  <c r="D276" i="15" s="1"/>
  <c r="D277" i="15" s="1"/>
  <c r="D278" i="15" s="1"/>
  <c r="D279" i="15" s="1"/>
  <c r="D280" i="15" s="1"/>
  <c r="D281" i="15" s="1"/>
  <c r="D282" i="15" s="1"/>
  <c r="D283" i="15" s="1"/>
  <c r="D284" i="15" s="1"/>
  <c r="D285" i="15" s="1"/>
  <c r="D286" i="15" s="1"/>
  <c r="D287" i="15" s="1"/>
  <c r="D288" i="15" s="1"/>
  <c r="D289" i="15" s="1"/>
  <c r="D290" i="15" s="1"/>
  <c r="D291" i="15" s="1"/>
  <c r="D292" i="15" s="1"/>
  <c r="D293" i="15" s="1"/>
  <c r="D294" i="15" s="1"/>
  <c r="D295" i="15" s="1"/>
  <c r="D296" i="15" s="1"/>
  <c r="D297" i="15" s="1"/>
  <c r="D298" i="15" s="1"/>
  <c r="D299" i="15" s="1"/>
  <c r="D300" i="15" s="1"/>
  <c r="D301" i="15" s="1"/>
  <c r="D302" i="15" s="1"/>
  <c r="D303" i="15" s="1"/>
  <c r="D304" i="15" s="1"/>
  <c r="D305" i="15" s="1"/>
  <c r="D306" i="15" s="1"/>
  <c r="D307" i="15" s="1"/>
  <c r="D308" i="15" s="1"/>
  <c r="D309" i="15" s="1"/>
  <c r="D310" i="15" s="1"/>
  <c r="D311" i="15" s="1"/>
  <c r="D312" i="15" s="1"/>
  <c r="D313" i="15" s="1"/>
  <c r="D314" i="15" s="1"/>
  <c r="D315" i="15" s="1"/>
  <c r="D316" i="15" s="1"/>
  <c r="D317" i="15" s="1"/>
  <c r="D318" i="15" s="1"/>
  <c r="D319" i="15" s="1"/>
  <c r="D320" i="15" s="1"/>
  <c r="D321" i="15" s="1"/>
  <c r="D322" i="15" s="1"/>
  <c r="D323" i="15" s="1"/>
  <c r="D324" i="15" s="1"/>
  <c r="D325" i="15" s="1"/>
  <c r="D326" i="15" s="1"/>
  <c r="D327" i="15" s="1"/>
  <c r="D328" i="15" s="1"/>
  <c r="D329" i="15" s="1"/>
  <c r="D330" i="15" s="1"/>
  <c r="D331" i="15" s="1"/>
  <c r="D332" i="15" s="1"/>
  <c r="D333" i="15" s="1"/>
  <c r="D334" i="15" s="1"/>
  <c r="D335" i="15" s="1"/>
  <c r="D336" i="15" s="1"/>
  <c r="D337" i="15" s="1"/>
  <c r="D338" i="15" s="1"/>
  <c r="D339" i="15" s="1"/>
  <c r="D340" i="15" s="1"/>
  <c r="D341" i="15" s="1"/>
  <c r="D342" i="15" s="1"/>
  <c r="D343" i="15" s="1"/>
  <c r="D344" i="15" s="1"/>
  <c r="D345" i="15" s="1"/>
  <c r="D346" i="15" s="1"/>
  <c r="D347" i="15" s="1"/>
  <c r="D348" i="15" s="1"/>
  <c r="D349" i="15" s="1"/>
  <c r="D350" i="15" s="1"/>
  <c r="D351" i="15" s="1"/>
  <c r="D352" i="15" s="1"/>
  <c r="D353" i="15" s="1"/>
  <c r="D354" i="15" s="1"/>
  <c r="D355" i="15" s="1"/>
  <c r="D356" i="15" s="1"/>
  <c r="D357" i="15" s="1"/>
  <c r="D358" i="15" s="1"/>
  <c r="D359" i="15" s="1"/>
  <c r="D360" i="15" s="1"/>
  <c r="D361" i="15" s="1"/>
  <c r="D362" i="15" s="1"/>
  <c r="D363" i="15" s="1"/>
  <c r="D364" i="15" s="1"/>
  <c r="E6" i="15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E114" i="15" s="1"/>
  <c r="E115" i="15" s="1"/>
  <c r="E116" i="15" s="1"/>
  <c r="E117" i="15" s="1"/>
  <c r="E118" i="15" s="1"/>
  <c r="E119" i="15" s="1"/>
  <c r="E120" i="15" s="1"/>
  <c r="E121" i="15" s="1"/>
  <c r="E122" i="15" s="1"/>
  <c r="E123" i="15" s="1"/>
  <c r="E124" i="15" s="1"/>
  <c r="E125" i="15" s="1"/>
  <c r="E126" i="15" s="1"/>
  <c r="E127" i="15" s="1"/>
  <c r="E128" i="15" s="1"/>
  <c r="E129" i="15" s="1"/>
  <c r="E130" i="15" s="1"/>
  <c r="E131" i="15" s="1"/>
  <c r="E132" i="15" s="1"/>
  <c r="E133" i="15" s="1"/>
  <c r="E134" i="15" s="1"/>
  <c r="E135" i="15" s="1"/>
  <c r="E136" i="15" s="1"/>
  <c r="E137" i="15" s="1"/>
  <c r="E138" i="15" s="1"/>
  <c r="E139" i="15" s="1"/>
  <c r="E140" i="15" s="1"/>
  <c r="E141" i="15" s="1"/>
  <c r="E142" i="15" s="1"/>
  <c r="E143" i="15" s="1"/>
  <c r="E144" i="15" s="1"/>
  <c r="E145" i="15" s="1"/>
  <c r="E146" i="15" s="1"/>
  <c r="E147" i="15" s="1"/>
  <c r="E148" i="15" s="1"/>
  <c r="E149" i="15" s="1"/>
  <c r="E150" i="15" s="1"/>
  <c r="E151" i="15" s="1"/>
  <c r="E152" i="15" s="1"/>
  <c r="E153" i="15" s="1"/>
  <c r="E154" i="15" s="1"/>
  <c r="E155" i="15" s="1"/>
  <c r="E156" i="15" s="1"/>
  <c r="E157" i="15" s="1"/>
  <c r="E158" i="15" s="1"/>
  <c r="E159" i="15" s="1"/>
  <c r="E160" i="15" s="1"/>
  <c r="E161" i="15" s="1"/>
  <c r="E162" i="15" s="1"/>
  <c r="E163" i="15" s="1"/>
  <c r="E164" i="15" s="1"/>
  <c r="E165" i="15" s="1"/>
  <c r="E166" i="15" s="1"/>
  <c r="E167" i="15" s="1"/>
  <c r="E168" i="15" s="1"/>
  <c r="E169" i="15" s="1"/>
  <c r="E170" i="15" s="1"/>
  <c r="E171" i="15" s="1"/>
  <c r="E172" i="15" s="1"/>
  <c r="E173" i="15" s="1"/>
  <c r="E174" i="15" s="1"/>
  <c r="E175" i="15" s="1"/>
  <c r="E176" i="15" s="1"/>
  <c r="E177" i="15" s="1"/>
  <c r="E178" i="15" s="1"/>
  <c r="E179" i="15" s="1"/>
  <c r="E180" i="15" s="1"/>
  <c r="E181" i="15" s="1"/>
  <c r="E182" i="15" s="1"/>
  <c r="E183" i="15" s="1"/>
  <c r="E184" i="15" s="1"/>
  <c r="E185" i="15" s="1"/>
  <c r="E186" i="15" s="1"/>
  <c r="E187" i="15" s="1"/>
  <c r="E188" i="15" s="1"/>
  <c r="E189" i="15" s="1"/>
  <c r="E190" i="15" s="1"/>
  <c r="E191" i="15" s="1"/>
  <c r="E192" i="15" s="1"/>
  <c r="E193" i="15" s="1"/>
  <c r="E194" i="15" s="1"/>
  <c r="E195" i="15" s="1"/>
  <c r="E196" i="15" s="1"/>
  <c r="E197" i="15" s="1"/>
  <c r="E198" i="15" s="1"/>
  <c r="E199" i="15" s="1"/>
  <c r="E200" i="15" s="1"/>
  <c r="E201" i="15" s="1"/>
  <c r="E202" i="15" s="1"/>
  <c r="E203" i="15" s="1"/>
  <c r="E204" i="15" s="1"/>
  <c r="E205" i="15" s="1"/>
  <c r="E206" i="15" s="1"/>
  <c r="E207" i="15" s="1"/>
  <c r="E208" i="15" s="1"/>
  <c r="E209" i="15" s="1"/>
  <c r="E210" i="15" s="1"/>
  <c r="E211" i="15" s="1"/>
  <c r="E212" i="15" s="1"/>
  <c r="E213" i="15" s="1"/>
  <c r="E214" i="15" s="1"/>
  <c r="E215" i="15" s="1"/>
  <c r="E216" i="15" s="1"/>
  <c r="E217" i="15" s="1"/>
  <c r="E218" i="15" s="1"/>
  <c r="E219" i="15" s="1"/>
  <c r="E220" i="15" s="1"/>
  <c r="E221" i="15" s="1"/>
  <c r="E222" i="15" s="1"/>
  <c r="E223" i="15" s="1"/>
  <c r="E224" i="15" s="1"/>
  <c r="E225" i="15" s="1"/>
  <c r="E226" i="15" s="1"/>
  <c r="E227" i="15" s="1"/>
  <c r="E228" i="15" s="1"/>
  <c r="E229" i="15" s="1"/>
  <c r="E230" i="15" s="1"/>
  <c r="E231" i="15" s="1"/>
  <c r="E232" i="15" s="1"/>
  <c r="E233" i="15" s="1"/>
  <c r="E234" i="15" s="1"/>
  <c r="E235" i="15" s="1"/>
  <c r="E236" i="15" s="1"/>
  <c r="E237" i="15" s="1"/>
  <c r="E238" i="15" s="1"/>
  <c r="E239" i="15" s="1"/>
  <c r="E240" i="15" s="1"/>
  <c r="E241" i="15" s="1"/>
  <c r="E242" i="15" s="1"/>
  <c r="E243" i="15" s="1"/>
  <c r="E244" i="15" s="1"/>
  <c r="E245" i="15" s="1"/>
  <c r="E246" i="15" s="1"/>
  <c r="E247" i="15" s="1"/>
  <c r="E248" i="15" s="1"/>
  <c r="E249" i="15" s="1"/>
  <c r="E250" i="15" s="1"/>
  <c r="E251" i="15" s="1"/>
  <c r="E252" i="15" s="1"/>
  <c r="E253" i="15" s="1"/>
  <c r="E254" i="15" s="1"/>
  <c r="E255" i="15" s="1"/>
  <c r="E256" i="15" s="1"/>
  <c r="E257" i="15" s="1"/>
  <c r="E258" i="15" s="1"/>
  <c r="E259" i="15" s="1"/>
  <c r="E260" i="15" s="1"/>
  <c r="E261" i="15" s="1"/>
  <c r="E262" i="15" s="1"/>
  <c r="E263" i="15" s="1"/>
  <c r="E264" i="15" s="1"/>
  <c r="E265" i="15" s="1"/>
  <c r="E266" i="15" s="1"/>
  <c r="E267" i="15" s="1"/>
  <c r="E268" i="15" s="1"/>
  <c r="E269" i="15" s="1"/>
  <c r="E270" i="15" s="1"/>
  <c r="E271" i="15" s="1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E284" i="15" s="1"/>
  <c r="E285" i="15" s="1"/>
  <c r="E286" i="15" s="1"/>
  <c r="E287" i="15" s="1"/>
  <c r="E288" i="15" s="1"/>
  <c r="E289" i="15" s="1"/>
  <c r="E290" i="15" s="1"/>
  <c r="E291" i="15" s="1"/>
  <c r="E292" i="15" s="1"/>
  <c r="E293" i="15" s="1"/>
  <c r="E294" i="15" s="1"/>
  <c r="E295" i="15" s="1"/>
  <c r="E296" i="15" s="1"/>
  <c r="E297" i="15" s="1"/>
  <c r="E298" i="15" s="1"/>
  <c r="E299" i="15" s="1"/>
  <c r="E300" i="15" s="1"/>
  <c r="E301" i="15" s="1"/>
  <c r="E302" i="15" s="1"/>
  <c r="E303" i="15" s="1"/>
  <c r="E304" i="15" s="1"/>
  <c r="E305" i="15" s="1"/>
  <c r="E306" i="15" s="1"/>
  <c r="E307" i="15" s="1"/>
  <c r="E308" i="15" s="1"/>
  <c r="E309" i="15" s="1"/>
  <c r="E310" i="15" s="1"/>
  <c r="E311" i="15" s="1"/>
  <c r="E312" i="15" s="1"/>
  <c r="E313" i="15" s="1"/>
  <c r="E314" i="15" s="1"/>
  <c r="E315" i="15" s="1"/>
  <c r="E316" i="15" s="1"/>
  <c r="E317" i="15" s="1"/>
  <c r="E318" i="15" s="1"/>
  <c r="E319" i="15" s="1"/>
  <c r="E320" i="15" s="1"/>
  <c r="E321" i="15" s="1"/>
  <c r="E322" i="15" s="1"/>
  <c r="E323" i="15" s="1"/>
  <c r="E324" i="15" s="1"/>
  <c r="E325" i="15" s="1"/>
  <c r="E326" i="15" s="1"/>
  <c r="E327" i="15" s="1"/>
  <c r="E328" i="15" s="1"/>
  <c r="E329" i="15" s="1"/>
  <c r="E330" i="15" s="1"/>
  <c r="E331" i="15" s="1"/>
  <c r="E332" i="15" s="1"/>
  <c r="E333" i="15" s="1"/>
  <c r="E334" i="15" s="1"/>
  <c r="E335" i="15" s="1"/>
  <c r="E336" i="15" s="1"/>
  <c r="E337" i="15" s="1"/>
  <c r="E338" i="15" s="1"/>
  <c r="E339" i="15" s="1"/>
  <c r="E340" i="15" s="1"/>
  <c r="E341" i="15" s="1"/>
  <c r="E342" i="15" s="1"/>
  <c r="E343" i="15" s="1"/>
  <c r="E344" i="15" s="1"/>
  <c r="E345" i="15" s="1"/>
  <c r="E346" i="15" s="1"/>
  <c r="E347" i="15" s="1"/>
  <c r="E348" i="15" s="1"/>
  <c r="E349" i="15" s="1"/>
  <c r="E350" i="15" s="1"/>
  <c r="E351" i="15" s="1"/>
  <c r="E352" i="15" s="1"/>
  <c r="E353" i="15" s="1"/>
  <c r="E354" i="15" s="1"/>
  <c r="E355" i="15" s="1"/>
  <c r="E356" i="15" s="1"/>
  <c r="E357" i="15" s="1"/>
  <c r="E358" i="15" s="1"/>
  <c r="E359" i="15" s="1"/>
  <c r="E360" i="15" s="1"/>
  <c r="E361" i="15" s="1"/>
  <c r="E362" i="15" s="1"/>
  <c r="E363" i="15" s="1"/>
  <c r="E364" i="15" s="1"/>
  <c r="E365" i="15" s="1"/>
  <c r="E366" i="15" s="1"/>
  <c r="E367" i="15" s="1"/>
  <c r="E368" i="15" s="1"/>
  <c r="E369" i="15" s="1"/>
  <c r="E370" i="15" s="1"/>
  <c r="E371" i="15" s="1"/>
  <c r="E372" i="15" s="1"/>
  <c r="E373" i="15" s="1"/>
  <c r="E374" i="15" s="1"/>
  <c r="E375" i="15" s="1"/>
  <c r="E376" i="15" s="1"/>
  <c r="E377" i="15" s="1"/>
  <c r="E378" i="15" s="1"/>
  <c r="E379" i="15" s="1"/>
  <c r="E380" i="15" s="1"/>
  <c r="E381" i="15" s="1"/>
  <c r="E382" i="15" s="1"/>
  <c r="E383" i="15" s="1"/>
  <c r="E384" i="15" s="1"/>
  <c r="E385" i="15" s="1"/>
  <c r="E386" i="15" s="1"/>
  <c r="E387" i="15" s="1"/>
  <c r="E388" i="15" s="1"/>
  <c r="E389" i="15" s="1"/>
  <c r="E390" i="15" s="1"/>
  <c r="E391" i="15" s="1"/>
  <c r="E392" i="15" s="1"/>
  <c r="E393" i="15" s="1"/>
  <c r="E394" i="15" s="1"/>
  <c r="E395" i="15" s="1"/>
  <c r="E396" i="15" s="1"/>
  <c r="E397" i="15" s="1"/>
  <c r="E398" i="15" s="1"/>
  <c r="E399" i="15" s="1"/>
  <c r="E400" i="15" s="1"/>
  <c r="E401" i="15" s="1"/>
  <c r="E402" i="15" s="1"/>
  <c r="E403" i="15" s="1"/>
  <c r="E404" i="15" s="1"/>
  <c r="E405" i="15" s="1"/>
  <c r="E406" i="15" s="1"/>
  <c r="E407" i="15" s="1"/>
  <c r="E408" i="15" s="1"/>
  <c r="E409" i="15" s="1"/>
  <c r="E410" i="15" s="1"/>
  <c r="E411" i="15" s="1"/>
  <c r="E412" i="15" s="1"/>
  <c r="E413" i="15" s="1"/>
  <c r="E414" i="15" s="1"/>
  <c r="E415" i="15" s="1"/>
  <c r="E416" i="15" s="1"/>
  <c r="E417" i="15" s="1"/>
  <c r="E418" i="15" s="1"/>
  <c r="E419" i="15" s="1"/>
  <c r="E420" i="15" s="1"/>
  <c r="E421" i="15" s="1"/>
  <c r="E422" i="15" s="1"/>
  <c r="E423" i="15" s="1"/>
  <c r="E424" i="15" s="1"/>
  <c r="E425" i="15" s="1"/>
  <c r="E426" i="15" s="1"/>
  <c r="E427" i="15" s="1"/>
  <c r="E428" i="15" s="1"/>
  <c r="E429" i="15" s="1"/>
  <c r="E430" i="15" s="1"/>
  <c r="E431" i="15" s="1"/>
  <c r="E432" i="15" s="1"/>
  <c r="E433" i="15" s="1"/>
  <c r="E434" i="15" s="1"/>
  <c r="E435" i="15" s="1"/>
  <c r="E436" i="15" s="1"/>
  <c r="E437" i="15" s="1"/>
  <c r="E438" i="15" s="1"/>
  <c r="E439" i="15" s="1"/>
  <c r="E440" i="15" s="1"/>
  <c r="E441" i="15" s="1"/>
  <c r="E442" i="15" s="1"/>
  <c r="E443" i="15" s="1"/>
  <c r="E444" i="15" s="1"/>
  <c r="E445" i="15" s="1"/>
  <c r="E446" i="15" s="1"/>
  <c r="E447" i="15" s="1"/>
  <c r="E448" i="15" s="1"/>
  <c r="E449" i="15" s="1"/>
  <c r="E450" i="15" s="1"/>
  <c r="E451" i="15" s="1"/>
  <c r="E452" i="15" s="1"/>
  <c r="E453" i="15" s="1"/>
  <c r="E454" i="15" s="1"/>
  <c r="E455" i="15" s="1"/>
  <c r="E456" i="15" s="1"/>
  <c r="E457" i="15" s="1"/>
  <c r="E458" i="15" s="1"/>
  <c r="E459" i="15" s="1"/>
  <c r="E460" i="15" s="1"/>
  <c r="E461" i="15" s="1"/>
  <c r="E462" i="15" s="1"/>
  <c r="E463" i="15" s="1"/>
  <c r="E464" i="15" s="1"/>
  <c r="E465" i="15" s="1"/>
  <c r="E466" i="15" s="1"/>
  <c r="E467" i="15" s="1"/>
  <c r="E468" i="15" s="1"/>
  <c r="E469" i="15" s="1"/>
  <c r="E470" i="15" s="1"/>
  <c r="E471" i="15" s="1"/>
  <c r="E472" i="15" s="1"/>
  <c r="E473" i="15" s="1"/>
  <c r="E474" i="15" s="1"/>
  <c r="E475" i="15" s="1"/>
  <c r="E476" i="15" s="1"/>
  <c r="E477" i="15" s="1"/>
  <c r="E478" i="15" s="1"/>
  <c r="E479" i="15" s="1"/>
  <c r="E480" i="15" s="1"/>
  <c r="E481" i="15" s="1"/>
  <c r="E482" i="15" s="1"/>
  <c r="E483" i="15" s="1"/>
  <c r="E484" i="15" s="1"/>
  <c r="E485" i="15" s="1"/>
  <c r="E486" i="15" s="1"/>
  <c r="E487" i="15" s="1"/>
  <c r="E488" i="15" s="1"/>
  <c r="E489" i="15" s="1"/>
  <c r="E490" i="15" s="1"/>
  <c r="E491" i="15" s="1"/>
  <c r="E492" i="15" s="1"/>
  <c r="E493" i="15" s="1"/>
  <c r="E494" i="15" s="1"/>
  <c r="E495" i="15" s="1"/>
  <c r="E496" i="15" s="1"/>
  <c r="E497" i="15" s="1"/>
  <c r="E498" i="15" s="1"/>
  <c r="E499" i="15" s="1"/>
  <c r="E500" i="15" s="1"/>
  <c r="E501" i="15" s="1"/>
  <c r="E502" i="15" s="1"/>
  <c r="E503" i="15" s="1"/>
  <c r="E504" i="15" s="1"/>
  <c r="E505" i="15" s="1"/>
  <c r="E506" i="15" s="1"/>
  <c r="E507" i="15" s="1"/>
  <c r="E508" i="15" s="1"/>
  <c r="E509" i="15" s="1"/>
  <c r="E510" i="15" s="1"/>
  <c r="E511" i="15" s="1"/>
  <c r="E512" i="15" s="1"/>
  <c r="E513" i="15" s="1"/>
  <c r="E514" i="15" s="1"/>
  <c r="E515" i="15" s="1"/>
  <c r="E516" i="15" s="1"/>
  <c r="E517" i="15" s="1"/>
  <c r="E518" i="15" s="1"/>
  <c r="E519" i="15" s="1"/>
  <c r="E520" i="15" s="1"/>
  <c r="E521" i="15" s="1"/>
  <c r="E522" i="15" s="1"/>
  <c r="E523" i="15" s="1"/>
  <c r="E524" i="15" s="1"/>
  <c r="E525" i="15" s="1"/>
  <c r="E526" i="15" s="1"/>
  <c r="E527" i="15" s="1"/>
  <c r="E528" i="15" s="1"/>
  <c r="E529" i="15" s="1"/>
  <c r="E530" i="15" s="1"/>
  <c r="E531" i="15" s="1"/>
  <c r="E532" i="15" s="1"/>
  <c r="E533" i="15" s="1"/>
  <c r="E534" i="15" s="1"/>
  <c r="E535" i="15" s="1"/>
  <c r="E536" i="15" s="1"/>
  <c r="E537" i="15" s="1"/>
  <c r="E538" i="15" s="1"/>
  <c r="E539" i="15" s="1"/>
  <c r="E540" i="15" s="1"/>
  <c r="E541" i="15" s="1"/>
  <c r="E542" i="15" s="1"/>
  <c r="E543" i="15" s="1"/>
  <c r="E544" i="15" s="1"/>
  <c r="E545" i="15" s="1"/>
  <c r="E546" i="15" s="1"/>
  <c r="E547" i="15" s="1"/>
  <c r="E548" i="15" s="1"/>
  <c r="E549" i="15" s="1"/>
  <c r="E550" i="15" s="1"/>
  <c r="E551" i="15" s="1"/>
  <c r="E552" i="15" s="1"/>
  <c r="E553" i="15" s="1"/>
  <c r="E554" i="15" s="1"/>
  <c r="E555" i="15" s="1"/>
  <c r="E556" i="15" s="1"/>
  <c r="E557" i="15" s="1"/>
  <c r="E558" i="15" s="1"/>
  <c r="E559" i="15" s="1"/>
  <c r="E560" i="15" s="1"/>
  <c r="E561" i="15" s="1"/>
  <c r="E562" i="15" s="1"/>
  <c r="E563" i="15" s="1"/>
  <c r="E564" i="15" s="1"/>
  <c r="E565" i="15" s="1"/>
  <c r="E566" i="15" s="1"/>
  <c r="E567" i="15" s="1"/>
  <c r="E568" i="15" s="1"/>
  <c r="E569" i="15" s="1"/>
  <c r="E570" i="15" s="1"/>
  <c r="E571" i="15" s="1"/>
  <c r="E572" i="15" s="1"/>
  <c r="E573" i="15" s="1"/>
  <c r="E574" i="15" s="1"/>
  <c r="E575" i="15" s="1"/>
  <c r="E576" i="15" s="1"/>
  <c r="E577" i="15" s="1"/>
  <c r="E578" i="15" s="1"/>
  <c r="E579" i="15" s="1"/>
  <c r="E580" i="15" s="1"/>
  <c r="E581" i="15" s="1"/>
  <c r="E582" i="15" s="1"/>
  <c r="E583" i="15" s="1"/>
  <c r="E584" i="15" s="1"/>
  <c r="E585" i="15" s="1"/>
  <c r="E586" i="15" s="1"/>
  <c r="E587" i="15" s="1"/>
  <c r="E588" i="15" s="1"/>
  <c r="E589" i="15" s="1"/>
  <c r="E590" i="15" s="1"/>
  <c r="E591" i="15" s="1"/>
  <c r="E592" i="15" s="1"/>
  <c r="E593" i="15" s="1"/>
  <c r="E594" i="15" s="1"/>
  <c r="E595" i="15" s="1"/>
  <c r="E596" i="15" s="1"/>
  <c r="E597" i="15" s="1"/>
  <c r="E598" i="15" s="1"/>
  <c r="E599" i="15" s="1"/>
  <c r="E600" i="15" s="1"/>
  <c r="E601" i="15" s="1"/>
  <c r="E602" i="15" s="1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G6" i="15"/>
  <c r="G7" i="15" s="1"/>
  <c r="G8" i="15" s="1"/>
  <c r="G9" i="15" s="1"/>
  <c r="G10" i="15" s="1"/>
  <c r="G11" i="15" s="1"/>
  <c r="G12" i="15" s="1"/>
  <c r="G13" i="15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H6" i="15"/>
  <c r="H7" i="15"/>
  <c r="H8" i="15" s="1"/>
  <c r="H9" i="15" s="1"/>
  <c r="H10" i="15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H54" i="15" s="1"/>
  <c r="H55" i="15" s="1"/>
  <c r="H56" i="15" s="1"/>
  <c r="H57" i="15" s="1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H83" i="15" s="1"/>
  <c r="H84" i="15" s="1"/>
  <c r="H85" i="15" s="1"/>
  <c r="H86" i="15" s="1"/>
  <c r="H87" i="15" s="1"/>
  <c r="H88" i="15" s="1"/>
  <c r="H89" i="15" s="1"/>
  <c r="H90" i="15" s="1"/>
  <c r="H91" i="15" s="1"/>
  <c r="H92" i="15" s="1"/>
  <c r="H93" i="15" s="1"/>
  <c r="H94" i="15" s="1"/>
  <c r="H95" i="15" s="1"/>
  <c r="H96" i="15" s="1"/>
  <c r="H97" i="15" s="1"/>
  <c r="H98" i="15" s="1"/>
  <c r="H99" i="15" s="1"/>
  <c r="H100" i="15" s="1"/>
  <c r="H101" i="15" s="1"/>
  <c r="H102" i="15" s="1"/>
  <c r="H103" i="15" s="1"/>
  <c r="H104" i="15" s="1"/>
  <c r="H105" i="15" s="1"/>
  <c r="H106" i="15" s="1"/>
  <c r="H107" i="15" s="1"/>
  <c r="H108" i="15" s="1"/>
  <c r="H109" i="15" s="1"/>
  <c r="H110" i="15" s="1"/>
  <c r="H111" i="15" s="1"/>
  <c r="H112" i="15" s="1"/>
  <c r="H113" i="15" s="1"/>
  <c r="H114" i="15" s="1"/>
  <c r="H115" i="15" s="1"/>
  <c r="H116" i="15" s="1"/>
  <c r="H117" i="15" s="1"/>
  <c r="H118" i="15" s="1"/>
  <c r="H119" i="15" s="1"/>
  <c r="H120" i="15" s="1"/>
  <c r="H121" i="15" s="1"/>
  <c r="H122" i="15" s="1"/>
  <c r="H123" i="15" s="1"/>
  <c r="H124" i="15" s="1"/>
  <c r="H125" i="15" s="1"/>
  <c r="H126" i="15" s="1"/>
  <c r="H127" i="15" s="1"/>
  <c r="H128" i="15" s="1"/>
  <c r="H129" i="15" s="1"/>
  <c r="H130" i="15" s="1"/>
  <c r="H131" i="15" s="1"/>
  <c r="H132" i="15" s="1"/>
  <c r="H133" i="15" s="1"/>
  <c r="H134" i="15" s="1"/>
  <c r="H135" i="15" s="1"/>
  <c r="H136" i="15" s="1"/>
  <c r="H137" i="15" s="1"/>
  <c r="H138" i="15" s="1"/>
  <c r="H139" i="15" s="1"/>
  <c r="H140" i="15" s="1"/>
  <c r="H141" i="15" s="1"/>
  <c r="H142" i="15" s="1"/>
  <c r="H143" i="15" s="1"/>
  <c r="H144" i="15" s="1"/>
  <c r="H145" i="15" s="1"/>
  <c r="H146" i="15" s="1"/>
  <c r="H147" i="15" s="1"/>
  <c r="H148" i="15" s="1"/>
  <c r="H149" i="15" s="1"/>
  <c r="H150" i="15" s="1"/>
  <c r="H151" i="15" s="1"/>
  <c r="H152" i="15" s="1"/>
  <c r="H153" i="15" s="1"/>
  <c r="H154" i="15" s="1"/>
  <c r="H155" i="15" s="1"/>
  <c r="H156" i="15" s="1"/>
  <c r="H157" i="15" s="1"/>
  <c r="H158" i="15" s="1"/>
  <c r="H159" i="15" s="1"/>
  <c r="H160" i="15" s="1"/>
  <c r="H161" i="15" s="1"/>
  <c r="H162" i="15" s="1"/>
  <c r="H163" i="15" s="1"/>
  <c r="H164" i="15" s="1"/>
  <c r="H165" i="15" s="1"/>
  <c r="H166" i="15" s="1"/>
  <c r="H167" i="15" s="1"/>
  <c r="H168" i="15" s="1"/>
  <c r="H169" i="15" s="1"/>
  <c r="H170" i="15" s="1"/>
  <c r="H171" i="15" s="1"/>
  <c r="H172" i="15" s="1"/>
  <c r="H173" i="15" s="1"/>
  <c r="H174" i="15" s="1"/>
  <c r="H175" i="15" s="1"/>
  <c r="H176" i="15" s="1"/>
  <c r="H177" i="15" s="1"/>
  <c r="H178" i="15" s="1"/>
  <c r="H179" i="15" s="1"/>
  <c r="H180" i="15" s="1"/>
  <c r="H181" i="15" s="1"/>
  <c r="H182" i="15" s="1"/>
  <c r="H183" i="15" s="1"/>
  <c r="H184" i="15" s="1"/>
  <c r="H185" i="15" s="1"/>
  <c r="H186" i="15" s="1"/>
  <c r="H187" i="15" s="1"/>
  <c r="H188" i="15" s="1"/>
  <c r="H189" i="15" s="1"/>
  <c r="H190" i="15" s="1"/>
  <c r="H191" i="15" s="1"/>
  <c r="H192" i="15" s="1"/>
  <c r="H193" i="15" s="1"/>
  <c r="H194" i="15" s="1"/>
  <c r="H195" i="15" s="1"/>
  <c r="H196" i="15" s="1"/>
  <c r="H197" i="15" s="1"/>
  <c r="H198" i="15" s="1"/>
  <c r="H199" i="15" s="1"/>
  <c r="H200" i="15" s="1"/>
  <c r="H201" i="15" s="1"/>
  <c r="H202" i="15" s="1"/>
  <c r="H203" i="15" s="1"/>
  <c r="H204" i="15" s="1"/>
  <c r="H205" i="15" s="1"/>
  <c r="H206" i="15" s="1"/>
  <c r="H207" i="15" s="1"/>
  <c r="H208" i="15" s="1"/>
  <c r="H209" i="15" s="1"/>
  <c r="H210" i="15" s="1"/>
  <c r="H211" i="15" s="1"/>
  <c r="H212" i="15" s="1"/>
  <c r="H213" i="15" s="1"/>
  <c r="H214" i="15" s="1"/>
  <c r="H215" i="15" s="1"/>
  <c r="H216" i="15" s="1"/>
  <c r="H217" i="15" s="1"/>
  <c r="H218" i="15" s="1"/>
  <c r="H219" i="15" s="1"/>
  <c r="H220" i="15" s="1"/>
  <c r="H221" i="15" s="1"/>
  <c r="H222" i="15" s="1"/>
  <c r="H223" i="15" s="1"/>
  <c r="H224" i="15" s="1"/>
  <c r="H225" i="15" s="1"/>
  <c r="H226" i="15" s="1"/>
  <c r="H227" i="15" s="1"/>
  <c r="H228" i="15" s="1"/>
  <c r="H229" i="15" s="1"/>
  <c r="H230" i="15" s="1"/>
  <c r="H231" i="15" s="1"/>
  <c r="H232" i="15" s="1"/>
  <c r="H233" i="15" s="1"/>
  <c r="H234" i="15" s="1"/>
  <c r="H235" i="15" s="1"/>
  <c r="H236" i="15" s="1"/>
  <c r="H237" i="15" s="1"/>
  <c r="H238" i="15" s="1"/>
  <c r="H239" i="15" s="1"/>
  <c r="H240" i="15" s="1"/>
  <c r="H241" i="15" s="1"/>
  <c r="H242" i="15" s="1"/>
  <c r="H243" i="15" s="1"/>
  <c r="H244" i="15" s="1"/>
  <c r="H245" i="15" s="1"/>
  <c r="H246" i="15" s="1"/>
  <c r="H247" i="15" s="1"/>
  <c r="H248" i="15" s="1"/>
  <c r="H249" i="15" s="1"/>
  <c r="H250" i="15" s="1"/>
  <c r="H251" i="15" s="1"/>
  <c r="H252" i="15" s="1"/>
  <c r="H253" i="15" s="1"/>
  <c r="H254" i="15" s="1"/>
  <c r="H255" i="15" s="1"/>
  <c r="H256" i="15" s="1"/>
  <c r="H257" i="15" s="1"/>
  <c r="H258" i="15" s="1"/>
  <c r="H259" i="15" s="1"/>
  <c r="H260" i="15" s="1"/>
  <c r="H261" i="15" s="1"/>
  <c r="H262" i="15" s="1"/>
  <c r="H263" i="15" s="1"/>
  <c r="H264" i="15" s="1"/>
  <c r="H265" i="15" s="1"/>
  <c r="H266" i="15" s="1"/>
  <c r="H267" i="15" s="1"/>
  <c r="H268" i="15" s="1"/>
  <c r="H269" i="15" s="1"/>
  <c r="H270" i="15" s="1"/>
  <c r="H271" i="15" s="1"/>
  <c r="H272" i="15" s="1"/>
  <c r="H273" i="15" s="1"/>
  <c r="H274" i="15" s="1"/>
  <c r="H275" i="15" s="1"/>
  <c r="H276" i="15" s="1"/>
  <c r="H277" i="15" s="1"/>
  <c r="H278" i="15" s="1"/>
  <c r="H279" i="15" s="1"/>
  <c r="H280" i="15" s="1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H294" i="15" s="1"/>
  <c r="H295" i="15" s="1"/>
  <c r="H296" i="15" s="1"/>
  <c r="H297" i="15" s="1"/>
  <c r="H298" i="15" s="1"/>
  <c r="H299" i="15" s="1"/>
  <c r="H300" i="15" s="1"/>
  <c r="H301" i="15" s="1"/>
  <c r="H302" i="15" s="1"/>
  <c r="H303" i="15" s="1"/>
  <c r="H304" i="15" s="1"/>
  <c r="H305" i="15" s="1"/>
  <c r="H306" i="15" s="1"/>
  <c r="H307" i="15" s="1"/>
  <c r="H308" i="15" s="1"/>
  <c r="H309" i="15" s="1"/>
  <c r="H310" i="15" s="1"/>
  <c r="H311" i="15" s="1"/>
  <c r="H312" i="15" s="1"/>
  <c r="H313" i="15" s="1"/>
  <c r="H314" i="15" s="1"/>
  <c r="H315" i="15" s="1"/>
  <c r="H316" i="15" s="1"/>
  <c r="H317" i="15" s="1"/>
  <c r="H318" i="15" s="1"/>
  <c r="H319" i="15" s="1"/>
  <c r="H320" i="15" s="1"/>
  <c r="H321" i="15" s="1"/>
  <c r="H322" i="15" s="1"/>
  <c r="H323" i="15" s="1"/>
  <c r="H324" i="15" s="1"/>
  <c r="H325" i="15" s="1"/>
  <c r="H326" i="15" s="1"/>
  <c r="H327" i="15" s="1"/>
  <c r="H328" i="15" s="1"/>
  <c r="H329" i="15" s="1"/>
  <c r="H330" i="15" s="1"/>
  <c r="H331" i="15" s="1"/>
  <c r="H332" i="15" s="1"/>
  <c r="H333" i="15" s="1"/>
  <c r="H334" i="15" s="1"/>
  <c r="H335" i="15" s="1"/>
  <c r="H336" i="15" s="1"/>
  <c r="H337" i="15" s="1"/>
  <c r="H338" i="15" s="1"/>
  <c r="H339" i="15" s="1"/>
  <c r="H340" i="15" s="1"/>
  <c r="H341" i="15" s="1"/>
  <c r="H342" i="15" s="1"/>
  <c r="H343" i="15" s="1"/>
  <c r="H344" i="15" s="1"/>
  <c r="H345" i="15" s="1"/>
  <c r="H346" i="15" s="1"/>
  <c r="H347" i="15" s="1"/>
  <c r="H348" i="15" s="1"/>
  <c r="H349" i="15" s="1"/>
  <c r="H350" i="15" s="1"/>
  <c r="H351" i="15" s="1"/>
  <c r="H352" i="15" s="1"/>
  <c r="H353" i="15" s="1"/>
  <c r="H354" i="15" s="1"/>
  <c r="H355" i="15" s="1"/>
  <c r="H356" i="15" s="1"/>
  <c r="H357" i="15" s="1"/>
  <c r="H358" i="15" s="1"/>
  <c r="H359" i="15" s="1"/>
  <c r="H360" i="15" s="1"/>
  <c r="H361" i="15" s="1"/>
  <c r="H362" i="15" s="1"/>
  <c r="H363" i="15" s="1"/>
  <c r="H364" i="15" s="1"/>
  <c r="H365" i="15" s="1"/>
  <c r="H366" i="15" s="1"/>
  <c r="H367" i="15" s="1"/>
  <c r="H368" i="15" s="1"/>
  <c r="H369" i="15" s="1"/>
  <c r="H370" i="15" s="1"/>
  <c r="H371" i="15" s="1"/>
  <c r="H372" i="15" s="1"/>
  <c r="H373" i="15" s="1"/>
  <c r="H374" i="15" s="1"/>
  <c r="H375" i="15" s="1"/>
  <c r="H376" i="15" s="1"/>
  <c r="H377" i="15" s="1"/>
  <c r="H378" i="15" s="1"/>
  <c r="H379" i="15" s="1"/>
  <c r="H380" i="15" s="1"/>
  <c r="H381" i="15" s="1"/>
  <c r="H382" i="15" s="1"/>
  <c r="H383" i="15" s="1"/>
  <c r="H384" i="15" s="1"/>
  <c r="H385" i="15" s="1"/>
  <c r="H386" i="15" s="1"/>
  <c r="H387" i="15" s="1"/>
  <c r="H388" i="15" s="1"/>
  <c r="H389" i="15" s="1"/>
  <c r="H390" i="15" s="1"/>
  <c r="H391" i="15" s="1"/>
  <c r="H392" i="15" s="1"/>
  <c r="H393" i="15" s="1"/>
  <c r="H394" i="15" s="1"/>
  <c r="H395" i="15" s="1"/>
  <c r="H396" i="15" s="1"/>
  <c r="H397" i="15" s="1"/>
  <c r="H398" i="15" s="1"/>
  <c r="H399" i="15" s="1"/>
  <c r="H400" i="15" s="1"/>
  <c r="H401" i="15" s="1"/>
  <c r="H402" i="15" s="1"/>
  <c r="H403" i="15" s="1"/>
  <c r="H404" i="15" s="1"/>
  <c r="H405" i="15" s="1"/>
  <c r="H406" i="15" s="1"/>
  <c r="H407" i="15" s="1"/>
  <c r="H408" i="15" s="1"/>
  <c r="H409" i="15" s="1"/>
  <c r="H410" i="15" s="1"/>
  <c r="H411" i="15" s="1"/>
  <c r="H412" i="15" s="1"/>
  <c r="H413" i="15" s="1"/>
  <c r="H414" i="15" s="1"/>
  <c r="H415" i="15" s="1"/>
  <c r="H416" i="15" s="1"/>
  <c r="H417" i="15" s="1"/>
  <c r="H418" i="15" s="1"/>
  <c r="H419" i="15" s="1"/>
  <c r="H420" i="15" s="1"/>
  <c r="H421" i="15" s="1"/>
  <c r="H422" i="15" s="1"/>
  <c r="H423" i="15" s="1"/>
  <c r="H424" i="15" s="1"/>
  <c r="H425" i="15" s="1"/>
  <c r="H426" i="15" s="1"/>
  <c r="H427" i="15" s="1"/>
  <c r="H428" i="15" s="1"/>
  <c r="H429" i="15" s="1"/>
  <c r="H430" i="15" s="1"/>
  <c r="H431" i="15" s="1"/>
  <c r="H432" i="15" s="1"/>
  <c r="H433" i="15" s="1"/>
  <c r="H434" i="15" s="1"/>
  <c r="H435" i="15" s="1"/>
  <c r="H436" i="15" s="1"/>
  <c r="H437" i="15" s="1"/>
  <c r="H438" i="15" s="1"/>
  <c r="H439" i="15" s="1"/>
  <c r="H440" i="15" s="1"/>
  <c r="H441" i="15" s="1"/>
  <c r="H442" i="15" s="1"/>
  <c r="H443" i="15" s="1"/>
  <c r="H444" i="15" s="1"/>
  <c r="H445" i="15" s="1"/>
  <c r="H446" i="15" s="1"/>
  <c r="H447" i="15" s="1"/>
  <c r="H448" i="15" s="1"/>
  <c r="H449" i="15" s="1"/>
  <c r="H450" i="15" s="1"/>
  <c r="H451" i="15" s="1"/>
  <c r="H452" i="15" s="1"/>
  <c r="H453" i="15" s="1"/>
  <c r="H454" i="15" s="1"/>
  <c r="H455" i="15" s="1"/>
  <c r="H456" i="15" s="1"/>
  <c r="H457" i="15" s="1"/>
  <c r="H458" i="15" s="1"/>
  <c r="H459" i="15" s="1"/>
  <c r="H460" i="15" s="1"/>
  <c r="H461" i="15" s="1"/>
  <c r="H462" i="15" s="1"/>
  <c r="H463" i="15" s="1"/>
  <c r="H464" i="15" s="1"/>
  <c r="H465" i="15" s="1"/>
  <c r="H466" i="15" s="1"/>
  <c r="H467" i="15" s="1"/>
  <c r="H468" i="15" s="1"/>
  <c r="H469" i="15" s="1"/>
  <c r="H470" i="15" s="1"/>
  <c r="H471" i="15" s="1"/>
  <c r="H472" i="15" s="1"/>
  <c r="H473" i="15" s="1"/>
  <c r="H474" i="15" s="1"/>
  <c r="H475" i="15" s="1"/>
  <c r="H476" i="15" s="1"/>
  <c r="H477" i="15" s="1"/>
  <c r="H478" i="15" s="1"/>
  <c r="H479" i="15" s="1"/>
  <c r="H480" i="15" s="1"/>
  <c r="H481" i="15" s="1"/>
  <c r="H482" i="15" s="1"/>
  <c r="H483" i="15" s="1"/>
  <c r="H484" i="15" s="1"/>
  <c r="H485" i="15" s="1"/>
  <c r="H486" i="15" s="1"/>
  <c r="H487" i="15" s="1"/>
  <c r="H488" i="15" s="1"/>
  <c r="H489" i="15" s="1"/>
  <c r="H490" i="15" s="1"/>
  <c r="H491" i="15" s="1"/>
  <c r="H492" i="15" s="1"/>
  <c r="H493" i="15" s="1"/>
  <c r="H494" i="15" s="1"/>
  <c r="H495" i="15" s="1"/>
  <c r="H496" i="15" s="1"/>
  <c r="H497" i="15" s="1"/>
  <c r="H498" i="15" s="1"/>
  <c r="H499" i="15" s="1"/>
  <c r="H500" i="15" s="1"/>
  <c r="H501" i="15" s="1"/>
  <c r="H502" i="15" s="1"/>
  <c r="H503" i="15" s="1"/>
  <c r="H504" i="15" s="1"/>
  <c r="H505" i="15" s="1"/>
  <c r="H506" i="15" s="1"/>
  <c r="H507" i="15" s="1"/>
  <c r="H508" i="15" s="1"/>
  <c r="H509" i="15" s="1"/>
  <c r="H510" i="15" s="1"/>
  <c r="H511" i="15" s="1"/>
  <c r="H512" i="15" s="1"/>
  <c r="H513" i="15" s="1"/>
  <c r="H514" i="15" s="1"/>
  <c r="H515" i="15" s="1"/>
  <c r="H516" i="15" s="1"/>
  <c r="H517" i="15" s="1"/>
  <c r="H518" i="15" s="1"/>
  <c r="H519" i="15" s="1"/>
  <c r="H520" i="15" s="1"/>
  <c r="H521" i="15" s="1"/>
  <c r="H522" i="15" s="1"/>
  <c r="H523" i="15" s="1"/>
  <c r="H524" i="15" s="1"/>
  <c r="H525" i="15" s="1"/>
  <c r="H526" i="15" s="1"/>
  <c r="H527" i="15" s="1"/>
  <c r="H528" i="15" s="1"/>
  <c r="H529" i="15" s="1"/>
  <c r="H530" i="15" s="1"/>
  <c r="H531" i="15" s="1"/>
  <c r="H532" i="15" s="1"/>
  <c r="H533" i="15" s="1"/>
  <c r="H534" i="15" s="1"/>
  <c r="H535" i="15" s="1"/>
  <c r="H536" i="15" s="1"/>
  <c r="H537" i="15" s="1"/>
  <c r="H538" i="15" s="1"/>
  <c r="H539" i="15" s="1"/>
  <c r="H540" i="15" s="1"/>
  <c r="H541" i="15" s="1"/>
  <c r="H542" i="15" s="1"/>
  <c r="H543" i="15" s="1"/>
  <c r="H544" i="15" s="1"/>
  <c r="H545" i="15" s="1"/>
  <c r="H546" i="15" s="1"/>
  <c r="H547" i="15" s="1"/>
  <c r="H548" i="15" s="1"/>
  <c r="H549" i="15" s="1"/>
  <c r="H550" i="15" s="1"/>
  <c r="H551" i="15" s="1"/>
  <c r="H552" i="15" s="1"/>
  <c r="H553" i="15" s="1"/>
  <c r="H554" i="15" s="1"/>
  <c r="H555" i="15" s="1"/>
  <c r="H556" i="15" s="1"/>
  <c r="H557" i="15" s="1"/>
  <c r="H558" i="15" s="1"/>
  <c r="H559" i="15" s="1"/>
  <c r="H560" i="15" s="1"/>
  <c r="H561" i="15" s="1"/>
  <c r="H562" i="15" s="1"/>
  <c r="H563" i="15" s="1"/>
  <c r="H564" i="15" s="1"/>
  <c r="H565" i="15" s="1"/>
  <c r="H566" i="15" s="1"/>
  <c r="H567" i="15" s="1"/>
  <c r="H568" i="15" s="1"/>
  <c r="H569" i="15" s="1"/>
  <c r="H570" i="15" s="1"/>
  <c r="H571" i="15" s="1"/>
  <c r="H572" i="15" s="1"/>
  <c r="H573" i="15" s="1"/>
  <c r="H574" i="15" s="1"/>
  <c r="H575" i="15" s="1"/>
  <c r="H576" i="15" s="1"/>
  <c r="H577" i="15" s="1"/>
  <c r="H578" i="15" s="1"/>
  <c r="H579" i="15" s="1"/>
  <c r="H580" i="15" s="1"/>
  <c r="H581" i="15" s="1"/>
  <c r="H582" i="15" s="1"/>
  <c r="H583" i="15" s="1"/>
  <c r="H584" i="15" s="1"/>
  <c r="H585" i="15" s="1"/>
  <c r="H586" i="15" s="1"/>
  <c r="H587" i="15" s="1"/>
  <c r="H588" i="15" s="1"/>
  <c r="H589" i="15" s="1"/>
  <c r="H590" i="15" s="1"/>
  <c r="H591" i="15" s="1"/>
  <c r="H592" i="15" s="1"/>
  <c r="H593" i="15" s="1"/>
  <c r="H594" i="15" s="1"/>
  <c r="H595" i="15" s="1"/>
  <c r="H596" i="15" s="1"/>
  <c r="H597" i="15" s="1"/>
  <c r="H598" i="15" s="1"/>
  <c r="H599" i="15" s="1"/>
  <c r="H600" i="15" s="1"/>
  <c r="H601" i="15" s="1"/>
  <c r="H602" i="15" s="1"/>
  <c r="H603" i="15" s="1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J6" i="15"/>
  <c r="J7" i="15"/>
  <c r="J8" i="15" s="1"/>
  <c r="J9" i="15" s="1"/>
  <c r="J10" i="15" s="1"/>
  <c r="J11" i="15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J42" i="15" s="1"/>
  <c r="J43" i="15" s="1"/>
  <c r="J44" i="15" s="1"/>
  <c r="J45" i="15" s="1"/>
  <c r="J46" i="15" s="1"/>
  <c r="J47" i="15" s="1"/>
  <c r="J48" i="15" s="1"/>
  <c r="J49" i="15" s="1"/>
  <c r="J50" i="15" s="1"/>
  <c r="J51" i="15" s="1"/>
  <c r="J52" i="15" s="1"/>
  <c r="J53" i="15" s="1"/>
  <c r="J54" i="15" s="1"/>
  <c r="J55" i="15" s="1"/>
  <c r="J56" i="15" s="1"/>
  <c r="J57" i="15" s="1"/>
  <c r="J58" i="15" s="1"/>
  <c r="J59" i="15" s="1"/>
  <c r="J60" i="15" s="1"/>
  <c r="J61" i="15" s="1"/>
  <c r="J62" i="15" s="1"/>
  <c r="J63" i="15" s="1"/>
  <c r="J64" i="15" s="1"/>
  <c r="J65" i="15" s="1"/>
  <c r="J66" i="15" s="1"/>
  <c r="J67" i="15" s="1"/>
  <c r="J68" i="15" s="1"/>
  <c r="J69" i="15" s="1"/>
  <c r="J70" i="15" s="1"/>
  <c r="J71" i="15" s="1"/>
  <c r="J72" i="15" s="1"/>
  <c r="J73" i="15" s="1"/>
  <c r="J74" i="15" s="1"/>
  <c r="J75" i="15" s="1"/>
  <c r="J76" i="15" s="1"/>
  <c r="J77" i="15" s="1"/>
  <c r="J78" i="15" s="1"/>
  <c r="J79" i="15" s="1"/>
  <c r="J80" i="15" s="1"/>
  <c r="J81" i="15" s="1"/>
  <c r="J82" i="15" s="1"/>
  <c r="J83" i="15" s="1"/>
  <c r="J84" i="15" s="1"/>
  <c r="J85" i="15" s="1"/>
  <c r="J86" i="15" s="1"/>
  <c r="J87" i="15" s="1"/>
  <c r="J88" i="15" s="1"/>
  <c r="J89" i="15" s="1"/>
  <c r="J90" i="15" s="1"/>
  <c r="J91" i="15" s="1"/>
  <c r="J92" i="15" s="1"/>
  <c r="J93" i="15" s="1"/>
  <c r="J94" i="15" s="1"/>
  <c r="J95" i="15" s="1"/>
  <c r="J96" i="15" s="1"/>
  <c r="J97" i="15" s="1"/>
  <c r="J98" i="15" s="1"/>
  <c r="J99" i="15" s="1"/>
  <c r="J100" i="15" s="1"/>
  <c r="J101" i="15" s="1"/>
  <c r="J102" i="15" s="1"/>
  <c r="J103" i="15" s="1"/>
  <c r="J104" i="15" s="1"/>
  <c r="J105" i="15" s="1"/>
  <c r="J106" i="15" s="1"/>
  <c r="J107" i="15" s="1"/>
  <c r="J108" i="15" s="1"/>
  <c r="J109" i="15" s="1"/>
  <c r="J110" i="15" s="1"/>
  <c r="J111" i="15" s="1"/>
  <c r="J112" i="15" s="1"/>
  <c r="J113" i="15" s="1"/>
  <c r="J114" i="15" s="1"/>
  <c r="J115" i="15" s="1"/>
  <c r="J116" i="15" s="1"/>
  <c r="J117" i="15" s="1"/>
  <c r="J118" i="15" s="1"/>
  <c r="J119" i="15" s="1"/>
  <c r="J120" i="15" s="1"/>
  <c r="J121" i="15" s="1"/>
  <c r="J122" i="15" s="1"/>
  <c r="J123" i="15" s="1"/>
  <c r="J124" i="15" s="1"/>
  <c r="J125" i="15" s="1"/>
  <c r="J126" i="15" s="1"/>
  <c r="J127" i="15" s="1"/>
  <c r="J128" i="15" s="1"/>
  <c r="J129" i="15" s="1"/>
  <c r="J130" i="15" s="1"/>
  <c r="J131" i="15" s="1"/>
  <c r="J132" i="15" s="1"/>
  <c r="J133" i="15" s="1"/>
  <c r="J134" i="15" s="1"/>
  <c r="J135" i="15" s="1"/>
  <c r="J136" i="15" s="1"/>
  <c r="J137" i="15" s="1"/>
  <c r="J138" i="15" s="1"/>
  <c r="J139" i="15" s="1"/>
  <c r="J140" i="15" s="1"/>
  <c r="J141" i="15" s="1"/>
  <c r="J142" i="15" s="1"/>
  <c r="J143" i="15" s="1"/>
  <c r="J144" i="15" s="1"/>
  <c r="J145" i="15" s="1"/>
  <c r="J146" i="15" s="1"/>
  <c r="J147" i="15" s="1"/>
  <c r="J148" i="15" s="1"/>
  <c r="J149" i="15" s="1"/>
  <c r="J150" i="15" s="1"/>
  <c r="J151" i="15" s="1"/>
  <c r="J152" i="15" s="1"/>
  <c r="J153" i="15" s="1"/>
  <c r="J154" i="15" s="1"/>
  <c r="J155" i="15" s="1"/>
  <c r="J156" i="15" s="1"/>
  <c r="J157" i="15" s="1"/>
  <c r="J158" i="15" s="1"/>
  <c r="J159" i="15" s="1"/>
  <c r="J160" i="15" s="1"/>
  <c r="J161" i="15" s="1"/>
  <c r="J162" i="15" s="1"/>
  <c r="J163" i="15" s="1"/>
  <c r="J164" i="15" s="1"/>
  <c r="J165" i="15" s="1"/>
  <c r="J166" i="15" s="1"/>
  <c r="J167" i="15" s="1"/>
  <c r="J168" i="15" s="1"/>
  <c r="J169" i="15" s="1"/>
  <c r="J170" i="15" s="1"/>
  <c r="J171" i="15" s="1"/>
  <c r="J172" i="15" s="1"/>
  <c r="J173" i="15" s="1"/>
  <c r="J174" i="15" s="1"/>
  <c r="J175" i="15" s="1"/>
  <c r="J176" i="15" s="1"/>
  <c r="J177" i="15" s="1"/>
  <c r="J178" i="15" s="1"/>
  <c r="J179" i="15" s="1"/>
  <c r="J180" i="15" s="1"/>
  <c r="J181" i="15" s="1"/>
  <c r="J182" i="15" s="1"/>
  <c r="J183" i="15" s="1"/>
  <c r="J184" i="15" s="1"/>
  <c r="J185" i="15" s="1"/>
  <c r="J186" i="15" s="1"/>
  <c r="J187" i="15" s="1"/>
  <c r="J188" i="15" s="1"/>
  <c r="J189" i="15" s="1"/>
  <c r="J190" i="15" s="1"/>
  <c r="J191" i="15" s="1"/>
  <c r="J192" i="15" s="1"/>
  <c r="J193" i="15" s="1"/>
  <c r="J194" i="15" s="1"/>
  <c r="J195" i="15" s="1"/>
  <c r="J196" i="15" s="1"/>
  <c r="J197" i="15" s="1"/>
  <c r="J198" i="15" s="1"/>
  <c r="J199" i="15" s="1"/>
  <c r="J200" i="15" s="1"/>
  <c r="J201" i="15" s="1"/>
  <c r="J202" i="15" s="1"/>
  <c r="J203" i="15" s="1"/>
  <c r="J204" i="15" s="1"/>
  <c r="J205" i="15" s="1"/>
  <c r="J206" i="15" s="1"/>
  <c r="J207" i="15" s="1"/>
  <c r="J208" i="15" s="1"/>
  <c r="J209" i="15" s="1"/>
  <c r="J210" i="15" s="1"/>
  <c r="J211" i="15" s="1"/>
  <c r="J212" i="15" s="1"/>
  <c r="J213" i="15" s="1"/>
  <c r="J214" i="15" s="1"/>
  <c r="J215" i="15" s="1"/>
  <c r="J216" i="15" s="1"/>
  <c r="J217" i="15" s="1"/>
  <c r="J218" i="15" s="1"/>
  <c r="J219" i="15" s="1"/>
  <c r="J220" i="15" s="1"/>
  <c r="J221" i="15" s="1"/>
  <c r="J222" i="15" s="1"/>
  <c r="J223" i="15" s="1"/>
  <c r="J224" i="15" s="1"/>
  <c r="J225" i="15" s="1"/>
  <c r="J226" i="15" s="1"/>
  <c r="J227" i="15" s="1"/>
  <c r="J228" i="15" s="1"/>
  <c r="J229" i="15" s="1"/>
  <c r="J230" i="15" s="1"/>
  <c r="J231" i="15" s="1"/>
  <c r="J232" i="15" s="1"/>
  <c r="J233" i="15" s="1"/>
  <c r="J234" i="15" s="1"/>
  <c r="J235" i="15" s="1"/>
  <c r="J236" i="15" s="1"/>
  <c r="J237" i="15" s="1"/>
  <c r="J238" i="15" s="1"/>
  <c r="J239" i="15" s="1"/>
  <c r="J240" i="15" s="1"/>
  <c r="J241" i="15" s="1"/>
  <c r="J242" i="15" s="1"/>
  <c r="J243" i="15" s="1"/>
  <c r="J244" i="15" s="1"/>
  <c r="J245" i="15" s="1"/>
  <c r="J246" i="15" s="1"/>
  <c r="J247" i="15" s="1"/>
  <c r="J248" i="15" s="1"/>
  <c r="J249" i="15" s="1"/>
  <c r="J250" i="15" s="1"/>
  <c r="J251" i="15" s="1"/>
  <c r="J252" i="15" s="1"/>
  <c r="J253" i="15" s="1"/>
  <c r="J254" i="15" s="1"/>
  <c r="J255" i="15" s="1"/>
  <c r="J256" i="15" s="1"/>
  <c r="J257" i="15" s="1"/>
  <c r="J258" i="15" s="1"/>
  <c r="J259" i="15" s="1"/>
  <c r="J260" i="15" s="1"/>
  <c r="J261" i="15" s="1"/>
  <c r="J262" i="15" s="1"/>
  <c r="J263" i="15" s="1"/>
  <c r="J264" i="15" s="1"/>
  <c r="J265" i="15" s="1"/>
  <c r="J266" i="15" s="1"/>
  <c r="J267" i="15" s="1"/>
  <c r="J268" i="15" s="1"/>
  <c r="J269" i="15" s="1"/>
  <c r="J270" i="15" s="1"/>
  <c r="J271" i="15" s="1"/>
  <c r="J272" i="15" s="1"/>
  <c r="J273" i="15" s="1"/>
  <c r="J274" i="15" s="1"/>
  <c r="J275" i="15" s="1"/>
  <c r="J276" i="15" s="1"/>
  <c r="J277" i="15" s="1"/>
  <c r="J278" i="15" s="1"/>
  <c r="J279" i="15" s="1"/>
  <c r="J280" i="15" s="1"/>
  <c r="J281" i="15" s="1"/>
  <c r="J282" i="15" s="1"/>
  <c r="J283" i="15" s="1"/>
  <c r="J284" i="15" s="1"/>
  <c r="J285" i="15" s="1"/>
  <c r="J286" i="15" s="1"/>
  <c r="J287" i="15" s="1"/>
  <c r="J288" i="15" s="1"/>
  <c r="J289" i="15" s="1"/>
  <c r="J290" i="15" s="1"/>
  <c r="J291" i="15" s="1"/>
  <c r="J292" i="15" s="1"/>
  <c r="J293" i="15" s="1"/>
  <c r="J294" i="15" s="1"/>
  <c r="J295" i="15" s="1"/>
  <c r="J296" i="15" s="1"/>
  <c r="J297" i="15" s="1"/>
  <c r="J298" i="15" s="1"/>
  <c r="J299" i="15" s="1"/>
  <c r="J300" i="15" s="1"/>
  <c r="J301" i="15" s="1"/>
  <c r="J302" i="15" s="1"/>
  <c r="J303" i="15" s="1"/>
  <c r="J304" i="15" s="1"/>
  <c r="J305" i="15" s="1"/>
  <c r="J306" i="15" s="1"/>
  <c r="J307" i="15" s="1"/>
  <c r="J308" i="15" s="1"/>
  <c r="J309" i="15" s="1"/>
  <c r="J310" i="15" s="1"/>
  <c r="J311" i="15" s="1"/>
  <c r="J312" i="15" s="1"/>
  <c r="J313" i="15" s="1"/>
  <c r="J314" i="15" s="1"/>
  <c r="J315" i="15" s="1"/>
  <c r="J316" i="15" s="1"/>
  <c r="J317" i="15" s="1"/>
  <c r="J318" i="15" s="1"/>
  <c r="J319" i="15" s="1"/>
  <c r="J320" i="15" s="1"/>
  <c r="J321" i="15" s="1"/>
  <c r="J322" i="15" s="1"/>
  <c r="J323" i="15" s="1"/>
  <c r="J324" i="15" s="1"/>
  <c r="J325" i="15" s="1"/>
  <c r="J326" i="15" s="1"/>
  <c r="J327" i="15" s="1"/>
  <c r="J328" i="15" s="1"/>
  <c r="J329" i="15" s="1"/>
  <c r="J330" i="15" s="1"/>
  <c r="J331" i="15" s="1"/>
  <c r="J332" i="15" s="1"/>
  <c r="J333" i="15" s="1"/>
  <c r="J334" i="15" s="1"/>
  <c r="J335" i="15" s="1"/>
  <c r="J336" i="15" s="1"/>
  <c r="J337" i="15" s="1"/>
  <c r="J338" i="15" s="1"/>
  <c r="J339" i="15" s="1"/>
  <c r="J340" i="15" s="1"/>
  <c r="J341" i="15" s="1"/>
  <c r="J342" i="15" s="1"/>
  <c r="J343" i="15" s="1"/>
  <c r="J344" i="15" s="1"/>
  <c r="J345" i="15" s="1"/>
  <c r="J346" i="15" s="1"/>
  <c r="J347" i="15" s="1"/>
  <c r="J348" i="15" s="1"/>
  <c r="J349" i="15" s="1"/>
  <c r="J350" i="15" s="1"/>
  <c r="J351" i="15" s="1"/>
  <c r="J352" i="15" s="1"/>
  <c r="J353" i="15" s="1"/>
  <c r="J354" i="15" s="1"/>
  <c r="J355" i="15" s="1"/>
  <c r="J356" i="15" s="1"/>
  <c r="J357" i="15" s="1"/>
  <c r="J358" i="15" s="1"/>
  <c r="J359" i="15" s="1"/>
  <c r="J360" i="15" s="1"/>
  <c r="J361" i="15" s="1"/>
  <c r="J362" i="15" s="1"/>
  <c r="J363" i="15" s="1"/>
  <c r="J364" i="15" s="1"/>
  <c r="J365" i="15" s="1"/>
  <c r="J366" i="15" s="1"/>
  <c r="J367" i="15" s="1"/>
  <c r="J368" i="15" s="1"/>
  <c r="J369" i="15" s="1"/>
  <c r="J370" i="15" s="1"/>
  <c r="J371" i="15" s="1"/>
  <c r="J372" i="15" s="1"/>
  <c r="J373" i="15" s="1"/>
  <c r="J374" i="15" s="1"/>
  <c r="J375" i="15" s="1"/>
  <c r="J376" i="15" s="1"/>
  <c r="J377" i="15" s="1"/>
  <c r="J378" i="15" s="1"/>
  <c r="J379" i="15" s="1"/>
  <c r="J380" i="15" s="1"/>
  <c r="J381" i="15" s="1"/>
  <c r="J382" i="15" s="1"/>
  <c r="J383" i="15" s="1"/>
  <c r="J384" i="15" s="1"/>
  <c r="J385" i="15" s="1"/>
  <c r="J386" i="15" s="1"/>
  <c r="J387" i="15" s="1"/>
  <c r="J388" i="15" s="1"/>
  <c r="J389" i="15" s="1"/>
  <c r="J390" i="15" s="1"/>
  <c r="J391" i="15" s="1"/>
  <c r="J392" i="15" s="1"/>
  <c r="J393" i="15" s="1"/>
  <c r="J394" i="15" s="1"/>
  <c r="J395" i="15" s="1"/>
  <c r="J396" i="15" s="1"/>
  <c r="J397" i="15" s="1"/>
  <c r="J398" i="15" s="1"/>
  <c r="J399" i="15" s="1"/>
  <c r="J400" i="15" s="1"/>
  <c r="J401" i="15" s="1"/>
  <c r="J402" i="15" s="1"/>
  <c r="J403" i="15" s="1"/>
  <c r="J404" i="15" s="1"/>
  <c r="J405" i="15" s="1"/>
  <c r="J406" i="15" s="1"/>
  <c r="J407" i="15" s="1"/>
  <c r="J408" i="15" s="1"/>
  <c r="J409" i="15" s="1"/>
  <c r="J410" i="15" s="1"/>
  <c r="J411" i="15" s="1"/>
  <c r="J412" i="15" s="1"/>
  <c r="J413" i="15" s="1"/>
  <c r="J414" i="15" s="1"/>
  <c r="J415" i="15" s="1"/>
  <c r="J416" i="15" s="1"/>
  <c r="J417" i="15" s="1"/>
  <c r="J418" i="15" s="1"/>
  <c r="J419" i="15" s="1"/>
  <c r="J420" i="15" s="1"/>
  <c r="J421" i="15" s="1"/>
  <c r="J422" i="15" s="1"/>
  <c r="J423" i="15" s="1"/>
  <c r="J424" i="15" s="1"/>
  <c r="J425" i="15" s="1"/>
  <c r="J426" i="15" s="1"/>
  <c r="J427" i="15" s="1"/>
  <c r="J428" i="15" s="1"/>
  <c r="J429" i="15" s="1"/>
  <c r="J430" i="15" s="1"/>
  <c r="J431" i="15" s="1"/>
  <c r="J432" i="15" s="1"/>
  <c r="J433" i="15" s="1"/>
  <c r="J434" i="15" s="1"/>
  <c r="J435" i="15" s="1"/>
  <c r="J436" i="15" s="1"/>
  <c r="J437" i="15" s="1"/>
  <c r="J438" i="15" s="1"/>
  <c r="J439" i="15" s="1"/>
  <c r="J440" i="15" s="1"/>
  <c r="J441" i="15" s="1"/>
  <c r="J442" i="15" s="1"/>
  <c r="J443" i="15" s="1"/>
  <c r="J444" i="15" s="1"/>
  <c r="J445" i="15" s="1"/>
  <c r="J446" i="15" s="1"/>
  <c r="J447" i="15" s="1"/>
  <c r="J448" i="15" s="1"/>
  <c r="J449" i="15" s="1"/>
  <c r="J450" i="15" s="1"/>
  <c r="J451" i="15" s="1"/>
  <c r="J452" i="15" s="1"/>
  <c r="J453" i="15" s="1"/>
  <c r="J454" i="15" s="1"/>
  <c r="J455" i="15" s="1"/>
  <c r="J456" i="15" s="1"/>
  <c r="J457" i="15" s="1"/>
  <c r="J458" i="15" s="1"/>
  <c r="J459" i="15" s="1"/>
  <c r="J460" i="15" s="1"/>
  <c r="J461" i="15" s="1"/>
  <c r="J462" i="15" s="1"/>
  <c r="J463" i="15" s="1"/>
  <c r="J464" i="15" s="1"/>
  <c r="J465" i="15" s="1"/>
  <c r="J466" i="15" s="1"/>
  <c r="J467" i="15" s="1"/>
  <c r="J468" i="15" s="1"/>
  <c r="J469" i="15" s="1"/>
  <c r="J470" i="15" s="1"/>
  <c r="J471" i="15" s="1"/>
  <c r="J472" i="15" s="1"/>
  <c r="J473" i="15" s="1"/>
  <c r="J474" i="15" s="1"/>
  <c r="J475" i="15" s="1"/>
  <c r="J476" i="15" s="1"/>
  <c r="J477" i="15" s="1"/>
  <c r="J478" i="15" s="1"/>
  <c r="J479" i="15" s="1"/>
  <c r="J480" i="15" s="1"/>
  <c r="J481" i="15" s="1"/>
  <c r="J482" i="15" s="1"/>
  <c r="J483" i="15" s="1"/>
  <c r="J484" i="15" s="1"/>
  <c r="J485" i="15" s="1"/>
  <c r="J486" i="15" s="1"/>
  <c r="J487" i="15" s="1"/>
  <c r="J488" i="15" s="1"/>
  <c r="J489" i="15" s="1"/>
  <c r="J490" i="15" s="1"/>
  <c r="J491" i="15" s="1"/>
  <c r="J492" i="15" s="1"/>
  <c r="J493" i="15" s="1"/>
  <c r="J494" i="15" s="1"/>
  <c r="J495" i="15" s="1"/>
  <c r="J496" i="15" s="1"/>
  <c r="J497" i="15" s="1"/>
  <c r="J498" i="15" s="1"/>
  <c r="J499" i="15" s="1"/>
  <c r="J500" i="15" s="1"/>
  <c r="J501" i="15" s="1"/>
  <c r="J502" i="15" s="1"/>
  <c r="J503" i="15" s="1"/>
  <c r="J504" i="15" s="1"/>
  <c r="J505" i="15" s="1"/>
  <c r="J506" i="15" s="1"/>
  <c r="J507" i="15" s="1"/>
  <c r="J508" i="15" s="1"/>
  <c r="J509" i="15" s="1"/>
  <c r="J510" i="15" s="1"/>
  <c r="J511" i="15" s="1"/>
  <c r="J512" i="15" s="1"/>
  <c r="J513" i="15" s="1"/>
  <c r="J514" i="15" s="1"/>
  <c r="J515" i="15" s="1"/>
  <c r="J516" i="15" s="1"/>
  <c r="J517" i="15" s="1"/>
  <c r="J518" i="15" s="1"/>
  <c r="J519" i="15" s="1"/>
  <c r="J520" i="15" s="1"/>
  <c r="J521" i="15" s="1"/>
  <c r="J522" i="15" s="1"/>
  <c r="J523" i="15" s="1"/>
  <c r="J524" i="15" s="1"/>
  <c r="J525" i="15" s="1"/>
  <c r="J526" i="15" s="1"/>
  <c r="J527" i="15" s="1"/>
  <c r="J528" i="15" s="1"/>
  <c r="J529" i="15" s="1"/>
  <c r="J530" i="15" s="1"/>
  <c r="J531" i="15" s="1"/>
  <c r="J532" i="15" s="1"/>
  <c r="J533" i="15" s="1"/>
  <c r="J534" i="15" s="1"/>
  <c r="J535" i="15" s="1"/>
  <c r="J536" i="15" s="1"/>
  <c r="J537" i="15" s="1"/>
  <c r="J538" i="15" s="1"/>
  <c r="J539" i="15" s="1"/>
  <c r="J540" i="15" s="1"/>
  <c r="J541" i="15" s="1"/>
  <c r="J542" i="15" s="1"/>
  <c r="J543" i="15" s="1"/>
  <c r="J544" i="15" s="1"/>
  <c r="J545" i="15" s="1"/>
  <c r="J546" i="15" s="1"/>
  <c r="J547" i="15" s="1"/>
  <c r="J548" i="15" s="1"/>
  <c r="J549" i="15" s="1"/>
  <c r="J550" i="15" s="1"/>
  <c r="J551" i="15" s="1"/>
  <c r="J552" i="15" s="1"/>
  <c r="J553" i="15" s="1"/>
  <c r="J554" i="15" s="1"/>
  <c r="J555" i="15" s="1"/>
  <c r="J556" i="15" s="1"/>
  <c r="J557" i="15" s="1"/>
  <c r="J558" i="15" s="1"/>
  <c r="J559" i="15" s="1"/>
  <c r="J560" i="15" s="1"/>
  <c r="J561" i="15" s="1"/>
  <c r="J562" i="15" s="1"/>
  <c r="J563" i="15" s="1"/>
  <c r="J564" i="15" s="1"/>
  <c r="J565" i="15" s="1"/>
  <c r="J566" i="15" s="1"/>
  <c r="J567" i="15" s="1"/>
  <c r="J568" i="15" s="1"/>
  <c r="J569" i="15" s="1"/>
  <c r="J570" i="15" s="1"/>
  <c r="J571" i="15" s="1"/>
  <c r="J572" i="15" s="1"/>
  <c r="J573" i="15" s="1"/>
  <c r="J574" i="15" s="1"/>
  <c r="J575" i="15" s="1"/>
  <c r="J576" i="15" s="1"/>
  <c r="J577" i="15" s="1"/>
  <c r="J578" i="15" s="1"/>
  <c r="J579" i="15" s="1"/>
  <c r="J580" i="15" s="1"/>
  <c r="J581" i="15" s="1"/>
  <c r="J582" i="15" s="1"/>
  <c r="J583" i="15" s="1"/>
  <c r="J584" i="15" s="1"/>
  <c r="J585" i="15" s="1"/>
  <c r="J586" i="15" s="1"/>
  <c r="J587" i="15" s="1"/>
  <c r="J588" i="15" s="1"/>
  <c r="J589" i="15" s="1"/>
  <c r="J590" i="15" s="1"/>
  <c r="J591" i="15" s="1"/>
  <c r="J592" i="15" s="1"/>
  <c r="J593" i="15" s="1"/>
  <c r="J594" i="15" s="1"/>
  <c r="J595" i="15" s="1"/>
  <c r="J596" i="15" s="1"/>
  <c r="J597" i="15" s="1"/>
  <c r="J598" i="15" s="1"/>
  <c r="J599" i="15" s="1"/>
  <c r="J600" i="15" s="1"/>
  <c r="J601" i="15" s="1"/>
  <c r="J602" i="15" s="1"/>
  <c r="J603" i="15" s="1"/>
  <c r="J604" i="15" s="1"/>
  <c r="J605" i="15" s="1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I21" i="14"/>
  <c r="I21" i="13"/>
  <c r="I21" i="9"/>
  <c r="I21" i="10"/>
  <c r="C5" i="2"/>
  <c r="B87" i="4"/>
  <c r="C87" i="4"/>
  <c r="E87" i="4"/>
  <c r="E74" i="4"/>
  <c r="B78" i="4" s="1"/>
  <c r="E51" i="4"/>
  <c r="B55" i="4" s="1"/>
  <c r="E12" i="21"/>
  <c r="G12" i="21" s="1"/>
  <c r="H6" i="21" s="1"/>
  <c r="E12" i="18"/>
  <c r="A6" i="16"/>
  <c r="G5" i="16"/>
  <c r="H3" i="16"/>
  <c r="B5" i="16"/>
  <c r="H4" i="16"/>
  <c r="G19" i="19"/>
  <c r="U24" i="16"/>
  <c r="T24" i="16"/>
  <c r="G3" i="16"/>
  <c r="R31" i="16"/>
  <c r="R29" i="16"/>
  <c r="R27" i="16"/>
  <c r="G4" i="16"/>
  <c r="N33" i="16"/>
  <c r="N31" i="16"/>
  <c r="N29" i="16"/>
  <c r="N27" i="16"/>
  <c r="N25" i="16"/>
  <c r="S25" i="16"/>
  <c r="G53" i="19"/>
  <c r="F42" i="19"/>
  <c r="V25" i="16"/>
  <c r="L45" i="16"/>
  <c r="B6" i="16"/>
  <c r="I6" i="16" s="1"/>
  <c r="L46" i="16"/>
  <c r="L47" i="16" s="1"/>
  <c r="L48" i="16" s="1"/>
  <c r="L49" i="16" s="1"/>
  <c r="L50" i="16" s="1"/>
  <c r="L51" i="16"/>
  <c r="L52" i="16" s="1"/>
  <c r="L53" i="16" s="1"/>
  <c r="L54" i="16" s="1"/>
  <c r="L55" i="16" s="1"/>
  <c r="L56" i="16" s="1"/>
  <c r="L57" i="16" s="1"/>
  <c r="L58" i="16" s="1"/>
  <c r="H16" i="22"/>
  <c r="D44" i="22"/>
  <c r="D52" i="22"/>
  <c r="G43" i="24"/>
  <c r="F12" i="18"/>
  <c r="N30" i="16"/>
  <c r="I4" i="16"/>
  <c r="R32" i="16"/>
  <c r="O27" i="16"/>
  <c r="I3" i="16"/>
  <c r="J3" i="16" s="1"/>
  <c r="L3" i="16" s="1"/>
  <c r="R30" i="16"/>
  <c r="F51" i="22"/>
  <c r="R34" i="16"/>
  <c r="D365" i="15"/>
  <c r="D366" i="15" s="1"/>
  <c r="D367" i="15" s="1"/>
  <c r="D368" i="15" s="1"/>
  <c r="D369" i="15" s="1"/>
  <c r="D370" i="15" s="1"/>
  <c r="F39" i="24"/>
  <c r="I43" i="24"/>
  <c r="E44" i="24" s="1"/>
  <c r="I39" i="24"/>
  <c r="E40" i="24" s="1"/>
  <c r="F51" i="24"/>
  <c r="C634" i="15"/>
  <c r="G87" i="15"/>
  <c r="T25" i="16"/>
  <c r="U25" i="16"/>
  <c r="D15" i="21"/>
  <c r="I6" i="21"/>
  <c r="M3" i="16"/>
  <c r="K3" i="16"/>
  <c r="O3" i="16" s="1"/>
  <c r="B7" i="16"/>
  <c r="H6" i="16"/>
  <c r="J2" i="16"/>
  <c r="M2" i="16" s="1"/>
  <c r="O2" i="16" s="1"/>
  <c r="N28" i="16"/>
  <c r="R28" i="16"/>
  <c r="H52" i="24"/>
  <c r="B26" i="16"/>
  <c r="Q26" i="16" s="1"/>
  <c r="S26" i="16" s="1"/>
  <c r="C635" i="15"/>
  <c r="G88" i="15"/>
  <c r="K2" i="16"/>
  <c r="N2" i="16" s="1"/>
  <c r="L2" i="16"/>
  <c r="N3" i="16"/>
  <c r="V26" i="16"/>
  <c r="I7" i="16"/>
  <c r="B8" i="16"/>
  <c r="H7" i="16"/>
  <c r="I8" i="16"/>
  <c r="H8" i="16"/>
  <c r="B9" i="16"/>
  <c r="G89" i="15"/>
  <c r="G90" i="15" s="1"/>
  <c r="C636" i="15"/>
  <c r="C637" i="15"/>
  <c r="B10" i="16"/>
  <c r="G91" i="15"/>
  <c r="F15" i="11"/>
  <c r="F16" i="13"/>
  <c r="F17" i="10"/>
  <c r="T46" i="16"/>
  <c r="F7" i="9"/>
  <c r="F19" i="9"/>
  <c r="F18" i="13"/>
  <c r="I9" i="18"/>
  <c r="F15" i="10"/>
  <c r="F16" i="11"/>
  <c r="C14" i="12"/>
  <c r="F11" i="10"/>
  <c r="F19" i="2"/>
  <c r="I65" i="4"/>
  <c r="L13" i="10"/>
  <c r="L19" i="9"/>
  <c r="K18" i="9"/>
  <c r="K8" i="10"/>
  <c r="L8" i="13"/>
  <c r="L16" i="14"/>
  <c r="K18" i="2"/>
  <c r="M10" i="13"/>
  <c r="L14" i="2"/>
  <c r="K13" i="10"/>
  <c r="K19" i="2"/>
  <c r="K9" i="2"/>
  <c r="M7" i="2"/>
  <c r="K6" i="2"/>
  <c r="K15" i="10"/>
  <c r="M12" i="11"/>
  <c r="L6" i="10"/>
  <c r="K6" i="10"/>
  <c r="K17" i="9"/>
  <c r="L20" i="9"/>
  <c r="K20" i="10"/>
  <c r="L40" i="15"/>
  <c r="K71" i="15"/>
  <c r="L21" i="15"/>
  <c r="K20" i="13"/>
  <c r="K5" i="15"/>
  <c r="L45" i="15"/>
  <c r="O58" i="16"/>
  <c r="M10" i="15"/>
  <c r="M14" i="9"/>
  <c r="M27" i="15"/>
  <c r="L9" i="9"/>
  <c r="L5" i="15"/>
  <c r="L20" i="15"/>
  <c r="L9" i="10"/>
  <c r="L50" i="15"/>
  <c r="L27" i="15"/>
  <c r="F48" i="22"/>
  <c r="L17" i="15"/>
  <c r="L86" i="15"/>
  <c r="M41" i="15"/>
  <c r="M12" i="15"/>
  <c r="K68" i="15"/>
  <c r="M84" i="15"/>
  <c r="K53" i="15"/>
  <c r="M67" i="15"/>
  <c r="M73" i="15"/>
  <c r="M62" i="15"/>
  <c r="M81" i="15"/>
  <c r="K38" i="15"/>
  <c r="K60" i="15"/>
  <c r="M9" i="15"/>
  <c r="K25" i="15"/>
  <c r="M22" i="15"/>
  <c r="K19" i="15"/>
  <c r="P50" i="16"/>
  <c r="I42" i="4"/>
  <c r="F10" i="10"/>
  <c r="M5" i="2"/>
  <c r="K15" i="9"/>
  <c r="L19" i="11"/>
  <c r="L17" i="9"/>
  <c r="K37" i="15"/>
  <c r="M14" i="14"/>
  <c r="M25" i="15"/>
  <c r="H31" i="25"/>
  <c r="F6" i="10"/>
  <c r="F7" i="11"/>
  <c r="C10" i="12"/>
  <c r="C9" i="18"/>
  <c r="I6" i="4"/>
  <c r="F9" i="2"/>
  <c r="T52" i="16"/>
  <c r="T43" i="16"/>
  <c r="E6" i="1"/>
  <c r="F7" i="10"/>
  <c r="F13" i="11"/>
  <c r="F17" i="9"/>
  <c r="F19" i="14"/>
  <c r="M5" i="11"/>
  <c r="L18" i="9"/>
  <c r="M8" i="13"/>
  <c r="L7" i="13"/>
  <c r="K16" i="2"/>
  <c r="K19" i="14"/>
  <c r="L8" i="11"/>
  <c r="M17" i="9"/>
  <c r="L13" i="11"/>
  <c r="K6" i="9"/>
  <c r="K13" i="2"/>
  <c r="K16" i="9"/>
  <c r="L11" i="10"/>
  <c r="M20" i="13"/>
  <c r="M13" i="10"/>
  <c r="K14" i="13"/>
  <c r="L20" i="13"/>
  <c r="M19" i="11"/>
  <c r="K8" i="14"/>
  <c r="L6" i="13"/>
  <c r="K12" i="2"/>
  <c r="L10" i="14"/>
  <c r="L8" i="15"/>
  <c r="K39" i="15"/>
  <c r="O51" i="16"/>
  <c r="K62" i="15"/>
  <c r="M68" i="15"/>
  <c r="L13" i="15"/>
  <c r="L9" i="2"/>
  <c r="M43" i="15"/>
  <c r="L83" i="15"/>
  <c r="L58" i="15"/>
  <c r="M80" i="15"/>
  <c r="M11" i="15"/>
  <c r="O50" i="16"/>
  <c r="L75" i="15"/>
  <c r="L18" i="15"/>
  <c r="M45" i="15"/>
  <c r="F40" i="22"/>
  <c r="O47" i="16"/>
  <c r="M49" i="15"/>
  <c r="P47" i="16"/>
  <c r="K31" i="15"/>
  <c r="K36" i="15"/>
  <c r="K23" i="15"/>
  <c r="N43" i="16"/>
  <c r="K8" i="15"/>
  <c r="L12" i="15"/>
  <c r="H19" i="25"/>
  <c r="F5" i="9"/>
  <c r="F14" i="14"/>
  <c r="F8" i="13"/>
  <c r="E14" i="12"/>
  <c r="F17" i="2"/>
  <c r="F9" i="14"/>
  <c r="F16" i="14"/>
  <c r="T56" i="16"/>
  <c r="F13" i="2"/>
  <c r="F14" i="9"/>
  <c r="T45" i="16"/>
  <c r="E46" i="4"/>
  <c r="F18" i="9"/>
  <c r="F14" i="10"/>
  <c r="M7" i="13"/>
  <c r="L19" i="14"/>
  <c r="K18" i="14"/>
  <c r="K13" i="9"/>
  <c r="K11" i="11"/>
  <c r="L13" i="13"/>
  <c r="K7" i="13"/>
  <c r="K8" i="2"/>
  <c r="M16" i="10"/>
  <c r="L15" i="10"/>
  <c r="L5" i="13"/>
  <c r="M8" i="2"/>
  <c r="K10" i="10"/>
  <c r="M13" i="2"/>
  <c r="K14" i="11"/>
  <c r="M9" i="10"/>
  <c r="M6" i="10"/>
  <c r="L20" i="14"/>
  <c r="K17" i="14"/>
  <c r="M11" i="9"/>
  <c r="M9" i="13"/>
  <c r="L6" i="15"/>
  <c r="K7" i="11"/>
  <c r="M71" i="15"/>
  <c r="K30" i="15"/>
  <c r="M36" i="15"/>
  <c r="O43" i="16"/>
  <c r="K86" i="15"/>
  <c r="K61" i="15"/>
  <c r="L51" i="15"/>
  <c r="L26" i="15"/>
  <c r="M48" i="15"/>
  <c r="M55" i="15"/>
  <c r="K81" i="15"/>
  <c r="L43" i="15"/>
  <c r="O48" i="16"/>
  <c r="K80" i="15"/>
  <c r="M8" i="15"/>
  <c r="K73" i="15"/>
  <c r="P55" i="16"/>
  <c r="L73" i="15"/>
  <c r="M70" i="15"/>
  <c r="L10" i="17"/>
  <c r="L65" i="15"/>
  <c r="M12" i="14"/>
  <c r="K28" i="15"/>
  <c r="K49" i="15"/>
  <c r="M52" i="15"/>
  <c r="K41" i="15"/>
  <c r="K7" i="15"/>
  <c r="M54" i="15"/>
  <c r="P52" i="16"/>
  <c r="K18" i="15"/>
  <c r="L30" i="15"/>
  <c r="P43" i="16"/>
  <c r="M86" i="15"/>
  <c r="F11" i="14"/>
  <c r="M16" i="2"/>
  <c r="L10" i="13"/>
  <c r="L36" i="15"/>
  <c r="L9" i="11"/>
  <c r="K55" i="15"/>
  <c r="K45" i="15"/>
  <c r="F5" i="15"/>
  <c r="K10" i="14"/>
  <c r="M12" i="13"/>
  <c r="L14" i="11"/>
  <c r="L52" i="15"/>
  <c r="P45" i="16"/>
  <c r="F49" i="25"/>
  <c r="F20" i="9"/>
  <c r="F13" i="13"/>
  <c r="F15" i="9"/>
  <c r="E15" i="24"/>
  <c r="F10" i="9"/>
  <c r="F10" i="13"/>
  <c r="F7" i="13"/>
  <c r="F16" i="2"/>
  <c r="F5" i="14"/>
  <c r="F5" i="2"/>
  <c r="F17" i="13"/>
  <c r="F10" i="11"/>
  <c r="E9" i="18"/>
  <c r="F13" i="9"/>
  <c r="L18" i="14"/>
  <c r="M8" i="11"/>
  <c r="L7" i="11"/>
  <c r="K13" i="14"/>
  <c r="K16" i="13"/>
  <c r="K16" i="11"/>
  <c r="M17" i="14"/>
  <c r="K5" i="9"/>
  <c r="K6" i="14"/>
  <c r="M12" i="2"/>
  <c r="K16" i="14"/>
  <c r="M5" i="9"/>
  <c r="M20" i="11"/>
  <c r="M10" i="9"/>
  <c r="K19" i="13"/>
  <c r="M19" i="13"/>
  <c r="K7" i="2"/>
  <c r="M19" i="9"/>
  <c r="K9" i="11"/>
  <c r="M11" i="14"/>
  <c r="L12" i="11"/>
  <c r="K56" i="15"/>
  <c r="L12" i="2"/>
  <c r="M39" i="15"/>
  <c r="K67" i="15"/>
  <c r="M65" i="15"/>
  <c r="K57" i="15"/>
  <c r="K54" i="15"/>
  <c r="K29" i="15"/>
  <c r="L19" i="15"/>
  <c r="O56" i="16"/>
  <c r="M16" i="15"/>
  <c r="M23" i="15"/>
  <c r="M12" i="9"/>
  <c r="L11" i="15"/>
  <c r="K82" i="15"/>
  <c r="P56" i="16"/>
  <c r="K43" i="15"/>
  <c r="O52" i="16"/>
  <c r="M78" i="15"/>
  <c r="L41" i="15"/>
  <c r="M38" i="15"/>
  <c r="K10" i="17"/>
  <c r="L33" i="15"/>
  <c r="L59" i="15"/>
  <c r="N58" i="16"/>
  <c r="L57" i="15"/>
  <c r="M58" i="15"/>
  <c r="L47" i="15"/>
  <c r="M14" i="15"/>
  <c r="G34" i="23"/>
  <c r="O55" i="16"/>
  <c r="F11" i="11"/>
  <c r="K85" i="4"/>
  <c r="K14" i="9"/>
  <c r="L8" i="9"/>
  <c r="K17" i="11"/>
  <c r="K12" i="13"/>
  <c r="N57" i="16"/>
  <c r="K15" i="15"/>
  <c r="L70" i="15"/>
  <c r="M13" i="14"/>
  <c r="L72" i="15"/>
  <c r="M14" i="13"/>
  <c r="L15" i="15"/>
  <c r="H20" i="25"/>
  <c r="K87" i="4"/>
  <c r="F12" i="9"/>
  <c r="F14" i="2"/>
  <c r="F16" i="10"/>
  <c r="F9" i="17"/>
  <c r="I10" i="12"/>
  <c r="E42" i="4"/>
  <c r="F15" i="14"/>
  <c r="F20" i="14"/>
  <c r="O26" i="11"/>
  <c r="T47" i="16"/>
  <c r="E10" i="12"/>
  <c r="F6" i="13"/>
  <c r="F11" i="2"/>
  <c r="L10" i="11"/>
  <c r="M13" i="13"/>
  <c r="K15" i="13"/>
  <c r="K5" i="11"/>
  <c r="L5" i="10"/>
  <c r="M10" i="2"/>
  <c r="M9" i="11"/>
  <c r="M15" i="10"/>
  <c r="K14" i="2"/>
  <c r="L12" i="9"/>
  <c r="K8" i="11"/>
  <c r="L16" i="10"/>
  <c r="L7" i="2"/>
  <c r="M10" i="14"/>
  <c r="L8" i="10"/>
  <c r="K9" i="10"/>
  <c r="K11" i="2"/>
  <c r="K9" i="13"/>
  <c r="L15" i="13"/>
  <c r="K20" i="9"/>
  <c r="L14" i="10"/>
  <c r="K24" i="15"/>
  <c r="M64" i="15"/>
  <c r="M7" i="15"/>
  <c r="K35" i="15"/>
  <c r="M33" i="15"/>
  <c r="M63" i="15"/>
  <c r="K22" i="15"/>
  <c r="M51" i="15"/>
  <c r="O49" i="16"/>
  <c r="K33" i="15"/>
  <c r="P46" i="16"/>
  <c r="P53" i="16"/>
  <c r="M14" i="10"/>
  <c r="L80" i="15"/>
  <c r="K50" i="15"/>
  <c r="K21" i="15"/>
  <c r="L78" i="15"/>
  <c r="H19" i="23"/>
  <c r="M46" i="15"/>
  <c r="L9" i="15"/>
  <c r="M6" i="15"/>
  <c r="F52" i="22"/>
  <c r="O44" i="16"/>
  <c r="K75" i="15"/>
  <c r="I20" i="24"/>
  <c r="L25" i="15"/>
  <c r="H18" i="23"/>
  <c r="K63" i="15"/>
  <c r="P57" i="16"/>
  <c r="L9" i="13"/>
  <c r="G44" i="24"/>
  <c r="L14" i="15"/>
  <c r="E19" i="22"/>
  <c r="K12" i="15"/>
  <c r="T49" i="16"/>
  <c r="T58" i="16"/>
  <c r="M17" i="13"/>
  <c r="L7" i="14"/>
  <c r="K18" i="13"/>
  <c r="L35" i="15"/>
  <c r="M19" i="10"/>
  <c r="K20" i="15"/>
  <c r="N49" i="16"/>
  <c r="E6" i="4"/>
  <c r="T48" i="16"/>
  <c r="M5" i="13"/>
  <c r="K17" i="13"/>
  <c r="L77" i="15"/>
  <c r="L49" i="15"/>
  <c r="L79" i="15"/>
  <c r="H16" i="25"/>
  <c r="U30" i="11"/>
  <c r="I69" i="4"/>
  <c r="F6" i="14"/>
  <c r="F6" i="2"/>
  <c r="E14" i="24"/>
  <c r="T51" i="16"/>
  <c r="F6" i="11"/>
  <c r="F6" i="9"/>
  <c r="F19" i="13"/>
  <c r="F12" i="14"/>
  <c r="F8" i="2"/>
  <c r="T50" i="16"/>
  <c r="F9" i="9"/>
  <c r="K86" i="4"/>
  <c r="M20" i="9"/>
  <c r="L16" i="11"/>
  <c r="M16" i="9"/>
  <c r="L15" i="9"/>
  <c r="M18" i="11"/>
  <c r="M7" i="9"/>
  <c r="K17" i="2"/>
  <c r="K5" i="14"/>
  <c r="K11" i="9"/>
  <c r="L12" i="14"/>
  <c r="L10" i="10"/>
  <c r="M5" i="14"/>
  <c r="K7" i="9"/>
  <c r="M15" i="13"/>
  <c r="L8" i="2"/>
  <c r="M6" i="13"/>
  <c r="L10" i="9"/>
  <c r="M19" i="14"/>
  <c r="M14" i="2"/>
  <c r="M16" i="11"/>
  <c r="M6" i="11"/>
  <c r="N54" i="16"/>
  <c r="M32" i="15"/>
  <c r="L71" i="15"/>
  <c r="L9" i="17"/>
  <c r="M56" i="15"/>
  <c r="M31" i="15"/>
  <c r="N52" i="16"/>
  <c r="M60" i="15"/>
  <c r="M19" i="15"/>
  <c r="K58" i="15"/>
  <c r="K12" i="9"/>
  <c r="K9" i="15"/>
  <c r="L48" i="15"/>
  <c r="M66" i="15"/>
  <c r="I11" i="22"/>
  <c r="K9" i="14"/>
  <c r="F14" i="11"/>
  <c r="U26" i="11"/>
  <c r="L19" i="2"/>
  <c r="L5" i="11"/>
  <c r="M9" i="2"/>
  <c r="L62" i="15"/>
  <c r="N44" i="16"/>
  <c r="K77" i="15"/>
  <c r="F20" i="10"/>
  <c r="M7" i="11"/>
  <c r="M9" i="14"/>
  <c r="L53" i="15"/>
  <c r="L82" i="15"/>
  <c r="G29" i="24"/>
  <c r="H28" i="25"/>
  <c r="F9" i="13"/>
  <c r="F19" i="11"/>
  <c r="F5" i="13"/>
  <c r="Q26" i="11"/>
  <c r="F8" i="10"/>
  <c r="I9" i="21"/>
  <c r="F13" i="14"/>
  <c r="F20" i="11"/>
  <c r="C69" i="4"/>
  <c r="F11" i="13"/>
  <c r="F15" i="2"/>
  <c r="C9" i="21"/>
  <c r="F18" i="2"/>
  <c r="L11" i="13"/>
  <c r="K10" i="13"/>
  <c r="M10" i="10"/>
  <c r="K6" i="13"/>
  <c r="L15" i="14"/>
  <c r="M19" i="2"/>
  <c r="L18" i="10"/>
  <c r="M8" i="9"/>
  <c r="M15" i="2"/>
  <c r="K11" i="14"/>
  <c r="M11" i="2"/>
  <c r="L10" i="2"/>
  <c r="L16" i="2"/>
  <c r="M17" i="10"/>
  <c r="K5" i="10"/>
  <c r="L5" i="9"/>
  <c r="L17" i="11"/>
  <c r="M15" i="11"/>
  <c r="M11" i="11"/>
  <c r="L14" i="9"/>
  <c r="M17" i="11"/>
  <c r="K20" i="14"/>
  <c r="L74" i="15"/>
  <c r="M69" i="15"/>
  <c r="L39" i="15"/>
  <c r="M82" i="15"/>
  <c r="M24" i="15"/>
  <c r="M75" i="15"/>
  <c r="M35" i="15"/>
  <c r="M28" i="15"/>
  <c r="L56" i="15"/>
  <c r="K26" i="15"/>
  <c r="M85" i="15"/>
  <c r="L55" i="15"/>
  <c r="K78" i="15"/>
  <c r="L16" i="15"/>
  <c r="N48" i="16"/>
  <c r="M57" i="15"/>
  <c r="N46" i="16"/>
  <c r="K6" i="15"/>
  <c r="P44" i="16"/>
  <c r="N47" i="16"/>
  <c r="I21" i="24"/>
  <c r="M72" i="15"/>
  <c r="L13" i="2"/>
  <c r="K9" i="17"/>
  <c r="M40" i="15"/>
  <c r="H27" i="23"/>
  <c r="L34" i="15"/>
  <c r="P39" i="16"/>
  <c r="P49" i="16"/>
  <c r="M11" i="13"/>
  <c r="K70" i="15"/>
  <c r="M83" i="15"/>
  <c r="M20" i="15"/>
  <c r="K17" i="15"/>
  <c r="T44" i="16"/>
  <c r="E23" i="24"/>
  <c r="K11" i="13"/>
  <c r="M9" i="9"/>
  <c r="K13" i="13"/>
  <c r="P48" i="16"/>
  <c r="P51" i="16"/>
  <c r="L61" i="15"/>
  <c r="K76" i="15"/>
  <c r="C18" i="18"/>
  <c r="F8" i="14"/>
  <c r="L20" i="11"/>
  <c r="K18" i="11"/>
  <c r="M17" i="2"/>
  <c r="M42" i="15"/>
  <c r="L9" i="14"/>
  <c r="K12" i="10"/>
  <c r="G46" i="25"/>
  <c r="F18" i="10"/>
  <c r="F18" i="14"/>
  <c r="F20" i="13"/>
  <c r="F13" i="10"/>
  <c r="F15" i="13"/>
  <c r="F8" i="11"/>
  <c r="F12" i="10"/>
  <c r="C6" i="4"/>
  <c r="F17" i="11"/>
  <c r="C46" i="4"/>
  <c r="F7" i="14"/>
  <c r="K84" i="4"/>
  <c r="E50" i="19"/>
  <c r="L11" i="11"/>
  <c r="M20" i="14"/>
  <c r="M18" i="2"/>
  <c r="M16" i="14"/>
  <c r="L12" i="13"/>
  <c r="L11" i="9"/>
  <c r="M7" i="14"/>
  <c r="L19" i="10"/>
  <c r="L7" i="9"/>
  <c r="M18" i="9"/>
  <c r="K14" i="10"/>
  <c r="M12" i="10"/>
  <c r="L13" i="9"/>
  <c r="K7" i="14"/>
  <c r="L18" i="11"/>
  <c r="K16" i="10"/>
  <c r="M16" i="13"/>
  <c r="L15" i="11"/>
  <c r="K15" i="2"/>
  <c r="L14" i="14"/>
  <c r="M6" i="2"/>
  <c r="K9" i="9"/>
  <c r="L42" i="15"/>
  <c r="M37" i="15"/>
  <c r="L7" i="15"/>
  <c r="M50" i="15"/>
  <c r="P54" i="16"/>
  <c r="L63" i="15"/>
  <c r="K59" i="15"/>
  <c r="P58" i="16"/>
  <c r="L24" i="15"/>
  <c r="N56" i="16"/>
  <c r="M53" i="15"/>
  <c r="L23" i="15"/>
  <c r="K46" i="15"/>
  <c r="O46" i="16"/>
  <c r="K79" i="15"/>
  <c r="K84" i="15"/>
  <c r="M15" i="15"/>
  <c r="L32" i="15"/>
  <c r="L54" i="15"/>
  <c r="G33" i="24"/>
  <c r="K83" i="15"/>
  <c r="M47" i="15"/>
  <c r="H15" i="23"/>
  <c r="L44" i="15"/>
  <c r="F17" i="14"/>
  <c r="F18" i="11"/>
  <c r="M5" i="10"/>
  <c r="K10" i="9"/>
  <c r="L19" i="13"/>
  <c r="K17" i="10"/>
  <c r="M61" i="15"/>
  <c r="M14" i="11"/>
  <c r="K48" i="15"/>
  <c r="K12" i="14"/>
  <c r="E16" i="19"/>
  <c r="F12" i="11"/>
  <c r="M18" i="13"/>
  <c r="L8" i="14"/>
  <c r="K12" i="11"/>
  <c r="L17" i="13"/>
  <c r="K34" i="15"/>
  <c r="L22" i="15"/>
  <c r="F37" i="23"/>
  <c r="F10" i="2"/>
  <c r="T54" i="16"/>
  <c r="I46" i="4"/>
  <c r="F12" i="13"/>
  <c r="E65" i="4"/>
  <c r="C65" i="4"/>
  <c r="F11" i="9"/>
  <c r="Q30" i="11"/>
  <c r="F10" i="14"/>
  <c r="F9" i="11"/>
  <c r="F14" i="13"/>
  <c r="F7" i="2"/>
  <c r="T55" i="16"/>
  <c r="L16" i="13"/>
  <c r="K10" i="11"/>
  <c r="M15" i="9"/>
  <c r="K6" i="11"/>
  <c r="K15" i="11"/>
  <c r="L11" i="14"/>
  <c r="L18" i="2"/>
  <c r="M8" i="14"/>
  <c r="K18" i="10"/>
  <c r="K8" i="13"/>
  <c r="L11" i="2"/>
  <c r="K10" i="2"/>
  <c r="L13" i="14"/>
  <c r="L6" i="2"/>
  <c r="K5" i="2"/>
  <c r="L5" i="14"/>
  <c r="K11" i="10"/>
  <c r="L14" i="13"/>
  <c r="L17" i="10"/>
  <c r="L6" i="11"/>
  <c r="L6" i="9"/>
  <c r="L67" i="15"/>
  <c r="L10" i="15"/>
  <c r="M5" i="15"/>
  <c r="L68" i="15"/>
  <c r="M18" i="15"/>
  <c r="M59" i="15"/>
  <c r="L31" i="15"/>
  <c r="K27" i="15"/>
  <c r="L38" i="15"/>
  <c r="O54" i="16"/>
  <c r="M11" i="10"/>
  <c r="M21" i="15"/>
  <c r="O53" i="16"/>
  <c r="K14" i="15"/>
  <c r="K65" i="15"/>
  <c r="K47" i="15"/>
  <c r="K52" i="15"/>
  <c r="M44" i="15"/>
  <c r="L46" i="15"/>
  <c r="M13" i="15"/>
  <c r="O57" i="16"/>
  <c r="L29" i="15"/>
  <c r="M26" i="15"/>
  <c r="M77" i="15"/>
  <c r="M76" i="15"/>
  <c r="L64" i="15"/>
  <c r="N53" i="16"/>
  <c r="K44" i="15"/>
  <c r="K51" i="15"/>
  <c r="F19" i="10"/>
  <c r="C42" i="4"/>
  <c r="K5" i="13"/>
  <c r="M18" i="14"/>
  <c r="M18" i="10"/>
  <c r="K74" i="15"/>
  <c r="K72" i="15"/>
  <c r="K64" i="15"/>
  <c r="K11" i="15"/>
  <c r="F44" i="22"/>
  <c r="I6" i="1"/>
  <c r="I59" i="19"/>
  <c r="F12" i="2"/>
  <c r="K19" i="9"/>
  <c r="M7" i="10"/>
  <c r="K10" i="15"/>
  <c r="L37" i="15"/>
  <c r="M79" i="15"/>
  <c r="F8" i="9"/>
  <c r="T57" i="16"/>
  <c r="E19" i="24"/>
  <c r="F9" i="10"/>
  <c r="I14" i="12"/>
  <c r="F5" i="10"/>
  <c r="E69" i="4"/>
  <c r="O30" i="11"/>
  <c r="K88" i="4"/>
  <c r="C59" i="19"/>
  <c r="T53" i="16"/>
  <c r="F5" i="11"/>
  <c r="C6" i="1"/>
  <c r="C18" i="21"/>
  <c r="K19" i="11"/>
  <c r="K7" i="10"/>
  <c r="M15" i="14"/>
  <c r="M13" i="11"/>
  <c r="K14" i="14"/>
  <c r="L16" i="9"/>
  <c r="M20" i="10"/>
  <c r="M13" i="9"/>
  <c r="L15" i="2"/>
  <c r="M10" i="11"/>
  <c r="K19" i="10"/>
  <c r="L20" i="10"/>
  <c r="L18" i="13"/>
  <c r="M8" i="10"/>
  <c r="L7" i="10"/>
  <c r="K13" i="11"/>
  <c r="L12" i="10"/>
  <c r="M6" i="14"/>
  <c r="K15" i="14"/>
  <c r="K20" i="11"/>
  <c r="L6" i="14"/>
  <c r="M9" i="17"/>
  <c r="K42" i="15"/>
  <c r="L85" i="15"/>
  <c r="M10" i="17"/>
  <c r="K69" i="15"/>
  <c r="M29" i="15"/>
  <c r="L60" i="15"/>
  <c r="M74" i="15"/>
  <c r="M6" i="9"/>
  <c r="K40" i="15"/>
  <c r="L17" i="14"/>
  <c r="L69" i="15"/>
  <c r="L84" i="15"/>
  <c r="K8" i="9"/>
  <c r="K32" i="15"/>
  <c r="N45" i="16"/>
  <c r="N50" i="16"/>
  <c r="L81" i="15"/>
  <c r="K13" i="15"/>
  <c r="K85" i="15"/>
  <c r="M34" i="15"/>
  <c r="N51" i="16"/>
  <c r="L66" i="15"/>
  <c r="K16" i="15"/>
  <c r="L76" i="15"/>
  <c r="K66" i="15"/>
  <c r="G40" i="24"/>
  <c r="M30" i="15"/>
  <c r="M17" i="15"/>
  <c r="F16" i="9"/>
  <c r="L5" i="2"/>
  <c r="L17" i="2"/>
  <c r="L28" i="15"/>
  <c r="N55" i="16"/>
  <c r="O45" i="16"/>
  <c r="I31" i="25" l="1"/>
  <c r="I46" i="25"/>
  <c r="E47" i="25" s="1"/>
  <c r="E54" i="25"/>
  <c r="F26" i="25"/>
  <c r="E42" i="23"/>
  <c r="L86" i="4"/>
  <c r="O5" i="11"/>
  <c r="H18" i="21"/>
  <c r="I18" i="21" s="1"/>
  <c r="G50" i="19"/>
  <c r="H50" i="19" s="1"/>
  <c r="H53" i="19" s="1"/>
  <c r="I53" i="19" s="1"/>
  <c r="F6" i="1"/>
  <c r="E20" i="1" s="1"/>
  <c r="F9" i="21"/>
  <c r="K6" i="21" s="1"/>
  <c r="J46" i="4"/>
  <c r="G51" i="4" s="1"/>
  <c r="C59" i="4" s="1"/>
  <c r="F42" i="4"/>
  <c r="F14" i="12"/>
  <c r="F6" i="15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F69" i="15" s="1"/>
  <c r="F70" i="15" s="1"/>
  <c r="F71" i="15" s="1"/>
  <c r="F72" i="15" s="1"/>
  <c r="F73" i="15" s="1"/>
  <c r="F74" i="15" s="1"/>
  <c r="F75" i="15" s="1"/>
  <c r="F76" i="15" s="1"/>
  <c r="F77" i="15" s="1"/>
  <c r="F78" i="15" s="1"/>
  <c r="F79" i="15" s="1"/>
  <c r="F80" i="15" s="1"/>
  <c r="F81" i="15" s="1"/>
  <c r="F82" i="15" s="1"/>
  <c r="F83" i="15" s="1"/>
  <c r="F84" i="15" s="1"/>
  <c r="F85" i="15" s="1"/>
  <c r="F86" i="15" s="1"/>
  <c r="F87" i="15" s="1"/>
  <c r="F88" i="15" s="1"/>
  <c r="F89" i="15" s="1"/>
  <c r="F90" i="15" s="1"/>
  <c r="F91" i="15" s="1"/>
  <c r="F92" i="15" s="1"/>
  <c r="F93" i="15" s="1"/>
  <c r="F94" i="15" s="1"/>
  <c r="F95" i="15" s="1"/>
  <c r="F96" i="15" s="1"/>
  <c r="F97" i="15" s="1"/>
  <c r="F98" i="15" s="1"/>
  <c r="F99" i="15" s="1"/>
  <c r="F100" i="15" s="1"/>
  <c r="F101" i="15" s="1"/>
  <c r="F102" i="15" s="1"/>
  <c r="F103" i="15" s="1"/>
  <c r="F104" i="15" s="1"/>
  <c r="F105" i="15" s="1"/>
  <c r="F106" i="15" s="1"/>
  <c r="F107" i="15" s="1"/>
  <c r="F108" i="15" s="1"/>
  <c r="F109" i="15" s="1"/>
  <c r="F110" i="15" s="1"/>
  <c r="F111" i="15" s="1"/>
  <c r="F112" i="15" s="1"/>
  <c r="F113" i="15" s="1"/>
  <c r="F114" i="15" s="1"/>
  <c r="F115" i="15" s="1"/>
  <c r="F116" i="15" s="1"/>
  <c r="F117" i="15" s="1"/>
  <c r="F118" i="15" s="1"/>
  <c r="F119" i="15" s="1"/>
  <c r="F120" i="15" s="1"/>
  <c r="F121" i="15" s="1"/>
  <c r="F122" i="15" s="1"/>
  <c r="F123" i="15" s="1"/>
  <c r="F124" i="15" s="1"/>
  <c r="F125" i="15" s="1"/>
  <c r="F126" i="15" s="1"/>
  <c r="F127" i="15" s="1"/>
  <c r="F128" i="15" s="1"/>
  <c r="F129" i="15" s="1"/>
  <c r="F130" i="15" s="1"/>
  <c r="F131" i="15" s="1"/>
  <c r="F132" i="15" s="1"/>
  <c r="F133" i="15" s="1"/>
  <c r="F134" i="15" s="1"/>
  <c r="F135" i="15" s="1"/>
  <c r="F136" i="15" s="1"/>
  <c r="F137" i="15" s="1"/>
  <c r="F138" i="15" s="1"/>
  <c r="F139" i="15" s="1"/>
  <c r="F140" i="15" s="1"/>
  <c r="F141" i="15" s="1"/>
  <c r="F142" i="15" s="1"/>
  <c r="F143" i="15" s="1"/>
  <c r="F144" i="15" s="1"/>
  <c r="F145" i="15" s="1"/>
  <c r="F146" i="15" s="1"/>
  <c r="F147" i="15" s="1"/>
  <c r="F148" i="15" s="1"/>
  <c r="F149" i="15" s="1"/>
  <c r="F150" i="15" s="1"/>
  <c r="F151" i="15" s="1"/>
  <c r="F152" i="15" s="1"/>
  <c r="F153" i="15" s="1"/>
  <c r="F154" i="15" s="1"/>
  <c r="F155" i="15" s="1"/>
  <c r="F156" i="15" s="1"/>
  <c r="F157" i="15" s="1"/>
  <c r="F158" i="15" s="1"/>
  <c r="F159" i="15" s="1"/>
  <c r="F160" i="15" s="1"/>
  <c r="F161" i="15" s="1"/>
  <c r="F162" i="15" s="1"/>
  <c r="F163" i="15" s="1"/>
  <c r="F164" i="15" s="1"/>
  <c r="F165" i="15" s="1"/>
  <c r="F166" i="15" s="1"/>
  <c r="F167" i="15" s="1"/>
  <c r="F168" i="15" s="1"/>
  <c r="F169" i="15" s="1"/>
  <c r="F170" i="15" s="1"/>
  <c r="F171" i="15" s="1"/>
  <c r="F172" i="15" s="1"/>
  <c r="F173" i="15" s="1"/>
  <c r="F174" i="15" s="1"/>
  <c r="F175" i="15" s="1"/>
  <c r="F176" i="15" s="1"/>
  <c r="F177" i="15" s="1"/>
  <c r="F178" i="15" s="1"/>
  <c r="F179" i="15" s="1"/>
  <c r="F180" i="15" s="1"/>
  <c r="F181" i="15" s="1"/>
  <c r="F182" i="15" s="1"/>
  <c r="F183" i="15" s="1"/>
  <c r="F184" i="15" s="1"/>
  <c r="F185" i="15" s="1"/>
  <c r="F186" i="15" s="1"/>
  <c r="F187" i="15" s="1"/>
  <c r="F188" i="15" s="1"/>
  <c r="F189" i="15" s="1"/>
  <c r="F190" i="15" s="1"/>
  <c r="F191" i="15" s="1"/>
  <c r="F192" i="15" s="1"/>
  <c r="F193" i="15" s="1"/>
  <c r="F194" i="15" s="1"/>
  <c r="F195" i="15" s="1"/>
  <c r="F196" i="15" s="1"/>
  <c r="F197" i="15" s="1"/>
  <c r="F198" i="15" s="1"/>
  <c r="F199" i="15" s="1"/>
  <c r="F200" i="15" s="1"/>
  <c r="F201" i="15" s="1"/>
  <c r="F202" i="15" s="1"/>
  <c r="F203" i="15" s="1"/>
  <c r="F204" i="15" s="1"/>
  <c r="F205" i="15" s="1"/>
  <c r="F206" i="15" s="1"/>
  <c r="F207" i="15" s="1"/>
  <c r="F208" i="15" s="1"/>
  <c r="F209" i="15" s="1"/>
  <c r="F210" i="15" s="1"/>
  <c r="F211" i="15" s="1"/>
  <c r="F212" i="15" s="1"/>
  <c r="F213" i="15" s="1"/>
  <c r="F214" i="15" s="1"/>
  <c r="F215" i="15" s="1"/>
  <c r="F216" i="15" s="1"/>
  <c r="F217" i="15" s="1"/>
  <c r="F218" i="15" s="1"/>
  <c r="F219" i="15" s="1"/>
  <c r="F220" i="15" s="1"/>
  <c r="F221" i="15" s="1"/>
  <c r="F222" i="15" s="1"/>
  <c r="F223" i="15" s="1"/>
  <c r="F224" i="15" s="1"/>
  <c r="F225" i="15" s="1"/>
  <c r="F226" i="15" s="1"/>
  <c r="F227" i="15" s="1"/>
  <c r="F228" i="15" s="1"/>
  <c r="F229" i="15" s="1"/>
  <c r="F230" i="15" s="1"/>
  <c r="F231" i="15" s="1"/>
  <c r="F232" i="15" s="1"/>
  <c r="F233" i="15" s="1"/>
  <c r="F234" i="15" s="1"/>
  <c r="F235" i="15" s="1"/>
  <c r="F236" i="15" s="1"/>
  <c r="F237" i="15" s="1"/>
  <c r="F238" i="15" s="1"/>
  <c r="F239" i="15" s="1"/>
  <c r="F240" i="15" s="1"/>
  <c r="F241" i="15" s="1"/>
  <c r="F242" i="15" s="1"/>
  <c r="F243" i="15" s="1"/>
  <c r="F244" i="15" s="1"/>
  <c r="F245" i="15" s="1"/>
  <c r="F246" i="15" s="1"/>
  <c r="F247" i="15" s="1"/>
  <c r="F248" i="15" s="1"/>
  <c r="F249" i="15" s="1"/>
  <c r="F250" i="15" s="1"/>
  <c r="F251" i="15" s="1"/>
  <c r="F252" i="15" s="1"/>
  <c r="F253" i="15" s="1"/>
  <c r="F254" i="15" s="1"/>
  <c r="F255" i="15" s="1"/>
  <c r="F256" i="15" s="1"/>
  <c r="F257" i="15" s="1"/>
  <c r="F258" i="15" s="1"/>
  <c r="F259" i="15" s="1"/>
  <c r="F260" i="15" s="1"/>
  <c r="F261" i="15" s="1"/>
  <c r="F262" i="15" s="1"/>
  <c r="F263" i="15" s="1"/>
  <c r="F264" i="15" s="1"/>
  <c r="F265" i="15" s="1"/>
  <c r="F266" i="15" s="1"/>
  <c r="F267" i="15" s="1"/>
  <c r="F268" i="15" s="1"/>
  <c r="F269" i="15" s="1"/>
  <c r="F270" i="15" s="1"/>
  <c r="F271" i="15" s="1"/>
  <c r="F272" i="15" s="1"/>
  <c r="F273" i="15" s="1"/>
  <c r="F274" i="15" s="1"/>
  <c r="F275" i="15" s="1"/>
  <c r="F276" i="15" s="1"/>
  <c r="F277" i="15" s="1"/>
  <c r="F278" i="15" s="1"/>
  <c r="F279" i="15" s="1"/>
  <c r="F280" i="15" s="1"/>
  <c r="F281" i="15" s="1"/>
  <c r="F282" i="15" s="1"/>
  <c r="F283" i="15" s="1"/>
  <c r="F284" i="15" s="1"/>
  <c r="F285" i="15" s="1"/>
  <c r="F286" i="15" s="1"/>
  <c r="F287" i="15" s="1"/>
  <c r="F288" i="15" s="1"/>
  <c r="F289" i="15" s="1"/>
  <c r="F290" i="15" s="1"/>
  <c r="F291" i="15" s="1"/>
  <c r="F292" i="15" s="1"/>
  <c r="F293" i="15" s="1"/>
  <c r="F294" i="15" s="1"/>
  <c r="F295" i="15" s="1"/>
  <c r="F296" i="15" s="1"/>
  <c r="F297" i="15" s="1"/>
  <c r="F298" i="15" s="1"/>
  <c r="F299" i="15" s="1"/>
  <c r="F300" i="15" s="1"/>
  <c r="F301" i="15" s="1"/>
  <c r="F302" i="15" s="1"/>
  <c r="F303" i="15" s="1"/>
  <c r="F304" i="15" s="1"/>
  <c r="F305" i="15" s="1"/>
  <c r="F306" i="15" s="1"/>
  <c r="F307" i="15" s="1"/>
  <c r="F308" i="15" s="1"/>
  <c r="F309" i="15" s="1"/>
  <c r="F310" i="15" s="1"/>
  <c r="F311" i="15" s="1"/>
  <c r="F312" i="15" s="1"/>
  <c r="F313" i="15" s="1"/>
  <c r="F314" i="15" s="1"/>
  <c r="F315" i="15" s="1"/>
  <c r="F316" i="15" s="1"/>
  <c r="F317" i="15" s="1"/>
  <c r="F318" i="15" s="1"/>
  <c r="F319" i="15" s="1"/>
  <c r="F320" i="15" s="1"/>
  <c r="F321" i="15" s="1"/>
  <c r="F322" i="15" s="1"/>
  <c r="F323" i="15" s="1"/>
  <c r="F324" i="15" s="1"/>
  <c r="F325" i="15" s="1"/>
  <c r="F326" i="15" s="1"/>
  <c r="F327" i="15" s="1"/>
  <c r="F328" i="15" s="1"/>
  <c r="F329" i="15" s="1"/>
  <c r="F330" i="15" s="1"/>
  <c r="F331" i="15" s="1"/>
  <c r="F332" i="15" s="1"/>
  <c r="F333" i="15" s="1"/>
  <c r="F334" i="15" s="1"/>
  <c r="F335" i="15" s="1"/>
  <c r="F336" i="15" s="1"/>
  <c r="F337" i="15" s="1"/>
  <c r="F338" i="15" s="1"/>
  <c r="F339" i="15" s="1"/>
  <c r="F340" i="15" s="1"/>
  <c r="F341" i="15" s="1"/>
  <c r="F342" i="15" s="1"/>
  <c r="F343" i="15" s="1"/>
  <c r="F344" i="15" s="1"/>
  <c r="F345" i="15" s="1"/>
  <c r="F346" i="15" s="1"/>
  <c r="F347" i="15" s="1"/>
  <c r="F348" i="15" s="1"/>
  <c r="F349" i="15" s="1"/>
  <c r="F350" i="15" s="1"/>
  <c r="F351" i="15" s="1"/>
  <c r="F352" i="15" s="1"/>
  <c r="F353" i="15" s="1"/>
  <c r="F354" i="15" s="1"/>
  <c r="F355" i="15" s="1"/>
  <c r="F356" i="15" s="1"/>
  <c r="F357" i="15" s="1"/>
  <c r="F358" i="15" s="1"/>
  <c r="F359" i="15" s="1"/>
  <c r="F360" i="15" s="1"/>
  <c r="F361" i="15" s="1"/>
  <c r="F362" i="15" s="1"/>
  <c r="F363" i="15" s="1"/>
  <c r="F364" i="15" s="1"/>
  <c r="F365" i="15" s="1"/>
  <c r="F366" i="15" s="1"/>
  <c r="F367" i="15" s="1"/>
  <c r="F368" i="15" s="1"/>
  <c r="F369" i="15" s="1"/>
  <c r="F370" i="15" s="1"/>
  <c r="F371" i="15" s="1"/>
  <c r="F372" i="15" s="1"/>
  <c r="F373" i="15" s="1"/>
  <c r="F374" i="15" s="1"/>
  <c r="F375" i="15" s="1"/>
  <c r="F376" i="15" s="1"/>
  <c r="F377" i="15" s="1"/>
  <c r="F378" i="15" s="1"/>
  <c r="F379" i="15" s="1"/>
  <c r="F380" i="15" s="1"/>
  <c r="F381" i="15" s="1"/>
  <c r="F382" i="15" s="1"/>
  <c r="F383" i="15" s="1"/>
  <c r="F384" i="15" s="1"/>
  <c r="F385" i="15" s="1"/>
  <c r="F386" i="15" s="1"/>
  <c r="F387" i="15" s="1"/>
  <c r="F388" i="15" s="1"/>
  <c r="F389" i="15" s="1"/>
  <c r="F390" i="15" s="1"/>
  <c r="F391" i="15" s="1"/>
  <c r="F392" i="15" s="1"/>
  <c r="F393" i="15" s="1"/>
  <c r="F394" i="15" s="1"/>
  <c r="F395" i="15" s="1"/>
  <c r="F396" i="15" s="1"/>
  <c r="F397" i="15" s="1"/>
  <c r="F398" i="15" s="1"/>
  <c r="F399" i="15" s="1"/>
  <c r="F400" i="15" s="1"/>
  <c r="F401" i="15" s="1"/>
  <c r="F402" i="15" s="1"/>
  <c r="F403" i="15" s="1"/>
  <c r="F404" i="15" s="1"/>
  <c r="F405" i="15" s="1"/>
  <c r="F406" i="15" s="1"/>
  <c r="F407" i="15" s="1"/>
  <c r="F408" i="15" s="1"/>
  <c r="F409" i="15" s="1"/>
  <c r="F410" i="15" s="1"/>
  <c r="F411" i="15" s="1"/>
  <c r="F412" i="15" s="1"/>
  <c r="F413" i="15" s="1"/>
  <c r="F414" i="15" s="1"/>
  <c r="F415" i="15" s="1"/>
  <c r="F416" i="15" s="1"/>
  <c r="F417" i="15" s="1"/>
  <c r="F418" i="15" s="1"/>
  <c r="F419" i="15" s="1"/>
  <c r="F420" i="15" s="1"/>
  <c r="F421" i="15" s="1"/>
  <c r="F422" i="15" s="1"/>
  <c r="F423" i="15" s="1"/>
  <c r="F424" i="15" s="1"/>
  <c r="F425" i="15" s="1"/>
  <c r="F426" i="15" s="1"/>
  <c r="F427" i="15" s="1"/>
  <c r="F428" i="15" s="1"/>
  <c r="F429" i="15" s="1"/>
  <c r="F430" i="15" s="1"/>
  <c r="F431" i="15" s="1"/>
  <c r="F432" i="15" s="1"/>
  <c r="F433" i="15" s="1"/>
  <c r="F434" i="15" s="1"/>
  <c r="F435" i="15" s="1"/>
  <c r="F436" i="15" s="1"/>
  <c r="F437" i="15" s="1"/>
  <c r="F438" i="15" s="1"/>
  <c r="F439" i="15" s="1"/>
  <c r="F440" i="15" s="1"/>
  <c r="F441" i="15" s="1"/>
  <c r="F442" i="15" s="1"/>
  <c r="F443" i="15" s="1"/>
  <c r="F444" i="15" s="1"/>
  <c r="F445" i="15" s="1"/>
  <c r="F446" i="15" s="1"/>
  <c r="F447" i="15" s="1"/>
  <c r="F448" i="15" s="1"/>
  <c r="F449" i="15" s="1"/>
  <c r="F450" i="15" s="1"/>
  <c r="F451" i="15" s="1"/>
  <c r="F452" i="15" s="1"/>
  <c r="F453" i="15" s="1"/>
  <c r="F454" i="15" s="1"/>
  <c r="F455" i="15" s="1"/>
  <c r="F456" i="15" s="1"/>
  <c r="F457" i="15" s="1"/>
  <c r="F458" i="15" s="1"/>
  <c r="F459" i="15" s="1"/>
  <c r="F460" i="15" s="1"/>
  <c r="F461" i="15" s="1"/>
  <c r="F462" i="15" s="1"/>
  <c r="F463" i="15" s="1"/>
  <c r="F464" i="15" s="1"/>
  <c r="F465" i="15" s="1"/>
  <c r="F466" i="15" s="1"/>
  <c r="F467" i="15" s="1"/>
  <c r="F468" i="15" s="1"/>
  <c r="F469" i="15" s="1"/>
  <c r="F470" i="15" s="1"/>
  <c r="F471" i="15" s="1"/>
  <c r="F472" i="15" s="1"/>
  <c r="F473" i="15" s="1"/>
  <c r="F474" i="15" s="1"/>
  <c r="F475" i="15" s="1"/>
  <c r="F476" i="15" s="1"/>
  <c r="F477" i="15" s="1"/>
  <c r="F478" i="15" s="1"/>
  <c r="F479" i="15" s="1"/>
  <c r="F480" i="15" s="1"/>
  <c r="F481" i="15" s="1"/>
  <c r="F482" i="15" s="1"/>
  <c r="F483" i="15" s="1"/>
  <c r="F484" i="15" s="1"/>
  <c r="F485" i="15" s="1"/>
  <c r="F486" i="15" s="1"/>
  <c r="F487" i="15" s="1"/>
  <c r="F488" i="15" s="1"/>
  <c r="F489" i="15" s="1"/>
  <c r="F490" i="15" s="1"/>
  <c r="F491" i="15" s="1"/>
  <c r="F492" i="15" s="1"/>
  <c r="F493" i="15" s="1"/>
  <c r="F494" i="15" s="1"/>
  <c r="F495" i="15" s="1"/>
  <c r="F496" i="15" s="1"/>
  <c r="F497" i="15" s="1"/>
  <c r="F498" i="15" s="1"/>
  <c r="F499" i="15" s="1"/>
  <c r="F500" i="15" s="1"/>
  <c r="F501" i="15" s="1"/>
  <c r="F502" i="15" s="1"/>
  <c r="F503" i="15" s="1"/>
  <c r="F504" i="15" s="1"/>
  <c r="F505" i="15" s="1"/>
  <c r="F506" i="15" s="1"/>
  <c r="F507" i="15" s="1"/>
  <c r="F508" i="15" s="1"/>
  <c r="F509" i="15" s="1"/>
  <c r="F510" i="15" s="1"/>
  <c r="F511" i="15" s="1"/>
  <c r="F512" i="15" s="1"/>
  <c r="F513" i="15" s="1"/>
  <c r="F514" i="15" s="1"/>
  <c r="F515" i="15" s="1"/>
  <c r="F516" i="15" s="1"/>
  <c r="F517" i="15" s="1"/>
  <c r="F518" i="15" s="1"/>
  <c r="F519" i="15" s="1"/>
  <c r="F520" i="15" s="1"/>
  <c r="F521" i="15" s="1"/>
  <c r="F522" i="15" s="1"/>
  <c r="F523" i="15" s="1"/>
  <c r="F524" i="15" s="1"/>
  <c r="F525" i="15" s="1"/>
  <c r="F526" i="15" s="1"/>
  <c r="F527" i="15" s="1"/>
  <c r="F528" i="15" s="1"/>
  <c r="F529" i="15" s="1"/>
  <c r="F530" i="15" s="1"/>
  <c r="F531" i="15" s="1"/>
  <c r="F532" i="15" s="1"/>
  <c r="F533" i="15" s="1"/>
  <c r="F534" i="15" s="1"/>
  <c r="F535" i="15" s="1"/>
  <c r="F536" i="15" s="1"/>
  <c r="F537" i="15" s="1"/>
  <c r="F538" i="15" s="1"/>
  <c r="F539" i="15" s="1"/>
  <c r="F540" i="15" s="1"/>
  <c r="F541" i="15" s="1"/>
  <c r="F542" i="15" s="1"/>
  <c r="F543" i="15" s="1"/>
  <c r="F544" i="15" s="1"/>
  <c r="F545" i="15" s="1"/>
  <c r="F546" i="15" s="1"/>
  <c r="F547" i="15" s="1"/>
  <c r="F548" i="15" s="1"/>
  <c r="F549" i="15" s="1"/>
  <c r="F550" i="15" s="1"/>
  <c r="F551" i="15" s="1"/>
  <c r="F552" i="15" s="1"/>
  <c r="F553" i="15" s="1"/>
  <c r="F554" i="15" s="1"/>
  <c r="F555" i="15" s="1"/>
  <c r="F556" i="15" s="1"/>
  <c r="F557" i="15" s="1"/>
  <c r="F558" i="15" s="1"/>
  <c r="F559" i="15" s="1"/>
  <c r="F560" i="15" s="1"/>
  <c r="F561" i="15" s="1"/>
  <c r="F562" i="15" s="1"/>
  <c r="F563" i="15" s="1"/>
  <c r="F564" i="15" s="1"/>
  <c r="F565" i="15" s="1"/>
  <c r="F566" i="15" s="1"/>
  <c r="F567" i="15" s="1"/>
  <c r="F568" i="15" s="1"/>
  <c r="F569" i="15" s="1"/>
  <c r="F570" i="15" s="1"/>
  <c r="F571" i="15" s="1"/>
  <c r="F572" i="15" s="1"/>
  <c r="F573" i="15" s="1"/>
  <c r="F574" i="15" s="1"/>
  <c r="F575" i="15" s="1"/>
  <c r="F576" i="15" s="1"/>
  <c r="F577" i="15" s="1"/>
  <c r="F578" i="15" s="1"/>
  <c r="F579" i="15" s="1"/>
  <c r="F580" i="15" s="1"/>
  <c r="F581" i="15" s="1"/>
  <c r="F582" i="15" s="1"/>
  <c r="F583" i="15" s="1"/>
  <c r="F584" i="15" s="1"/>
  <c r="F585" i="15" s="1"/>
  <c r="F586" i="15" s="1"/>
  <c r="F587" i="15" s="1"/>
  <c r="F588" i="15" s="1"/>
  <c r="F589" i="15" s="1"/>
  <c r="F590" i="15" s="1"/>
  <c r="F591" i="15" s="1"/>
  <c r="F592" i="15" s="1"/>
  <c r="F593" i="15" s="1"/>
  <c r="F594" i="15" s="1"/>
  <c r="F595" i="15" s="1"/>
  <c r="F596" i="15" s="1"/>
  <c r="F597" i="15" s="1"/>
  <c r="F598" i="15" s="1"/>
  <c r="F599" i="15" s="1"/>
  <c r="F600" i="15" s="1"/>
  <c r="F601" i="15" s="1"/>
  <c r="F602" i="15" s="1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46" i="4"/>
  <c r="D59" i="4" s="1"/>
  <c r="R26" i="11"/>
  <c r="F59" i="19"/>
  <c r="B62" i="19" s="1"/>
  <c r="G23" i="24"/>
  <c r="F69" i="4"/>
  <c r="L88" i="4"/>
  <c r="V30" i="11"/>
  <c r="F6" i="4"/>
  <c r="E20" i="4" s="1"/>
  <c r="J9" i="18"/>
  <c r="R30" i="11"/>
  <c r="L85" i="4"/>
  <c r="J42" i="4"/>
  <c r="H51" i="4" s="1"/>
  <c r="I51" i="4" s="1"/>
  <c r="F65" i="4"/>
  <c r="D82" i="4" s="1"/>
  <c r="J9" i="21"/>
  <c r="G14" i="24"/>
  <c r="F10" i="17"/>
  <c r="G16" i="19"/>
  <c r="H16" i="19" s="1"/>
  <c r="V26" i="11"/>
  <c r="G15" i="24"/>
  <c r="K14" i="12"/>
  <c r="F9" i="18"/>
  <c r="F10" i="12"/>
  <c r="G19" i="24"/>
  <c r="H18" i="18"/>
  <c r="I18" i="18" s="1"/>
  <c r="L87" i="4"/>
  <c r="R49" i="16"/>
  <c r="O86" i="15"/>
  <c r="R57" i="16"/>
  <c r="R52" i="16"/>
  <c r="O17" i="15"/>
  <c r="O58" i="15"/>
  <c r="O22" i="15"/>
  <c r="O81" i="15"/>
  <c r="I29" i="24"/>
  <c r="O30" i="15"/>
  <c r="H44" i="22"/>
  <c r="O20" i="15"/>
  <c r="F25" i="23"/>
  <c r="O54" i="15"/>
  <c r="O52" i="15"/>
  <c r="O62" i="15"/>
  <c r="I40" i="24"/>
  <c r="O9" i="15"/>
  <c r="O73" i="15"/>
  <c r="O83" i="15"/>
  <c r="O40" i="15"/>
  <c r="H19" i="22"/>
  <c r="I19" i="22" s="1"/>
  <c r="I20" i="22" s="1"/>
  <c r="D32" i="22"/>
  <c r="D24" i="22"/>
  <c r="J21" i="22"/>
  <c r="D33" i="22"/>
  <c r="O67" i="15"/>
  <c r="R50" i="16"/>
  <c r="O76" i="15"/>
  <c r="O47" i="15"/>
  <c r="R43" i="16"/>
  <c r="O12" i="14"/>
  <c r="O77" i="15"/>
  <c r="I34" i="23"/>
  <c r="E35" i="23" s="1"/>
  <c r="O84" i="15"/>
  <c r="R45" i="16"/>
  <c r="O26" i="15"/>
  <c r="O72" i="15"/>
  <c r="H52" i="22"/>
  <c r="O25" i="15"/>
  <c r="O11" i="13"/>
  <c r="O6" i="15"/>
  <c r="O38" i="15"/>
  <c r="O70" i="15"/>
  <c r="O12" i="15"/>
  <c r="O79" i="15"/>
  <c r="O34" i="15"/>
  <c r="I33" i="24"/>
  <c r="E36" i="24"/>
  <c r="I36" i="24" s="1"/>
  <c r="R47" i="16"/>
  <c r="O41" i="15"/>
  <c r="O13" i="15"/>
  <c r="R44" i="16"/>
  <c r="O14" i="15"/>
  <c r="O46" i="15"/>
  <c r="O78" i="15"/>
  <c r="R55" i="16"/>
  <c r="O49" i="15"/>
  <c r="I44" i="24"/>
  <c r="O44" i="15"/>
  <c r="O15" i="15"/>
  <c r="O66" i="15"/>
  <c r="O8" i="15"/>
  <c r="H40" i="22"/>
  <c r="H48" i="22"/>
  <c r="O57" i="15"/>
  <c r="R56" i="16"/>
  <c r="O45" i="15"/>
  <c r="O14" i="14"/>
  <c r="O14" i="10"/>
  <c r="O12" i="9"/>
  <c r="O14" i="11"/>
  <c r="R53" i="16"/>
  <c r="O23" i="15"/>
  <c r="O55" i="15"/>
  <c r="O11" i="15"/>
  <c r="R51" i="16"/>
  <c r="O21" i="15"/>
  <c r="O53" i="15"/>
  <c r="O85" i="15"/>
  <c r="R46" i="16"/>
  <c r="O16" i="15"/>
  <c r="O48" i="15"/>
  <c r="O80" i="15"/>
  <c r="O14" i="13"/>
  <c r="O11" i="10"/>
  <c r="O27" i="15"/>
  <c r="O19" i="15"/>
  <c r="O14" i="9"/>
  <c r="O6" i="9"/>
  <c r="O19" i="10"/>
  <c r="R58" i="16"/>
  <c r="O28" i="15"/>
  <c r="O60" i="15"/>
  <c r="O51" i="15"/>
  <c r="O43" i="15"/>
  <c r="O10" i="15"/>
  <c r="O42" i="15"/>
  <c r="O74" i="15"/>
  <c r="O35" i="15"/>
  <c r="O75" i="15"/>
  <c r="O31" i="15"/>
  <c r="O63" i="15"/>
  <c r="O29" i="15"/>
  <c r="O61" i="15"/>
  <c r="O59" i="15"/>
  <c r="R54" i="16"/>
  <c r="O24" i="15"/>
  <c r="O56" i="15"/>
  <c r="O33" i="15"/>
  <c r="O65" i="15"/>
  <c r="O36" i="15"/>
  <c r="O68" i="15"/>
  <c r="R48" i="16"/>
  <c r="O18" i="15"/>
  <c r="O50" i="15"/>
  <c r="O82" i="15"/>
  <c r="O10" i="17"/>
  <c r="O7" i="15"/>
  <c r="O39" i="15"/>
  <c r="O71" i="15"/>
  <c r="O5" i="15"/>
  <c r="O37" i="15"/>
  <c r="O69" i="15"/>
  <c r="O32" i="15"/>
  <c r="O64" i="15"/>
  <c r="O9" i="17"/>
  <c r="O6" i="11"/>
  <c r="O9" i="13"/>
  <c r="O17" i="2"/>
  <c r="O6" i="2"/>
  <c r="O17" i="11"/>
  <c r="O16" i="11"/>
  <c r="O11" i="14"/>
  <c r="O11" i="9"/>
  <c r="O9" i="2"/>
  <c r="O14" i="2"/>
  <c r="O11" i="11"/>
  <c r="O19" i="14"/>
  <c r="O19" i="9"/>
  <c r="O6" i="14"/>
  <c r="O15" i="11"/>
  <c r="O6" i="10"/>
  <c r="O19" i="11"/>
  <c r="O18" i="10"/>
  <c r="O16" i="13"/>
  <c r="O6" i="13"/>
  <c r="O19" i="13"/>
  <c r="O9" i="10"/>
  <c r="O12" i="11"/>
  <c r="O12" i="13"/>
  <c r="O15" i="13"/>
  <c r="O10" i="14"/>
  <c r="O10" i="9"/>
  <c r="O13" i="2"/>
  <c r="O13" i="10"/>
  <c r="O8" i="10"/>
  <c r="O17" i="10"/>
  <c r="O20" i="11"/>
  <c r="O20" i="13"/>
  <c r="O7" i="2"/>
  <c r="O7" i="10"/>
  <c r="O5" i="14"/>
  <c r="O5" i="9"/>
  <c r="O8" i="2"/>
  <c r="O9" i="14"/>
  <c r="O9" i="9"/>
  <c r="O12" i="10"/>
  <c r="O11" i="2"/>
  <c r="O12" i="2"/>
  <c r="O10" i="11"/>
  <c r="O18" i="14"/>
  <c r="O18" i="9"/>
  <c r="O16" i="10"/>
  <c r="O15" i="2"/>
  <c r="O15" i="10"/>
  <c r="O10" i="13"/>
  <c r="O13" i="14"/>
  <c r="O13" i="9"/>
  <c r="O16" i="2"/>
  <c r="O8" i="14"/>
  <c r="O8" i="9"/>
  <c r="O9" i="11"/>
  <c r="O17" i="14"/>
  <c r="O17" i="9"/>
  <c r="O20" i="10"/>
  <c r="O7" i="14"/>
  <c r="O7" i="9"/>
  <c r="O10" i="2"/>
  <c r="O5" i="13"/>
  <c r="O19" i="2"/>
  <c r="O18" i="11"/>
  <c r="O18" i="13"/>
  <c r="O13" i="11"/>
  <c r="O16" i="14"/>
  <c r="O16" i="9"/>
  <c r="O7" i="11"/>
  <c r="O15" i="14"/>
  <c r="O15" i="9"/>
  <c r="O18" i="2"/>
  <c r="O10" i="10"/>
  <c r="O13" i="13"/>
  <c r="O8" i="11"/>
  <c r="O8" i="13"/>
  <c r="O17" i="13"/>
  <c r="O20" i="14"/>
  <c r="O20" i="9"/>
  <c r="O7" i="13"/>
  <c r="O5" i="2"/>
  <c r="O5" i="10"/>
  <c r="I10" i="16"/>
  <c r="B11" i="16"/>
  <c r="H10" i="16"/>
  <c r="C638" i="15"/>
  <c r="I9" i="16"/>
  <c r="H9" i="16"/>
  <c r="B17" i="12"/>
  <c r="G92" i="15"/>
  <c r="E62" i="19"/>
  <c r="H19" i="19"/>
  <c r="I19" i="19" s="1"/>
  <c r="G59" i="4"/>
  <c r="E59" i="4"/>
  <c r="B27" i="16"/>
  <c r="D371" i="15"/>
  <c r="A7" i="16"/>
  <c r="G6" i="16"/>
  <c r="J6" i="16" s="1"/>
  <c r="J4" i="16"/>
  <c r="G12" i="18"/>
  <c r="H6" i="18" s="1"/>
  <c r="H5" i="16"/>
  <c r="I5" i="16"/>
  <c r="J5" i="16" s="1"/>
  <c r="O34" i="16"/>
  <c r="R26" i="16"/>
  <c r="K59" i="19"/>
  <c r="L91" i="15"/>
  <c r="J14" i="12"/>
  <c r="L87" i="15"/>
  <c r="M90" i="15"/>
  <c r="I23" i="24"/>
  <c r="F32" i="22"/>
  <c r="K89" i="15"/>
  <c r="J6" i="4"/>
  <c r="F33" i="22"/>
  <c r="K87" i="15"/>
  <c r="I15" i="24"/>
  <c r="K88" i="15"/>
  <c r="M89" i="15"/>
  <c r="I14" i="24"/>
  <c r="M88" i="15"/>
  <c r="L89" i="15"/>
  <c r="M87" i="15"/>
  <c r="G24" i="22"/>
  <c r="J6" i="1"/>
  <c r="K91" i="15"/>
  <c r="I35" i="23"/>
  <c r="J69" i="4"/>
  <c r="J65" i="4"/>
  <c r="M91" i="15"/>
  <c r="I47" i="25"/>
  <c r="I19" i="24"/>
  <c r="L88" i="15"/>
  <c r="J10" i="12"/>
  <c r="L90" i="15"/>
  <c r="K90" i="15"/>
  <c r="E48" i="25" l="1"/>
  <c r="E30" i="24"/>
  <c r="K20" i="24"/>
  <c r="K21" i="24"/>
  <c r="H74" i="4"/>
  <c r="C82" i="4" s="1"/>
  <c r="C9" i="1"/>
  <c r="E9" i="1" s="1"/>
  <c r="K10" i="12"/>
  <c r="E41" i="24"/>
  <c r="C9" i="4"/>
  <c r="E9" i="4" s="1"/>
  <c r="D87" i="4"/>
  <c r="I74" i="4"/>
  <c r="E45" i="24"/>
  <c r="J51" i="4"/>
  <c r="C15" i="21"/>
  <c r="B15" i="21"/>
  <c r="E34" i="24"/>
  <c r="I59" i="4"/>
  <c r="K74" i="4"/>
  <c r="E36" i="23"/>
  <c r="O90" i="15"/>
  <c r="O89" i="15"/>
  <c r="O87" i="15"/>
  <c r="O88" i="15"/>
  <c r="O91" i="15"/>
  <c r="D53" i="22"/>
  <c r="D28" i="22"/>
  <c r="D29" i="22"/>
  <c r="D45" i="22"/>
  <c r="U26" i="16"/>
  <c r="T26" i="16"/>
  <c r="I6" i="18"/>
  <c r="D15" i="18"/>
  <c r="E15" i="18" s="1"/>
  <c r="I15" i="18" s="1"/>
  <c r="B21" i="18" s="1"/>
  <c r="G93" i="15"/>
  <c r="M4" i="16"/>
  <c r="K4" i="16"/>
  <c r="L4" i="16"/>
  <c r="M6" i="16"/>
  <c r="L6" i="16"/>
  <c r="K6" i="16"/>
  <c r="G7" i="16"/>
  <c r="J7" i="16" s="1"/>
  <c r="A8" i="16"/>
  <c r="V27" i="16"/>
  <c r="Q27" i="16"/>
  <c r="S27" i="16" s="1"/>
  <c r="B28" i="16"/>
  <c r="E37" i="24"/>
  <c r="C639" i="15"/>
  <c r="H11" i="16"/>
  <c r="I11" i="16"/>
  <c r="B12" i="16"/>
  <c r="J22" i="22"/>
  <c r="K21" i="22"/>
  <c r="D372" i="15"/>
  <c r="M5" i="16"/>
  <c r="L5" i="16"/>
  <c r="K5" i="16"/>
  <c r="K62" i="19"/>
  <c r="M92" i="15"/>
  <c r="F28" i="22"/>
  <c r="K83" i="4"/>
  <c r="C62" i="19"/>
  <c r="F29" i="22"/>
  <c r="I45" i="22"/>
  <c r="G62" i="19"/>
  <c r="K92" i="15"/>
  <c r="F62" i="19"/>
  <c r="J30" i="24"/>
  <c r="H62" i="19"/>
  <c r="J59" i="19"/>
  <c r="J45" i="24"/>
  <c r="J37" i="24"/>
  <c r="I53" i="22"/>
  <c r="L74" i="4"/>
  <c r="J34" i="24"/>
  <c r="M74" i="4"/>
  <c r="J41" i="24"/>
  <c r="L92" i="15"/>
  <c r="I62" i="19" l="1"/>
  <c r="J62" i="19" s="1"/>
  <c r="D62" i="19"/>
  <c r="E15" i="21"/>
  <c r="J74" i="4"/>
  <c r="C20" i="4"/>
  <c r="F9" i="4"/>
  <c r="H9" i="4" s="1"/>
  <c r="H6" i="12"/>
  <c r="D78" i="4"/>
  <c r="C78" i="4"/>
  <c r="F78" i="4" s="1"/>
  <c r="C20" i="1"/>
  <c r="F9" i="1"/>
  <c r="H9" i="1" s="1"/>
  <c r="E82" i="4"/>
  <c r="G82" i="4"/>
  <c r="I82" i="4" s="1"/>
  <c r="K9" i="21"/>
  <c r="I15" i="21"/>
  <c r="B21" i="21" s="1"/>
  <c r="C21" i="21" s="1"/>
  <c r="D21" i="21" s="1"/>
  <c r="E21" i="21" s="1"/>
  <c r="D55" i="4"/>
  <c r="C55" i="4"/>
  <c r="F55" i="4" s="1"/>
  <c r="D49" i="22"/>
  <c r="D41" i="22"/>
  <c r="O92" i="15"/>
  <c r="D373" i="15"/>
  <c r="T27" i="16"/>
  <c r="U27" i="16"/>
  <c r="O4" i="16"/>
  <c r="N4" i="16"/>
  <c r="G94" i="15"/>
  <c r="V28" i="16"/>
  <c r="B29" i="16"/>
  <c r="Q28" i="16"/>
  <c r="S28" i="16" s="1"/>
  <c r="J23" i="22"/>
  <c r="K22" i="22"/>
  <c r="G8" i="16"/>
  <c r="J8" i="16" s="1"/>
  <c r="A9" i="16"/>
  <c r="I12" i="16"/>
  <c r="H12" i="16"/>
  <c r="B13" i="16"/>
  <c r="K7" i="16"/>
  <c r="M7" i="16"/>
  <c r="L7" i="16"/>
  <c r="O5" i="16"/>
  <c r="N5" i="16"/>
  <c r="N6" i="16"/>
  <c r="O6" i="16"/>
  <c r="C640" i="15"/>
  <c r="C21" i="18"/>
  <c r="D21" i="18" s="1"/>
  <c r="E21" i="18" s="1"/>
  <c r="K9" i="18"/>
  <c r="K6" i="18"/>
  <c r="K17" i="12"/>
  <c r="H17" i="12"/>
  <c r="G17" i="12"/>
  <c r="I49" i="22"/>
  <c r="I41" i="22"/>
  <c r="L93" i="15"/>
  <c r="K93" i="15"/>
  <c r="F17" i="12"/>
  <c r="M93" i="15"/>
  <c r="C17" i="12"/>
  <c r="I17" i="12" l="1"/>
  <c r="H20" i="1"/>
  <c r="F20" i="1"/>
  <c r="I6" i="12"/>
  <c r="K6" i="12" s="1"/>
  <c r="D17" i="12"/>
  <c r="E17" i="12"/>
  <c r="J6" i="12"/>
  <c r="J17" i="12" s="1"/>
  <c r="H20" i="4"/>
  <c r="F20" i="4"/>
  <c r="O93" i="15"/>
  <c r="L8" i="16"/>
  <c r="K8" i="16"/>
  <c r="M8" i="16"/>
  <c r="J24" i="22"/>
  <c r="K23" i="22"/>
  <c r="U28" i="16"/>
  <c r="T28" i="16"/>
  <c r="Q29" i="16"/>
  <c r="S29" i="16" s="1"/>
  <c r="V29" i="16"/>
  <c r="B30" i="16"/>
  <c r="D374" i="15"/>
  <c r="G95" i="15"/>
  <c r="O7" i="16"/>
  <c r="N7" i="16"/>
  <c r="C641" i="15"/>
  <c r="H13" i="16"/>
  <c r="I13" i="16"/>
  <c r="B14" i="16"/>
  <c r="A10" i="16"/>
  <c r="G9" i="16"/>
  <c r="J9" i="16" s="1"/>
  <c r="K94" i="15"/>
  <c r="L94" i="15"/>
  <c r="M94" i="15"/>
  <c r="J20" i="4" l="1"/>
  <c r="I20" i="4"/>
  <c r="D23" i="4" s="1"/>
  <c r="I20" i="1"/>
  <c r="D22" i="1" s="1"/>
  <c r="J20" i="1"/>
  <c r="O94" i="15"/>
  <c r="D375" i="15"/>
  <c r="U29" i="16"/>
  <c r="T29" i="16"/>
  <c r="L9" i="16"/>
  <c r="M9" i="16"/>
  <c r="K9" i="16"/>
  <c r="G96" i="15"/>
  <c r="V30" i="16"/>
  <c r="Q30" i="16"/>
  <c r="S30" i="16" s="1"/>
  <c r="B31" i="16"/>
  <c r="G10" i="16"/>
  <c r="J10" i="16" s="1"/>
  <c r="A11" i="16"/>
  <c r="K24" i="22"/>
  <c r="J25" i="22"/>
  <c r="K25" i="22" s="1"/>
  <c r="B15" i="16"/>
  <c r="H14" i="16"/>
  <c r="I14" i="16"/>
  <c r="N8" i="16"/>
  <c r="O8" i="16"/>
  <c r="C642" i="15"/>
  <c r="M95" i="15"/>
  <c r="L95" i="15"/>
  <c r="K95" i="15"/>
  <c r="D23" i="1" l="1"/>
  <c r="D22" i="4"/>
  <c r="O95" i="15"/>
  <c r="H15" i="16"/>
  <c r="I15" i="16"/>
  <c r="B16" i="16"/>
  <c r="N9" i="16"/>
  <c r="O9" i="16"/>
  <c r="K10" i="16"/>
  <c r="L10" i="16"/>
  <c r="M10" i="16"/>
  <c r="Q31" i="16"/>
  <c r="S31" i="16" s="1"/>
  <c r="V31" i="16"/>
  <c r="B32" i="16"/>
  <c r="C643" i="15"/>
  <c r="U30" i="16"/>
  <c r="T30" i="16"/>
  <c r="A12" i="16"/>
  <c r="G11" i="16"/>
  <c r="J11" i="16" s="1"/>
  <c r="G97" i="15"/>
  <c r="D376" i="15"/>
  <c r="K96" i="15"/>
  <c r="M96" i="15"/>
  <c r="L96" i="15"/>
  <c r="O96" i="15" l="1"/>
  <c r="V32" i="16"/>
  <c r="Q32" i="16"/>
  <c r="S32" i="16" s="1"/>
  <c r="B33" i="16"/>
  <c r="T31" i="16"/>
  <c r="U31" i="16"/>
  <c r="L11" i="16"/>
  <c r="M11" i="16"/>
  <c r="K11" i="16"/>
  <c r="G12" i="16"/>
  <c r="J12" i="16" s="1"/>
  <c r="A13" i="16"/>
  <c r="N10" i="16"/>
  <c r="O10" i="16"/>
  <c r="C644" i="15"/>
  <c r="B17" i="16"/>
  <c r="H16" i="16"/>
  <c r="I16" i="16"/>
  <c r="D377" i="15"/>
  <c r="G98" i="15"/>
  <c r="M97" i="15"/>
  <c r="L97" i="15"/>
  <c r="K97" i="15"/>
  <c r="O97" i="15" l="1"/>
  <c r="M12" i="16"/>
  <c r="L12" i="16"/>
  <c r="K12" i="16"/>
  <c r="N11" i="16"/>
  <c r="O11" i="16"/>
  <c r="G13" i="16"/>
  <c r="J13" i="16" s="1"/>
  <c r="A14" i="16"/>
  <c r="B18" i="16"/>
  <c r="I17" i="16"/>
  <c r="H17" i="16"/>
  <c r="D378" i="15"/>
  <c r="G99" i="15"/>
  <c r="C645" i="15"/>
  <c r="Q33" i="16"/>
  <c r="S33" i="16" s="1"/>
  <c r="V33" i="16"/>
  <c r="B34" i="16"/>
  <c r="U32" i="16"/>
  <c r="T32" i="16"/>
  <c r="M98" i="15"/>
  <c r="K98" i="15"/>
  <c r="L98" i="15"/>
  <c r="O98" i="15" l="1"/>
  <c r="C646" i="15"/>
  <c r="I18" i="16"/>
  <c r="H18" i="16"/>
  <c r="G14" i="16"/>
  <c r="J14" i="16" s="1"/>
  <c r="A15" i="16"/>
  <c r="G100" i="15"/>
  <c r="M13" i="16"/>
  <c r="L13" i="16"/>
  <c r="K13" i="16"/>
  <c r="O12" i="16"/>
  <c r="N12" i="16"/>
  <c r="Q34" i="16"/>
  <c r="S34" i="16" s="1"/>
  <c r="V34" i="16"/>
  <c r="T33" i="16"/>
  <c r="U33" i="16"/>
  <c r="D379" i="15"/>
  <c r="M99" i="15"/>
  <c r="L99" i="15"/>
  <c r="K99" i="15"/>
  <c r="O99" i="15" l="1"/>
  <c r="D380" i="15"/>
  <c r="A16" i="16"/>
  <c r="G15" i="16"/>
  <c r="J15" i="16" s="1"/>
  <c r="L14" i="16"/>
  <c r="M14" i="16"/>
  <c r="K14" i="16"/>
  <c r="T34" i="16"/>
  <c r="U34" i="16"/>
  <c r="O13" i="16"/>
  <c r="N13" i="16"/>
  <c r="C647" i="15"/>
  <c r="G101" i="15"/>
  <c r="M100" i="15"/>
  <c r="K100" i="15"/>
  <c r="L100" i="15"/>
  <c r="O100" i="15" l="1"/>
  <c r="N14" i="16"/>
  <c r="O14" i="16"/>
  <c r="M15" i="16"/>
  <c r="L15" i="16"/>
  <c r="K15" i="16"/>
  <c r="C648" i="15"/>
  <c r="G16" i="16"/>
  <c r="J16" i="16" s="1"/>
  <c r="A17" i="16"/>
  <c r="G102" i="15"/>
  <c r="D381" i="15"/>
  <c r="K101" i="15"/>
  <c r="L101" i="15"/>
  <c r="M101" i="15"/>
  <c r="O101" i="15" l="1"/>
  <c r="G17" i="16"/>
  <c r="J17" i="16" s="1"/>
  <c r="A18" i="16"/>
  <c r="G18" i="16" s="1"/>
  <c r="J18" i="16" s="1"/>
  <c r="L16" i="16"/>
  <c r="M16" i="16"/>
  <c r="K16" i="16"/>
  <c r="C649" i="15"/>
  <c r="O15" i="16"/>
  <c r="N15" i="16"/>
  <c r="D382" i="15"/>
  <c r="G103" i="15"/>
  <c r="M102" i="15"/>
  <c r="L102" i="15"/>
  <c r="K102" i="15"/>
  <c r="O102" i="15" l="1"/>
  <c r="C650" i="15"/>
  <c r="G104" i="15"/>
  <c r="O16" i="16"/>
  <c r="N16" i="16"/>
  <c r="D383" i="15"/>
  <c r="K18" i="16"/>
  <c r="M18" i="16"/>
  <c r="L18" i="16"/>
  <c r="M17" i="16"/>
  <c r="L17" i="16"/>
  <c r="K17" i="16"/>
  <c r="M103" i="15"/>
  <c r="L103" i="15"/>
  <c r="K103" i="15"/>
  <c r="O103" i="15" l="1"/>
  <c r="G105" i="15"/>
  <c r="C651" i="15"/>
  <c r="N18" i="16"/>
  <c r="O18" i="16"/>
  <c r="N17" i="16"/>
  <c r="O17" i="16"/>
  <c r="D384" i="15"/>
  <c r="L104" i="15"/>
  <c r="K104" i="15"/>
  <c r="M104" i="15"/>
  <c r="O104" i="15" l="1"/>
  <c r="C652" i="15"/>
  <c r="D385" i="15"/>
  <c r="G106" i="15"/>
  <c r="L105" i="15"/>
  <c r="M105" i="15"/>
  <c r="K105" i="15"/>
  <c r="O105" i="15" l="1"/>
  <c r="D386" i="15"/>
  <c r="G107" i="15"/>
  <c r="M106" i="15"/>
  <c r="L106" i="15"/>
  <c r="K106" i="15"/>
  <c r="O106" i="15" l="1"/>
  <c r="G108" i="15"/>
  <c r="D387" i="15"/>
  <c r="M107" i="15"/>
  <c r="L107" i="15"/>
  <c r="K107" i="15"/>
  <c r="O107" i="15" l="1"/>
  <c r="G109" i="15"/>
  <c r="D388" i="15"/>
  <c r="M108" i="15"/>
  <c r="K108" i="15"/>
  <c r="L108" i="15"/>
  <c r="O108" i="15" l="1"/>
  <c r="G110" i="15"/>
  <c r="D389" i="15"/>
  <c r="L109" i="15"/>
  <c r="K109" i="15"/>
  <c r="M109" i="15"/>
  <c r="O109" i="15" l="1"/>
  <c r="D390" i="15"/>
  <c r="G111" i="15"/>
  <c r="L110" i="15"/>
  <c r="M110" i="15"/>
  <c r="K110" i="15"/>
  <c r="O110" i="15" l="1"/>
  <c r="G112" i="15"/>
  <c r="D391" i="15"/>
  <c r="K111" i="15"/>
  <c r="M111" i="15"/>
  <c r="L111" i="15"/>
  <c r="O111" i="15" l="1"/>
  <c r="D392" i="15"/>
  <c r="G113" i="15"/>
  <c r="M112" i="15"/>
  <c r="L112" i="15"/>
  <c r="K112" i="15"/>
  <c r="O112" i="15" l="1"/>
  <c r="D393" i="15"/>
  <c r="G114" i="15"/>
  <c r="K113" i="15"/>
  <c r="M113" i="15"/>
  <c r="L113" i="15"/>
  <c r="O113" i="15" l="1"/>
  <c r="G115" i="15"/>
  <c r="D394" i="15"/>
  <c r="M114" i="15"/>
  <c r="L114" i="15"/>
  <c r="K114" i="15"/>
  <c r="O114" i="15" l="1"/>
  <c r="G116" i="15"/>
  <c r="D395" i="15"/>
  <c r="M115" i="15"/>
  <c r="L115" i="15"/>
  <c r="K115" i="15"/>
  <c r="O115" i="15" l="1"/>
  <c r="D396" i="15"/>
  <c r="G117" i="15"/>
  <c r="K116" i="15"/>
  <c r="M116" i="15"/>
  <c r="L116" i="15"/>
  <c r="O116" i="15" l="1"/>
  <c r="G118" i="15"/>
  <c r="D397" i="15"/>
  <c r="L117" i="15"/>
  <c r="M117" i="15"/>
  <c r="K117" i="15"/>
  <c r="O117" i="15" l="1"/>
  <c r="D398" i="15"/>
  <c r="G119" i="15"/>
  <c r="K118" i="15"/>
  <c r="L118" i="15"/>
  <c r="M118" i="15"/>
  <c r="O118" i="15" l="1"/>
  <c r="G120" i="15"/>
  <c r="D399" i="15"/>
  <c r="L119" i="15"/>
  <c r="M119" i="15"/>
  <c r="K119" i="15"/>
  <c r="O119" i="15" l="1"/>
  <c r="D400" i="15"/>
  <c r="G121" i="15"/>
  <c r="M120" i="15"/>
  <c r="K120" i="15"/>
  <c r="L120" i="15"/>
  <c r="O120" i="15" l="1"/>
  <c r="G122" i="15"/>
  <c r="D401" i="15"/>
  <c r="K121" i="15"/>
  <c r="L121" i="15"/>
  <c r="M121" i="15"/>
  <c r="O121" i="15" l="1"/>
  <c r="D402" i="15"/>
  <c r="G123" i="15"/>
  <c r="M122" i="15"/>
  <c r="L122" i="15"/>
  <c r="K122" i="15"/>
  <c r="O122" i="15" l="1"/>
  <c r="G124" i="15"/>
  <c r="D403" i="15"/>
  <c r="K123" i="15"/>
  <c r="M123" i="15"/>
  <c r="L123" i="15"/>
  <c r="O123" i="15" l="1"/>
  <c r="D404" i="15"/>
  <c r="G125" i="15"/>
  <c r="M124" i="15"/>
  <c r="L124" i="15"/>
  <c r="K124" i="15"/>
  <c r="O124" i="15" l="1"/>
  <c r="D405" i="15"/>
  <c r="G126" i="15"/>
  <c r="M125" i="15"/>
  <c r="K125" i="15"/>
  <c r="L125" i="15"/>
  <c r="O125" i="15" l="1"/>
  <c r="G127" i="15"/>
  <c r="D406" i="15"/>
  <c r="K126" i="15"/>
  <c r="L126" i="15"/>
  <c r="M126" i="15"/>
  <c r="O126" i="15" l="1"/>
  <c r="D407" i="15"/>
  <c r="G128" i="15"/>
  <c r="M127" i="15"/>
  <c r="K127" i="15"/>
  <c r="L127" i="15"/>
  <c r="O127" i="15" l="1"/>
  <c r="G129" i="15"/>
  <c r="D408" i="15"/>
  <c r="M128" i="15"/>
  <c r="K128" i="15"/>
  <c r="L128" i="15"/>
  <c r="O128" i="15" l="1"/>
  <c r="D409" i="15"/>
  <c r="G130" i="15"/>
  <c r="L129" i="15"/>
  <c r="K129" i="15"/>
  <c r="M129" i="15"/>
  <c r="O129" i="15" l="1"/>
  <c r="G131" i="15"/>
  <c r="D410" i="15"/>
  <c r="K130" i="15"/>
  <c r="M130" i="15"/>
  <c r="L130" i="15"/>
  <c r="O130" i="15" l="1"/>
  <c r="D411" i="15"/>
  <c r="G132" i="15"/>
  <c r="L131" i="15"/>
  <c r="K131" i="15"/>
  <c r="M131" i="15"/>
  <c r="O131" i="15" l="1"/>
  <c r="G133" i="15"/>
  <c r="D412" i="15"/>
  <c r="L132" i="15"/>
  <c r="M132" i="15"/>
  <c r="K132" i="15"/>
  <c r="O132" i="15" l="1"/>
  <c r="D413" i="15"/>
  <c r="G134" i="15"/>
  <c r="K133" i="15"/>
  <c r="L133" i="15"/>
  <c r="M133" i="15"/>
  <c r="O133" i="15" l="1"/>
  <c r="G135" i="15"/>
  <c r="D414" i="15"/>
  <c r="K134" i="15"/>
  <c r="M134" i="15"/>
  <c r="L134" i="15"/>
  <c r="O134" i="15" l="1"/>
  <c r="D415" i="15"/>
  <c r="G136" i="15"/>
  <c r="L135" i="15"/>
  <c r="K135" i="15"/>
  <c r="M135" i="15"/>
  <c r="O135" i="15" l="1"/>
  <c r="G137" i="15"/>
  <c r="D416" i="15"/>
  <c r="L136" i="15"/>
  <c r="K136" i="15"/>
  <c r="M136" i="15"/>
  <c r="O136" i="15" l="1"/>
  <c r="D417" i="15"/>
  <c r="G138" i="15"/>
  <c r="K137" i="15"/>
  <c r="M137" i="15"/>
  <c r="L137" i="15"/>
  <c r="O137" i="15" l="1"/>
  <c r="D418" i="15"/>
  <c r="G139" i="15"/>
  <c r="L138" i="15"/>
  <c r="M138" i="15"/>
  <c r="K138" i="15"/>
  <c r="O138" i="15" l="1"/>
  <c r="G140" i="15"/>
  <c r="D419" i="15"/>
  <c r="L139" i="15"/>
  <c r="M139" i="15"/>
  <c r="K139" i="15"/>
  <c r="O139" i="15" l="1"/>
  <c r="D420" i="15"/>
  <c r="G141" i="15"/>
  <c r="L140" i="15"/>
  <c r="M140" i="15"/>
  <c r="K140" i="15"/>
  <c r="O140" i="15" l="1"/>
  <c r="G142" i="15"/>
  <c r="D421" i="15"/>
  <c r="L141" i="15"/>
  <c r="M141" i="15"/>
  <c r="K141" i="15"/>
  <c r="O141" i="15" l="1"/>
  <c r="D422" i="15"/>
  <c r="G143" i="15"/>
  <c r="M142" i="15"/>
  <c r="L142" i="15"/>
  <c r="K142" i="15"/>
  <c r="O142" i="15" l="1"/>
  <c r="G144" i="15"/>
  <c r="D423" i="15"/>
  <c r="M143" i="15"/>
  <c r="K143" i="15"/>
  <c r="L143" i="15"/>
  <c r="O143" i="15" l="1"/>
  <c r="G145" i="15"/>
  <c r="D424" i="15"/>
  <c r="M144" i="15"/>
  <c r="L144" i="15"/>
  <c r="K144" i="15"/>
  <c r="O144" i="15" l="1"/>
  <c r="G146" i="15"/>
  <c r="D425" i="15"/>
  <c r="L145" i="15"/>
  <c r="M145" i="15"/>
  <c r="K145" i="15"/>
  <c r="O145" i="15" l="1"/>
  <c r="G147" i="15"/>
  <c r="D426" i="15"/>
  <c r="M146" i="15"/>
  <c r="L146" i="15"/>
  <c r="K146" i="15"/>
  <c r="O146" i="15" l="1"/>
  <c r="D427" i="15"/>
  <c r="G148" i="15"/>
  <c r="K147" i="15"/>
  <c r="M147" i="15"/>
  <c r="L147" i="15"/>
  <c r="O147" i="15" l="1"/>
  <c r="G149" i="15"/>
  <c r="D428" i="15"/>
  <c r="L148" i="15"/>
  <c r="K148" i="15"/>
  <c r="M148" i="15"/>
  <c r="O148" i="15" l="1"/>
  <c r="G150" i="15"/>
  <c r="D429" i="15"/>
  <c r="L149" i="15"/>
  <c r="M149" i="15"/>
  <c r="K149" i="15"/>
  <c r="O149" i="15" l="1"/>
  <c r="G151" i="15"/>
  <c r="D430" i="15"/>
  <c r="K150" i="15"/>
  <c r="L150" i="15"/>
  <c r="M150" i="15"/>
  <c r="O150" i="15" l="1"/>
  <c r="D431" i="15"/>
  <c r="G152" i="15"/>
  <c r="K151" i="15"/>
  <c r="M151" i="15"/>
  <c r="L151" i="15"/>
  <c r="O151" i="15" l="1"/>
  <c r="G153" i="15"/>
  <c r="D432" i="15"/>
  <c r="K152" i="15"/>
  <c r="L152" i="15"/>
  <c r="M152" i="15"/>
  <c r="O152" i="15" l="1"/>
  <c r="G154" i="15"/>
  <c r="D433" i="15"/>
  <c r="K153" i="15"/>
  <c r="M153" i="15"/>
  <c r="L153" i="15"/>
  <c r="O153" i="15" l="1"/>
  <c r="D434" i="15"/>
  <c r="G155" i="15"/>
  <c r="L154" i="15"/>
  <c r="M154" i="15"/>
  <c r="K154" i="15"/>
  <c r="O154" i="15" l="1"/>
  <c r="G156" i="15"/>
  <c r="D435" i="15"/>
  <c r="K155" i="15"/>
  <c r="L155" i="15"/>
  <c r="M155" i="15"/>
  <c r="O155" i="15" l="1"/>
  <c r="D436" i="15"/>
  <c r="G157" i="15"/>
  <c r="K156" i="15"/>
  <c r="L156" i="15"/>
  <c r="M156" i="15"/>
  <c r="O156" i="15" l="1"/>
  <c r="D437" i="15"/>
  <c r="G158" i="15"/>
  <c r="L157" i="15"/>
  <c r="M157" i="15"/>
  <c r="K157" i="15"/>
  <c r="O157" i="15" l="1"/>
  <c r="G159" i="15"/>
  <c r="D438" i="15"/>
  <c r="L158" i="15"/>
  <c r="K158" i="15"/>
  <c r="M158" i="15"/>
  <c r="O158" i="15" l="1"/>
  <c r="D439" i="15"/>
  <c r="G160" i="15"/>
  <c r="M159" i="15"/>
  <c r="L159" i="15"/>
  <c r="K159" i="15"/>
  <c r="O159" i="15" l="1"/>
  <c r="G161" i="15"/>
  <c r="D440" i="15"/>
  <c r="M160" i="15"/>
  <c r="K160" i="15"/>
  <c r="L160" i="15"/>
  <c r="O160" i="15" l="1"/>
  <c r="D441" i="15"/>
  <c r="G162" i="15"/>
  <c r="L161" i="15"/>
  <c r="M161" i="15"/>
  <c r="K161" i="15"/>
  <c r="O161" i="15" l="1"/>
  <c r="D442" i="15"/>
  <c r="G163" i="15"/>
  <c r="M162" i="15"/>
  <c r="L162" i="15"/>
  <c r="K162" i="15"/>
  <c r="O162" i="15" l="1"/>
  <c r="G164" i="15"/>
  <c r="D443" i="15"/>
  <c r="L163" i="15"/>
  <c r="K163" i="15"/>
  <c r="M163" i="15"/>
  <c r="O163" i="15" l="1"/>
  <c r="D444" i="15"/>
  <c r="G165" i="15"/>
  <c r="K164" i="15"/>
  <c r="M164" i="15"/>
  <c r="L164" i="15"/>
  <c r="O164" i="15" l="1"/>
  <c r="G166" i="15"/>
  <c r="D445" i="15"/>
  <c r="M165" i="15"/>
  <c r="K165" i="15"/>
  <c r="L165" i="15"/>
  <c r="O165" i="15" l="1"/>
  <c r="D446" i="15"/>
  <c r="G167" i="15"/>
  <c r="M166" i="15"/>
  <c r="L166" i="15"/>
  <c r="K166" i="15"/>
  <c r="O166" i="15" l="1"/>
  <c r="G168" i="15"/>
  <c r="D447" i="15"/>
  <c r="K167" i="15"/>
  <c r="M167" i="15"/>
  <c r="L167" i="15"/>
  <c r="O167" i="15" l="1"/>
  <c r="D448" i="15"/>
  <c r="G169" i="15"/>
  <c r="K168" i="15"/>
  <c r="M168" i="15"/>
  <c r="L168" i="15"/>
  <c r="O168" i="15" l="1"/>
  <c r="G170" i="15"/>
  <c r="D449" i="15"/>
  <c r="K169" i="15"/>
  <c r="M169" i="15"/>
  <c r="L169" i="15"/>
  <c r="O169" i="15" l="1"/>
  <c r="D450" i="15"/>
  <c r="G171" i="15"/>
  <c r="K170" i="15"/>
  <c r="L170" i="15"/>
  <c r="M170" i="15"/>
  <c r="O170" i="15" l="1"/>
  <c r="G172" i="15"/>
  <c r="D451" i="15"/>
  <c r="L171" i="15"/>
  <c r="M171" i="15"/>
  <c r="K171" i="15"/>
  <c r="O171" i="15" l="1"/>
  <c r="G173" i="15"/>
  <c r="D452" i="15"/>
  <c r="M172" i="15"/>
  <c r="L172" i="15"/>
  <c r="K172" i="15"/>
  <c r="O172" i="15" l="1"/>
  <c r="D453" i="15"/>
  <c r="G174" i="15"/>
  <c r="L173" i="15"/>
  <c r="K173" i="15"/>
  <c r="M173" i="15"/>
  <c r="O173" i="15" l="1"/>
  <c r="G175" i="15"/>
  <c r="D454" i="15"/>
  <c r="K174" i="15"/>
  <c r="M174" i="15"/>
  <c r="L174" i="15"/>
  <c r="O174" i="15" l="1"/>
  <c r="G176" i="15"/>
  <c r="D455" i="15"/>
  <c r="K175" i="15"/>
  <c r="M175" i="15"/>
  <c r="L175" i="15"/>
  <c r="O175" i="15" l="1"/>
  <c r="D456" i="15"/>
  <c r="G177" i="15"/>
  <c r="M176" i="15"/>
  <c r="K176" i="15"/>
  <c r="L176" i="15"/>
  <c r="O176" i="15" l="1"/>
  <c r="D457" i="15"/>
  <c r="G178" i="15"/>
  <c r="L177" i="15"/>
  <c r="K177" i="15"/>
  <c r="M177" i="15"/>
  <c r="O177" i="15" l="1"/>
  <c r="D458" i="15"/>
  <c r="G179" i="15"/>
  <c r="M178" i="15"/>
  <c r="L178" i="15"/>
  <c r="K178" i="15"/>
  <c r="O178" i="15" l="1"/>
  <c r="G180" i="15"/>
  <c r="D459" i="15"/>
  <c r="L179" i="15"/>
  <c r="M179" i="15"/>
  <c r="K179" i="15"/>
  <c r="O179" i="15" l="1"/>
  <c r="G181" i="15"/>
  <c r="D460" i="15"/>
  <c r="L180" i="15"/>
  <c r="K180" i="15"/>
  <c r="M180" i="15"/>
  <c r="O180" i="15" l="1"/>
  <c r="D461" i="15"/>
  <c r="G182" i="15"/>
  <c r="M181" i="15"/>
  <c r="L181" i="15"/>
  <c r="K181" i="15"/>
  <c r="O181" i="15" l="1"/>
  <c r="G183" i="15"/>
  <c r="D462" i="15"/>
  <c r="L182" i="15"/>
  <c r="K182" i="15"/>
  <c r="M182" i="15"/>
  <c r="O182" i="15" l="1"/>
  <c r="D463" i="15"/>
  <c r="G184" i="15"/>
  <c r="L183" i="15"/>
  <c r="K183" i="15"/>
  <c r="M183" i="15"/>
  <c r="O183" i="15" l="1"/>
  <c r="G185" i="15"/>
  <c r="D464" i="15"/>
  <c r="K184" i="15"/>
  <c r="M184" i="15"/>
  <c r="L184" i="15"/>
  <c r="O184" i="15" l="1"/>
  <c r="D465" i="15"/>
  <c r="G186" i="15"/>
  <c r="L185" i="15"/>
  <c r="K185" i="15"/>
  <c r="M185" i="15"/>
  <c r="O185" i="15" l="1"/>
  <c r="G187" i="15"/>
  <c r="D466" i="15"/>
  <c r="L186" i="15"/>
  <c r="K186" i="15"/>
  <c r="M186" i="15"/>
  <c r="O186" i="15" l="1"/>
  <c r="D467" i="15"/>
  <c r="G188" i="15"/>
  <c r="K187" i="15"/>
  <c r="L187" i="15"/>
  <c r="M187" i="15"/>
  <c r="O187" i="15" l="1"/>
  <c r="G189" i="15"/>
  <c r="D468" i="15"/>
  <c r="K188" i="15"/>
  <c r="L188" i="15"/>
  <c r="M188" i="15"/>
  <c r="O188" i="15" l="1"/>
  <c r="D469" i="15"/>
  <c r="G190" i="15"/>
  <c r="L189" i="15"/>
  <c r="M189" i="15"/>
  <c r="K189" i="15"/>
  <c r="O189" i="15" l="1"/>
  <c r="G191" i="15"/>
  <c r="D470" i="15"/>
  <c r="L190" i="15"/>
  <c r="K190" i="15"/>
  <c r="M190" i="15"/>
  <c r="O190" i="15" l="1"/>
  <c r="D471" i="15"/>
  <c r="G192" i="15"/>
  <c r="K191" i="15"/>
  <c r="M191" i="15"/>
  <c r="L191" i="15"/>
  <c r="O191" i="15" l="1"/>
  <c r="G193" i="15"/>
  <c r="D472" i="15"/>
  <c r="M192" i="15"/>
  <c r="K192" i="15"/>
  <c r="L192" i="15"/>
  <c r="O192" i="15" l="1"/>
  <c r="D473" i="15"/>
  <c r="G194" i="15"/>
  <c r="K193" i="15"/>
  <c r="L193" i="15"/>
  <c r="M193" i="15"/>
  <c r="O193" i="15" l="1"/>
  <c r="G195" i="15"/>
  <c r="D474" i="15"/>
  <c r="K194" i="15"/>
  <c r="M194" i="15"/>
  <c r="L194" i="15"/>
  <c r="O194" i="15" l="1"/>
  <c r="D475" i="15"/>
  <c r="G196" i="15"/>
  <c r="M195" i="15"/>
  <c r="L195" i="15"/>
  <c r="K195" i="15"/>
  <c r="O195" i="15" l="1"/>
  <c r="D476" i="15"/>
  <c r="G197" i="15"/>
  <c r="L196" i="15"/>
  <c r="K196" i="15"/>
  <c r="M196" i="15"/>
  <c r="O196" i="15" l="1"/>
  <c r="D477" i="15"/>
  <c r="G198" i="15"/>
  <c r="M197" i="15"/>
  <c r="L197" i="15"/>
  <c r="K197" i="15"/>
  <c r="O197" i="15" l="1"/>
  <c r="G199" i="15"/>
  <c r="D478" i="15"/>
  <c r="L198" i="15"/>
  <c r="M198" i="15"/>
  <c r="K198" i="15"/>
  <c r="O198" i="15" l="1"/>
  <c r="D479" i="15"/>
  <c r="G200" i="15"/>
  <c r="L199" i="15"/>
  <c r="M199" i="15"/>
  <c r="K199" i="15"/>
  <c r="O199" i="15" l="1"/>
  <c r="G201" i="15"/>
  <c r="D480" i="15"/>
  <c r="L200" i="15"/>
  <c r="K200" i="15"/>
  <c r="M200" i="15"/>
  <c r="O200" i="15" l="1"/>
  <c r="D481" i="15"/>
  <c r="G202" i="15"/>
  <c r="K201" i="15"/>
  <c r="L201" i="15"/>
  <c r="M201" i="15"/>
  <c r="O201" i="15" l="1"/>
  <c r="G203" i="15"/>
  <c r="D482" i="15"/>
  <c r="L202" i="15"/>
  <c r="K202" i="15"/>
  <c r="M202" i="15"/>
  <c r="O202" i="15" l="1"/>
  <c r="D483" i="15"/>
  <c r="G204" i="15"/>
  <c r="L203" i="15"/>
  <c r="M203" i="15"/>
  <c r="K203" i="15"/>
  <c r="O203" i="15" l="1"/>
  <c r="G205" i="15"/>
  <c r="D484" i="15"/>
  <c r="L204" i="15"/>
  <c r="M204" i="15"/>
  <c r="K204" i="15"/>
  <c r="O204" i="15" l="1"/>
  <c r="D485" i="15"/>
  <c r="G206" i="15"/>
  <c r="M205" i="15"/>
  <c r="K205" i="15"/>
  <c r="L205" i="15"/>
  <c r="O205" i="15" l="1"/>
  <c r="G207" i="15"/>
  <c r="D486" i="15"/>
  <c r="K206" i="15"/>
  <c r="L206" i="15"/>
  <c r="M206" i="15"/>
  <c r="O206" i="15" l="1"/>
  <c r="D487" i="15"/>
  <c r="G208" i="15"/>
  <c r="K207" i="15"/>
  <c r="L207" i="15"/>
  <c r="M207" i="15"/>
  <c r="O207" i="15" l="1"/>
  <c r="G209" i="15"/>
  <c r="D488" i="15"/>
  <c r="K208" i="15"/>
  <c r="L208" i="15"/>
  <c r="M208" i="15"/>
  <c r="O208" i="15" l="1"/>
  <c r="D489" i="15"/>
  <c r="G210" i="15"/>
  <c r="L209" i="15"/>
  <c r="M209" i="15"/>
  <c r="K209" i="15"/>
  <c r="O209" i="15" l="1"/>
  <c r="D490" i="15"/>
  <c r="G211" i="15"/>
  <c r="K210" i="15"/>
  <c r="M210" i="15"/>
  <c r="L210" i="15"/>
  <c r="O210" i="15" l="1"/>
  <c r="G212" i="15"/>
  <c r="D491" i="15"/>
  <c r="L211" i="15"/>
  <c r="K211" i="15"/>
  <c r="M211" i="15"/>
  <c r="O211" i="15" l="1"/>
  <c r="G213" i="15"/>
  <c r="D492" i="15"/>
  <c r="K212" i="15"/>
  <c r="M212" i="15"/>
  <c r="L212" i="15"/>
  <c r="O212" i="15" l="1"/>
  <c r="D493" i="15"/>
  <c r="G214" i="15"/>
  <c r="L213" i="15"/>
  <c r="K213" i="15"/>
  <c r="M213" i="15"/>
  <c r="O213" i="15" l="1"/>
  <c r="G215" i="15"/>
  <c r="D494" i="15"/>
  <c r="L214" i="15"/>
  <c r="M214" i="15"/>
  <c r="K214" i="15"/>
  <c r="O214" i="15" l="1"/>
  <c r="G216" i="15"/>
  <c r="D495" i="15"/>
  <c r="L215" i="15"/>
  <c r="M215" i="15"/>
  <c r="K215" i="15"/>
  <c r="O215" i="15" l="1"/>
  <c r="G217" i="15"/>
  <c r="D496" i="15"/>
  <c r="M216" i="15"/>
  <c r="K216" i="15"/>
  <c r="L216" i="15"/>
  <c r="O216" i="15" l="1"/>
  <c r="D497" i="15"/>
  <c r="G218" i="15"/>
  <c r="M217" i="15"/>
  <c r="L217" i="15"/>
  <c r="K217" i="15"/>
  <c r="O217" i="15" l="1"/>
  <c r="G219" i="15"/>
  <c r="D498" i="15"/>
  <c r="M218" i="15"/>
  <c r="K218" i="15"/>
  <c r="L218" i="15"/>
  <c r="O218" i="15" l="1"/>
  <c r="D499" i="15"/>
  <c r="G220" i="15"/>
  <c r="L219" i="15"/>
  <c r="M219" i="15"/>
  <c r="K219" i="15"/>
  <c r="O219" i="15" l="1"/>
  <c r="G221" i="15"/>
  <c r="D500" i="15"/>
  <c r="K220" i="15"/>
  <c r="L220" i="15"/>
  <c r="M220" i="15"/>
  <c r="O220" i="15" l="1"/>
  <c r="G222" i="15"/>
  <c r="D501" i="15"/>
  <c r="K221" i="15"/>
  <c r="L221" i="15"/>
  <c r="M221" i="15"/>
  <c r="O221" i="15" l="1"/>
  <c r="G223" i="15"/>
  <c r="D502" i="15"/>
  <c r="K222" i="15"/>
  <c r="M222" i="15"/>
  <c r="L222" i="15"/>
  <c r="O222" i="15" l="1"/>
  <c r="D503" i="15"/>
  <c r="G224" i="15"/>
  <c r="L223" i="15"/>
  <c r="M223" i="15"/>
  <c r="K223" i="15"/>
  <c r="O223" i="15" l="1"/>
  <c r="D504" i="15"/>
  <c r="G225" i="15"/>
  <c r="M224" i="15"/>
  <c r="K224" i="15"/>
  <c r="L224" i="15"/>
  <c r="O224" i="15" l="1"/>
  <c r="G226" i="15"/>
  <c r="D505" i="15"/>
  <c r="M225" i="15"/>
  <c r="L225" i="15"/>
  <c r="K225" i="15"/>
  <c r="O225" i="15" l="1"/>
  <c r="G227" i="15"/>
  <c r="D506" i="15"/>
  <c r="L226" i="15"/>
  <c r="M226" i="15"/>
  <c r="K226" i="15"/>
  <c r="O226" i="15" l="1"/>
  <c r="D507" i="15"/>
  <c r="G228" i="15"/>
  <c r="M227" i="15"/>
  <c r="K227" i="15"/>
  <c r="L227" i="15"/>
  <c r="O227" i="15" l="1"/>
  <c r="D508" i="15"/>
  <c r="G229" i="15"/>
  <c r="K228" i="15"/>
  <c r="L228" i="15"/>
  <c r="M228" i="15"/>
  <c r="O228" i="15" l="1"/>
  <c r="G230" i="15"/>
  <c r="D509" i="15"/>
  <c r="M229" i="15"/>
  <c r="L229" i="15"/>
  <c r="K229" i="15"/>
  <c r="O229" i="15" l="1"/>
  <c r="D510" i="15"/>
  <c r="G231" i="15"/>
  <c r="K230" i="15"/>
  <c r="L230" i="15"/>
  <c r="M230" i="15"/>
  <c r="O230" i="15" l="1"/>
  <c r="G232" i="15"/>
  <c r="D511" i="15"/>
  <c r="M231" i="15"/>
  <c r="K231" i="15"/>
  <c r="L231" i="15"/>
  <c r="O231" i="15" l="1"/>
  <c r="D512" i="15"/>
  <c r="G233" i="15"/>
  <c r="M232" i="15"/>
  <c r="L232" i="15"/>
  <c r="K232" i="15"/>
  <c r="O232" i="15" l="1"/>
  <c r="G234" i="15"/>
  <c r="D513" i="15"/>
  <c r="K233" i="15"/>
  <c r="M233" i="15"/>
  <c r="L233" i="15"/>
  <c r="O233" i="15" l="1"/>
  <c r="D514" i="15"/>
  <c r="G235" i="15"/>
  <c r="K234" i="15"/>
  <c r="M234" i="15"/>
  <c r="L234" i="15"/>
  <c r="O234" i="15" l="1"/>
  <c r="G236" i="15"/>
  <c r="D515" i="15"/>
  <c r="M235" i="15"/>
  <c r="K235" i="15"/>
  <c r="L235" i="15"/>
  <c r="O235" i="15" l="1"/>
  <c r="G237" i="15"/>
  <c r="D516" i="15"/>
  <c r="M236" i="15"/>
  <c r="L236" i="15"/>
  <c r="K236" i="15"/>
  <c r="O236" i="15" l="1"/>
  <c r="G238" i="15"/>
  <c r="D517" i="15"/>
  <c r="M237" i="15"/>
  <c r="K237" i="15"/>
  <c r="L237" i="15"/>
  <c r="O237" i="15" l="1"/>
  <c r="D518" i="15"/>
  <c r="G239" i="15"/>
  <c r="M238" i="15"/>
  <c r="K238" i="15"/>
  <c r="L238" i="15"/>
  <c r="O238" i="15" l="1"/>
  <c r="G240" i="15"/>
  <c r="D519" i="15"/>
  <c r="M239" i="15"/>
  <c r="L239" i="15"/>
  <c r="K239" i="15"/>
  <c r="O239" i="15" l="1"/>
  <c r="G241" i="15"/>
  <c r="D520" i="15"/>
  <c r="K240" i="15"/>
  <c r="L240" i="15"/>
  <c r="M240" i="15"/>
  <c r="O240" i="15" l="1"/>
  <c r="D521" i="15"/>
  <c r="G242" i="15"/>
  <c r="K241" i="15"/>
  <c r="M241" i="15"/>
  <c r="L241" i="15"/>
  <c r="O241" i="15" l="1"/>
  <c r="G243" i="15"/>
  <c r="D522" i="15"/>
  <c r="K242" i="15"/>
  <c r="M242" i="15"/>
  <c r="L242" i="15"/>
  <c r="O242" i="15" l="1"/>
  <c r="G244" i="15"/>
  <c r="D523" i="15"/>
  <c r="M243" i="15"/>
  <c r="K243" i="15"/>
  <c r="L243" i="15"/>
  <c r="O243" i="15" l="1"/>
  <c r="D524" i="15"/>
  <c r="G245" i="15"/>
  <c r="M244" i="15"/>
  <c r="L244" i="15"/>
  <c r="K244" i="15"/>
  <c r="O244" i="15" l="1"/>
  <c r="G246" i="15"/>
  <c r="D525" i="15"/>
  <c r="L245" i="15"/>
  <c r="K245" i="15"/>
  <c r="M245" i="15"/>
  <c r="O245" i="15" l="1"/>
  <c r="G247" i="15"/>
  <c r="D526" i="15"/>
  <c r="M246" i="15"/>
  <c r="L246" i="15"/>
  <c r="K246" i="15"/>
  <c r="O246" i="15" l="1"/>
  <c r="G248" i="15"/>
  <c r="D527" i="15"/>
  <c r="L247" i="15"/>
  <c r="M247" i="15"/>
  <c r="K247" i="15"/>
  <c r="O247" i="15" l="1"/>
  <c r="D528" i="15"/>
  <c r="G249" i="15"/>
  <c r="M248" i="15"/>
  <c r="L248" i="15"/>
  <c r="K248" i="15"/>
  <c r="O248" i="15" l="1"/>
  <c r="G250" i="15"/>
  <c r="D529" i="15"/>
  <c r="M249" i="15"/>
  <c r="K249" i="15"/>
  <c r="L249" i="15"/>
  <c r="O249" i="15" l="1"/>
  <c r="G251" i="15"/>
  <c r="D530" i="15"/>
  <c r="K250" i="15"/>
  <c r="M250" i="15"/>
  <c r="L250" i="15"/>
  <c r="O250" i="15" l="1"/>
  <c r="D531" i="15"/>
  <c r="G252" i="15"/>
  <c r="K251" i="15"/>
  <c r="M251" i="15"/>
  <c r="L251" i="15"/>
  <c r="O251" i="15" l="1"/>
  <c r="G253" i="15"/>
  <c r="D532" i="15"/>
  <c r="M252" i="15"/>
  <c r="K252" i="15"/>
  <c r="L252" i="15"/>
  <c r="O252" i="15" l="1"/>
  <c r="D533" i="15"/>
  <c r="G254" i="15"/>
  <c r="K253" i="15"/>
  <c r="M253" i="15"/>
  <c r="L253" i="15"/>
  <c r="O253" i="15" l="1"/>
  <c r="G255" i="15"/>
  <c r="D534" i="15"/>
  <c r="K254" i="15"/>
  <c r="M254" i="15"/>
  <c r="L254" i="15"/>
  <c r="O254" i="15" l="1"/>
  <c r="D535" i="15"/>
  <c r="G256" i="15"/>
  <c r="M255" i="15"/>
  <c r="L255" i="15"/>
  <c r="K255" i="15"/>
  <c r="O255" i="15" l="1"/>
  <c r="D536" i="15"/>
  <c r="G257" i="15"/>
  <c r="K256" i="15"/>
  <c r="M256" i="15"/>
  <c r="L256" i="15"/>
  <c r="O256" i="15" l="1"/>
  <c r="G258" i="15"/>
  <c r="D537" i="15"/>
  <c r="M257" i="15"/>
  <c r="L257" i="15"/>
  <c r="K257" i="15"/>
  <c r="O257" i="15" l="1"/>
  <c r="D538" i="15"/>
  <c r="G259" i="15"/>
  <c r="M258" i="15"/>
  <c r="K258" i="15"/>
  <c r="L258" i="15"/>
  <c r="O258" i="15" l="1"/>
  <c r="D539" i="15"/>
  <c r="G260" i="15"/>
  <c r="K259" i="15"/>
  <c r="L259" i="15"/>
  <c r="M259" i="15"/>
  <c r="O259" i="15" l="1"/>
  <c r="G261" i="15"/>
  <c r="D540" i="15"/>
  <c r="K260" i="15"/>
  <c r="M260" i="15"/>
  <c r="L260" i="15"/>
  <c r="O260" i="15" l="1"/>
  <c r="D541" i="15"/>
  <c r="G262" i="15"/>
  <c r="M261" i="15"/>
  <c r="L261" i="15"/>
  <c r="K261" i="15"/>
  <c r="O261" i="15" l="1"/>
  <c r="D542" i="15"/>
  <c r="G263" i="15"/>
  <c r="M262" i="15"/>
  <c r="K262" i="15"/>
  <c r="L262" i="15"/>
  <c r="O262" i="15" l="1"/>
  <c r="G264" i="15"/>
  <c r="D543" i="15"/>
  <c r="L263" i="15"/>
  <c r="M263" i="15"/>
  <c r="K263" i="15"/>
  <c r="O263" i="15" l="1"/>
  <c r="D544" i="15"/>
  <c r="G265" i="15"/>
  <c r="K264" i="15"/>
  <c r="L264" i="15"/>
  <c r="M264" i="15"/>
  <c r="O264" i="15" l="1"/>
  <c r="G266" i="15"/>
  <c r="D545" i="15"/>
  <c r="M265" i="15"/>
  <c r="L265" i="15"/>
  <c r="K265" i="15"/>
  <c r="O265" i="15" l="1"/>
  <c r="D546" i="15"/>
  <c r="G267" i="15"/>
  <c r="L266" i="15"/>
  <c r="M266" i="15"/>
  <c r="K266" i="15"/>
  <c r="O266" i="15" l="1"/>
  <c r="G268" i="15"/>
  <c r="D547" i="15"/>
  <c r="M267" i="15"/>
  <c r="K267" i="15"/>
  <c r="L267" i="15"/>
  <c r="O267" i="15" l="1"/>
  <c r="D548" i="15"/>
  <c r="G269" i="15"/>
  <c r="M268" i="15"/>
  <c r="L268" i="15"/>
  <c r="K268" i="15"/>
  <c r="O268" i="15" l="1"/>
  <c r="G270" i="15"/>
  <c r="D549" i="15"/>
  <c r="M269" i="15"/>
  <c r="K269" i="15"/>
  <c r="L269" i="15"/>
  <c r="O269" i="15" l="1"/>
  <c r="G271" i="15"/>
  <c r="D550" i="15"/>
  <c r="L270" i="15"/>
  <c r="M270" i="15"/>
  <c r="K270" i="15"/>
  <c r="O270" i="15" l="1"/>
  <c r="D551" i="15"/>
  <c r="G272" i="15"/>
  <c r="K271" i="15"/>
  <c r="L271" i="15"/>
  <c r="M271" i="15"/>
  <c r="O271" i="15" l="1"/>
  <c r="G273" i="15"/>
  <c r="D552" i="15"/>
  <c r="M272" i="15"/>
  <c r="K272" i="15"/>
  <c r="L272" i="15"/>
  <c r="O272" i="15" l="1"/>
  <c r="D553" i="15"/>
  <c r="G274" i="15"/>
  <c r="K273" i="15"/>
  <c r="M273" i="15"/>
  <c r="L273" i="15"/>
  <c r="O273" i="15" l="1"/>
  <c r="G275" i="15"/>
  <c r="D554" i="15"/>
  <c r="K274" i="15"/>
  <c r="L274" i="15"/>
  <c r="M274" i="15"/>
  <c r="O274" i="15" l="1"/>
  <c r="D555" i="15"/>
  <c r="G276" i="15"/>
  <c r="K275" i="15"/>
  <c r="M275" i="15"/>
  <c r="L275" i="15"/>
  <c r="O275" i="15" l="1"/>
  <c r="G277" i="15"/>
  <c r="D556" i="15"/>
  <c r="K276" i="15"/>
  <c r="M276" i="15"/>
  <c r="L276" i="15"/>
  <c r="O276" i="15" l="1"/>
  <c r="D557" i="15"/>
  <c r="G278" i="15"/>
  <c r="M277" i="15"/>
  <c r="L277" i="15"/>
  <c r="K277" i="15"/>
  <c r="O277" i="15" l="1"/>
  <c r="G279" i="15"/>
  <c r="D558" i="15"/>
  <c r="K278" i="15"/>
  <c r="L278" i="15"/>
  <c r="M278" i="15"/>
  <c r="O278" i="15" l="1"/>
  <c r="D559" i="15"/>
  <c r="G280" i="15"/>
  <c r="L279" i="15"/>
  <c r="M279" i="15"/>
  <c r="K279" i="15"/>
  <c r="O279" i="15" l="1"/>
  <c r="G281" i="15"/>
  <c r="D560" i="15"/>
  <c r="M280" i="15"/>
  <c r="K280" i="15"/>
  <c r="L280" i="15"/>
  <c r="O280" i="15" l="1"/>
  <c r="D561" i="15"/>
  <c r="G282" i="15"/>
  <c r="K281" i="15"/>
  <c r="L281" i="15"/>
  <c r="M281" i="15"/>
  <c r="O281" i="15" l="1"/>
  <c r="G283" i="15"/>
  <c r="D562" i="15"/>
  <c r="K282" i="15"/>
  <c r="L282" i="15"/>
  <c r="M282" i="15"/>
  <c r="O282" i="15" l="1"/>
  <c r="G284" i="15"/>
  <c r="D563" i="15"/>
  <c r="M283" i="15"/>
  <c r="K283" i="15"/>
  <c r="L283" i="15"/>
  <c r="O283" i="15" l="1"/>
  <c r="D564" i="15"/>
  <c r="G285" i="15"/>
  <c r="K284" i="15"/>
  <c r="L284" i="15"/>
  <c r="M284" i="15"/>
  <c r="O284" i="15" l="1"/>
  <c r="D565" i="15"/>
  <c r="G286" i="15"/>
  <c r="M285" i="15"/>
  <c r="L285" i="15"/>
  <c r="K285" i="15"/>
  <c r="O285" i="15" l="1"/>
  <c r="G287" i="15"/>
  <c r="D566" i="15"/>
  <c r="M286" i="15"/>
  <c r="L286" i="15"/>
  <c r="K286" i="15"/>
  <c r="O286" i="15" l="1"/>
  <c r="D567" i="15"/>
  <c r="G288" i="15"/>
  <c r="K287" i="15"/>
  <c r="L287" i="15"/>
  <c r="M287" i="15"/>
  <c r="O287" i="15" l="1"/>
  <c r="G289" i="15"/>
  <c r="D568" i="15"/>
  <c r="L288" i="15"/>
  <c r="K288" i="15"/>
  <c r="M288" i="15"/>
  <c r="O288" i="15" l="1"/>
  <c r="D569" i="15"/>
  <c r="G290" i="15"/>
  <c r="M289" i="15"/>
  <c r="L289" i="15"/>
  <c r="K289" i="15"/>
  <c r="O289" i="15" l="1"/>
  <c r="G291" i="15"/>
  <c r="D570" i="15"/>
  <c r="L290" i="15"/>
  <c r="M290" i="15"/>
  <c r="K290" i="15"/>
  <c r="O290" i="15" l="1"/>
  <c r="D571" i="15"/>
  <c r="G292" i="15"/>
  <c r="M291" i="15"/>
  <c r="K291" i="15"/>
  <c r="L291" i="15"/>
  <c r="O291" i="15" l="1"/>
  <c r="G293" i="15"/>
  <c r="D572" i="15"/>
  <c r="L292" i="15"/>
  <c r="K292" i="15"/>
  <c r="M292" i="15"/>
  <c r="O292" i="15" l="1"/>
  <c r="D573" i="15"/>
  <c r="G294" i="15"/>
  <c r="K293" i="15"/>
  <c r="L293" i="15"/>
  <c r="M293" i="15"/>
  <c r="O293" i="15" l="1"/>
  <c r="G295" i="15"/>
  <c r="D574" i="15"/>
  <c r="K294" i="15"/>
  <c r="M294" i="15"/>
  <c r="L294" i="15"/>
  <c r="O294" i="15" l="1"/>
  <c r="D575" i="15"/>
  <c r="G296" i="15"/>
  <c r="K295" i="15"/>
  <c r="L295" i="15"/>
  <c r="M295" i="15"/>
  <c r="O295" i="15" l="1"/>
  <c r="G297" i="15"/>
  <c r="D576" i="15"/>
  <c r="K296" i="15"/>
  <c r="M296" i="15"/>
  <c r="L296" i="15"/>
  <c r="O296" i="15" l="1"/>
  <c r="D577" i="15"/>
  <c r="G298" i="15"/>
  <c r="L297" i="15"/>
  <c r="M297" i="15"/>
  <c r="K297" i="15"/>
  <c r="O297" i="15" l="1"/>
  <c r="G299" i="15"/>
  <c r="D578" i="15"/>
  <c r="L298" i="15"/>
  <c r="M298" i="15"/>
  <c r="K298" i="15"/>
  <c r="O298" i="15" l="1"/>
  <c r="D579" i="15"/>
  <c r="G300" i="15"/>
  <c r="L299" i="15"/>
  <c r="M299" i="15"/>
  <c r="K299" i="15"/>
  <c r="O299" i="15" l="1"/>
  <c r="G301" i="15"/>
  <c r="D580" i="15"/>
  <c r="L300" i="15"/>
  <c r="M300" i="15"/>
  <c r="K300" i="15"/>
  <c r="O300" i="15" l="1"/>
  <c r="G302" i="15"/>
  <c r="D581" i="15"/>
  <c r="M301" i="15"/>
  <c r="K301" i="15"/>
  <c r="L301" i="15"/>
  <c r="O301" i="15" l="1"/>
  <c r="D582" i="15"/>
  <c r="G303" i="15"/>
  <c r="M302" i="15"/>
  <c r="K302" i="15"/>
  <c r="L302" i="15"/>
  <c r="O302" i="15" l="1"/>
  <c r="G304" i="15"/>
  <c r="D583" i="15"/>
  <c r="L303" i="15"/>
  <c r="M303" i="15"/>
  <c r="K303" i="15"/>
  <c r="O303" i="15" l="1"/>
  <c r="D584" i="15"/>
  <c r="G305" i="15"/>
  <c r="M304" i="15"/>
  <c r="L304" i="15"/>
  <c r="K304" i="15"/>
  <c r="O304" i="15" l="1"/>
  <c r="G306" i="15"/>
  <c r="D585" i="15"/>
  <c r="K305" i="15"/>
  <c r="M305" i="15"/>
  <c r="L305" i="15"/>
  <c r="O305" i="15" l="1"/>
  <c r="D586" i="15"/>
  <c r="G307" i="15"/>
  <c r="K306" i="15"/>
  <c r="L306" i="15"/>
  <c r="M306" i="15"/>
  <c r="O306" i="15" l="1"/>
  <c r="G308" i="15"/>
  <c r="D587" i="15"/>
  <c r="M307" i="15"/>
  <c r="K307" i="15"/>
  <c r="L307" i="15"/>
  <c r="O307" i="15" l="1"/>
  <c r="D588" i="15"/>
  <c r="G309" i="15"/>
  <c r="L308" i="15"/>
  <c r="K308" i="15"/>
  <c r="M308" i="15"/>
  <c r="O308" i="15" l="1"/>
  <c r="G310" i="15"/>
  <c r="D589" i="15"/>
  <c r="L309" i="15"/>
  <c r="K309" i="15"/>
  <c r="M309" i="15"/>
  <c r="O309" i="15" l="1"/>
  <c r="D590" i="15"/>
  <c r="G311" i="15"/>
  <c r="M310" i="15"/>
  <c r="K310" i="15"/>
  <c r="L310" i="15"/>
  <c r="O310" i="15" l="1"/>
  <c r="G312" i="15"/>
  <c r="D591" i="15"/>
  <c r="L311" i="15"/>
  <c r="M311" i="15"/>
  <c r="K311" i="15"/>
  <c r="O311" i="15" l="1"/>
  <c r="D592" i="15"/>
  <c r="G313" i="15"/>
  <c r="K312" i="15"/>
  <c r="M312" i="15"/>
  <c r="L312" i="15"/>
  <c r="O312" i="15" l="1"/>
  <c r="G314" i="15"/>
  <c r="D593" i="15"/>
  <c r="M313" i="15"/>
  <c r="L313" i="15"/>
  <c r="K313" i="15"/>
  <c r="O313" i="15" l="1"/>
  <c r="G315" i="15"/>
  <c r="D594" i="15"/>
  <c r="K314" i="15"/>
  <c r="L314" i="15"/>
  <c r="M314" i="15"/>
  <c r="O314" i="15" l="1"/>
  <c r="D595" i="15"/>
  <c r="G316" i="15"/>
  <c r="M315" i="15"/>
  <c r="L315" i="15"/>
  <c r="K315" i="15"/>
  <c r="O315" i="15" l="1"/>
  <c r="G317" i="15"/>
  <c r="D596" i="15"/>
  <c r="M316" i="15"/>
  <c r="K316" i="15"/>
  <c r="L316" i="15"/>
  <c r="O316" i="15" l="1"/>
  <c r="D597" i="15"/>
  <c r="G318" i="15"/>
  <c r="M317" i="15"/>
  <c r="L317" i="15"/>
  <c r="K317" i="15"/>
  <c r="O317" i="15" l="1"/>
  <c r="G319" i="15"/>
  <c r="D598" i="15"/>
  <c r="M318" i="15"/>
  <c r="L318" i="15"/>
  <c r="K318" i="15"/>
  <c r="O318" i="15" l="1"/>
  <c r="G320" i="15"/>
  <c r="D599" i="15"/>
  <c r="K319" i="15"/>
  <c r="L319" i="15"/>
  <c r="M319" i="15"/>
  <c r="O319" i="15" l="1"/>
  <c r="D600" i="15"/>
  <c r="G321" i="15"/>
  <c r="L320" i="15"/>
  <c r="K320" i="15"/>
  <c r="M320" i="15"/>
  <c r="O320" i="15" l="1"/>
  <c r="G322" i="15"/>
  <c r="D601" i="15"/>
  <c r="M321" i="15"/>
  <c r="L321" i="15"/>
  <c r="K321" i="15"/>
  <c r="O321" i="15" l="1"/>
  <c r="G323" i="15"/>
  <c r="D602" i="15"/>
  <c r="L322" i="15"/>
  <c r="M322" i="15"/>
  <c r="K322" i="15"/>
  <c r="O322" i="15" l="1"/>
  <c r="G324" i="15"/>
  <c r="D603" i="15"/>
  <c r="M323" i="15"/>
  <c r="K323" i="15"/>
  <c r="L323" i="15"/>
  <c r="O323" i="15" l="1"/>
  <c r="D604" i="15"/>
  <c r="G325" i="15"/>
  <c r="M324" i="15"/>
  <c r="L324" i="15"/>
  <c r="K324" i="15"/>
  <c r="O324" i="15" l="1"/>
  <c r="D605" i="15"/>
  <c r="G326" i="15"/>
  <c r="K325" i="15"/>
  <c r="L325" i="15"/>
  <c r="M325" i="15"/>
  <c r="O325" i="15" l="1"/>
  <c r="D606" i="15"/>
  <c r="G327" i="15"/>
  <c r="L326" i="15"/>
  <c r="K326" i="15"/>
  <c r="M326" i="15"/>
  <c r="O326" i="15" l="1"/>
  <c r="G328" i="15"/>
  <c r="D607" i="15"/>
  <c r="M327" i="15"/>
  <c r="K327" i="15"/>
  <c r="L327" i="15"/>
  <c r="O327" i="15" l="1"/>
  <c r="D608" i="15"/>
  <c r="G329" i="15"/>
  <c r="M328" i="15"/>
  <c r="K328" i="15"/>
  <c r="L328" i="15"/>
  <c r="O328" i="15" l="1"/>
  <c r="D609" i="15"/>
  <c r="G330" i="15"/>
  <c r="L329" i="15"/>
  <c r="M329" i="15"/>
  <c r="K329" i="15"/>
  <c r="O329" i="15" l="1"/>
  <c r="G331" i="15"/>
  <c r="D610" i="15"/>
  <c r="M330" i="15"/>
  <c r="K330" i="15"/>
  <c r="L330" i="15"/>
  <c r="O330" i="15" l="1"/>
  <c r="D611" i="15"/>
  <c r="G332" i="15"/>
  <c r="M331" i="15"/>
  <c r="K331" i="15"/>
  <c r="L331" i="15"/>
  <c r="O331" i="15" l="1"/>
  <c r="G333" i="15"/>
  <c r="D612" i="15"/>
  <c r="L332" i="15"/>
  <c r="M332" i="15"/>
  <c r="K332" i="15"/>
  <c r="O332" i="15" l="1"/>
  <c r="D613" i="15"/>
  <c r="G334" i="15"/>
  <c r="M333" i="15"/>
  <c r="K333" i="15"/>
  <c r="L333" i="15"/>
  <c r="O333" i="15" l="1"/>
  <c r="D614" i="15"/>
  <c r="G335" i="15"/>
  <c r="M334" i="15"/>
  <c r="L334" i="15"/>
  <c r="K334" i="15"/>
  <c r="O334" i="15" l="1"/>
  <c r="G336" i="15"/>
  <c r="D615" i="15"/>
  <c r="M335" i="15"/>
  <c r="L335" i="15"/>
  <c r="K335" i="15"/>
  <c r="O335" i="15" l="1"/>
  <c r="D616" i="15"/>
  <c r="G337" i="15"/>
  <c r="L336" i="15"/>
  <c r="K336" i="15"/>
  <c r="M336" i="15"/>
  <c r="O336" i="15" l="1"/>
  <c r="G338" i="15"/>
  <c r="D617" i="15"/>
  <c r="L337" i="15"/>
  <c r="M337" i="15"/>
  <c r="K337" i="15"/>
  <c r="O337" i="15" l="1"/>
  <c r="D618" i="15"/>
  <c r="G339" i="15"/>
  <c r="K338" i="15"/>
  <c r="L338" i="15"/>
  <c r="M338" i="15"/>
  <c r="O338" i="15" l="1"/>
  <c r="G340" i="15"/>
  <c r="D619" i="15"/>
  <c r="K339" i="15"/>
  <c r="L339" i="15"/>
  <c r="M339" i="15"/>
  <c r="O339" i="15" l="1"/>
  <c r="D620" i="15"/>
  <c r="G341" i="15"/>
  <c r="K340" i="15"/>
  <c r="M340" i="15"/>
  <c r="L340" i="15"/>
  <c r="O340" i="15" l="1"/>
  <c r="G342" i="15"/>
  <c r="D621" i="15"/>
  <c r="M341" i="15"/>
  <c r="L341" i="15"/>
  <c r="K341" i="15"/>
  <c r="O341" i="15" l="1"/>
  <c r="D622" i="15"/>
  <c r="G343" i="15"/>
  <c r="K342" i="15"/>
  <c r="L342" i="15"/>
  <c r="M342" i="15"/>
  <c r="O342" i="15" l="1"/>
  <c r="G344" i="15"/>
  <c r="D623" i="15"/>
  <c r="L343" i="15"/>
  <c r="M343" i="15"/>
  <c r="K343" i="15"/>
  <c r="O343" i="15" l="1"/>
  <c r="D624" i="15"/>
  <c r="G345" i="15"/>
  <c r="K344" i="15"/>
  <c r="M344" i="15"/>
  <c r="L344" i="15"/>
  <c r="O344" i="15" l="1"/>
  <c r="G346" i="15"/>
  <c r="D625" i="15"/>
  <c r="M345" i="15"/>
  <c r="L345" i="15"/>
  <c r="K345" i="15"/>
  <c r="O345" i="15" l="1"/>
  <c r="D626" i="15"/>
  <c r="G347" i="15"/>
  <c r="K346" i="15"/>
  <c r="L346" i="15"/>
  <c r="M346" i="15"/>
  <c r="O346" i="15" l="1"/>
  <c r="G348" i="15"/>
  <c r="D627" i="15"/>
  <c r="M347" i="15"/>
  <c r="L347" i="15"/>
  <c r="K347" i="15"/>
  <c r="O347" i="15" l="1"/>
  <c r="D628" i="15"/>
  <c r="G349" i="15"/>
  <c r="K348" i="15"/>
  <c r="L348" i="15"/>
  <c r="M348" i="15"/>
  <c r="O348" i="15" l="1"/>
  <c r="G350" i="15"/>
  <c r="D629" i="15"/>
  <c r="M349" i="15"/>
  <c r="K349" i="15"/>
  <c r="L349" i="15"/>
  <c r="O349" i="15" l="1"/>
  <c r="D630" i="15"/>
  <c r="G351" i="15"/>
  <c r="M350" i="15"/>
  <c r="K350" i="15"/>
  <c r="L350" i="15"/>
  <c r="O350" i="15" l="1"/>
  <c r="G352" i="15"/>
  <c r="D631" i="15"/>
  <c r="K351" i="15"/>
  <c r="L351" i="15"/>
  <c r="M351" i="15"/>
  <c r="O351" i="15" l="1"/>
  <c r="D632" i="15"/>
  <c r="G353" i="15"/>
  <c r="M352" i="15"/>
  <c r="K352" i="15"/>
  <c r="L352" i="15"/>
  <c r="O352" i="15" l="1"/>
  <c r="G354" i="15"/>
  <c r="D633" i="15"/>
  <c r="M353" i="15"/>
  <c r="L353" i="15"/>
  <c r="K353" i="15"/>
  <c r="O353" i="15" l="1"/>
  <c r="D634" i="15"/>
  <c r="G355" i="15"/>
  <c r="L354" i="15"/>
  <c r="K354" i="15"/>
  <c r="M354" i="15"/>
  <c r="O354" i="15" l="1"/>
  <c r="G356" i="15"/>
  <c r="D635" i="15"/>
  <c r="M355" i="15"/>
  <c r="K355" i="15"/>
  <c r="L355" i="15"/>
  <c r="O355" i="15" l="1"/>
  <c r="D636" i="15"/>
  <c r="G357" i="15"/>
  <c r="L356" i="15"/>
  <c r="K356" i="15"/>
  <c r="M356" i="15"/>
  <c r="O356" i="15" l="1"/>
  <c r="G358" i="15"/>
  <c r="D637" i="15"/>
  <c r="M357" i="15"/>
  <c r="K357" i="15"/>
  <c r="L357" i="15"/>
  <c r="O357" i="15" l="1"/>
  <c r="D638" i="15"/>
  <c r="G359" i="15"/>
  <c r="K358" i="15"/>
  <c r="M358" i="15"/>
  <c r="L358" i="15"/>
  <c r="O358" i="15" l="1"/>
  <c r="G360" i="15"/>
  <c r="D639" i="15"/>
  <c r="M359" i="15"/>
  <c r="K359" i="15"/>
  <c r="L359" i="15"/>
  <c r="O359" i="15" l="1"/>
  <c r="D640" i="15"/>
  <c r="G361" i="15"/>
  <c r="K360" i="15"/>
  <c r="L360" i="15"/>
  <c r="M360" i="15"/>
  <c r="O360" i="15" l="1"/>
  <c r="G362" i="15"/>
  <c r="D641" i="15"/>
  <c r="M361" i="15"/>
  <c r="L361" i="15"/>
  <c r="K361" i="15"/>
  <c r="O361" i="15" l="1"/>
  <c r="D642" i="15"/>
  <c r="G363" i="15"/>
  <c r="K362" i="15"/>
  <c r="L362" i="15"/>
  <c r="M362" i="15"/>
  <c r="O362" i="15" l="1"/>
  <c r="G364" i="15"/>
  <c r="D643" i="15"/>
  <c r="M363" i="15"/>
  <c r="K363" i="15"/>
  <c r="L363" i="15"/>
  <c r="O363" i="15" l="1"/>
  <c r="D644" i="15"/>
  <c r="G365" i="15"/>
  <c r="L364" i="15"/>
  <c r="K364" i="15"/>
  <c r="M364" i="15"/>
  <c r="O364" i="15" l="1"/>
  <c r="G366" i="15"/>
  <c r="D645" i="15"/>
  <c r="M365" i="15"/>
  <c r="K365" i="15"/>
  <c r="L365" i="15"/>
  <c r="O365" i="15" l="1"/>
  <c r="D646" i="15"/>
  <c r="G367" i="15"/>
  <c r="L366" i="15"/>
  <c r="M366" i="15"/>
  <c r="K366" i="15"/>
  <c r="O366" i="15" l="1"/>
  <c r="D647" i="15"/>
  <c r="G368" i="15"/>
  <c r="M367" i="15"/>
  <c r="K367" i="15"/>
  <c r="L367" i="15"/>
  <c r="O367" i="15" l="1"/>
  <c r="G369" i="15"/>
  <c r="D648" i="15"/>
  <c r="K368" i="15"/>
  <c r="L368" i="15"/>
  <c r="M368" i="15"/>
  <c r="O368" i="15" l="1"/>
  <c r="G370" i="15"/>
  <c r="D649" i="15"/>
  <c r="M369" i="15"/>
  <c r="L369" i="15"/>
  <c r="K369" i="15"/>
  <c r="O369" i="15" l="1"/>
  <c r="D650" i="15"/>
  <c r="G371" i="15"/>
  <c r="M370" i="15"/>
  <c r="K370" i="15"/>
  <c r="L370" i="15"/>
  <c r="O370" i="15" l="1"/>
  <c r="G372" i="15"/>
  <c r="D651" i="15"/>
  <c r="K371" i="15"/>
  <c r="L371" i="15"/>
  <c r="M371" i="15"/>
  <c r="O371" i="15" l="1"/>
  <c r="D652" i="15"/>
  <c r="G373" i="15"/>
  <c r="M372" i="15"/>
  <c r="L372" i="15"/>
  <c r="K372" i="15"/>
  <c r="O372" i="15" l="1"/>
  <c r="G374" i="15"/>
  <c r="M373" i="15"/>
  <c r="L373" i="15"/>
  <c r="K373" i="15"/>
  <c r="O373" i="15" l="1"/>
  <c r="G375" i="15"/>
  <c r="K374" i="15"/>
  <c r="L374" i="15"/>
  <c r="M374" i="15"/>
  <c r="O374" i="15" l="1"/>
  <c r="G376" i="15"/>
  <c r="L375" i="15"/>
  <c r="M375" i="15"/>
  <c r="K375" i="15"/>
  <c r="O375" i="15" l="1"/>
  <c r="G377" i="15"/>
  <c r="M376" i="15"/>
  <c r="L376" i="15"/>
  <c r="K376" i="15"/>
  <c r="O376" i="15" l="1"/>
  <c r="G378" i="15"/>
  <c r="M377" i="15"/>
  <c r="L377" i="15"/>
  <c r="K377" i="15"/>
  <c r="O377" i="15" l="1"/>
  <c r="G379" i="15"/>
  <c r="M378" i="15"/>
  <c r="K378" i="15"/>
  <c r="L378" i="15"/>
  <c r="O378" i="15" l="1"/>
  <c r="G380" i="15"/>
  <c r="K379" i="15"/>
  <c r="L379" i="15"/>
  <c r="M379" i="15"/>
  <c r="O379" i="15" l="1"/>
  <c r="G381" i="15"/>
  <c r="L380" i="15"/>
  <c r="M380" i="15"/>
  <c r="K380" i="15"/>
  <c r="O380" i="15" l="1"/>
  <c r="G382" i="15"/>
  <c r="K381" i="15"/>
  <c r="M381" i="15"/>
  <c r="L381" i="15"/>
  <c r="O381" i="15" l="1"/>
  <c r="G383" i="15"/>
  <c r="K382" i="15"/>
  <c r="M382" i="15"/>
  <c r="L382" i="15"/>
  <c r="O382" i="15" l="1"/>
  <c r="G384" i="15"/>
  <c r="M383" i="15"/>
  <c r="L383" i="15"/>
  <c r="K383" i="15"/>
  <c r="O383" i="15" l="1"/>
  <c r="G385" i="15"/>
  <c r="M384" i="15"/>
  <c r="L384" i="15"/>
  <c r="K384" i="15"/>
  <c r="O384" i="15" l="1"/>
  <c r="G386" i="15"/>
  <c r="M385" i="15"/>
  <c r="L385" i="15"/>
  <c r="K385" i="15"/>
  <c r="O385" i="15" l="1"/>
  <c r="G387" i="15"/>
  <c r="L386" i="15"/>
  <c r="M386" i="15"/>
  <c r="K386" i="15"/>
  <c r="O386" i="15" l="1"/>
  <c r="G388" i="15"/>
  <c r="M387" i="15"/>
  <c r="L387" i="15"/>
  <c r="K387" i="15"/>
  <c r="O387" i="15" l="1"/>
  <c r="G389" i="15"/>
  <c r="K388" i="15"/>
  <c r="L388" i="15"/>
  <c r="M388" i="15"/>
  <c r="O388" i="15" l="1"/>
  <c r="G390" i="15"/>
  <c r="M389" i="15"/>
  <c r="K389" i="15"/>
  <c r="L389" i="15"/>
  <c r="O389" i="15" l="1"/>
  <c r="G391" i="15"/>
  <c r="K390" i="15"/>
  <c r="M390" i="15"/>
  <c r="L390" i="15"/>
  <c r="O390" i="15" l="1"/>
  <c r="G392" i="15"/>
  <c r="M391" i="15"/>
  <c r="L391" i="15"/>
  <c r="K391" i="15"/>
  <c r="O391" i="15" l="1"/>
  <c r="G393" i="15"/>
  <c r="K392" i="15"/>
  <c r="M392" i="15"/>
  <c r="L392" i="15"/>
  <c r="O392" i="15" l="1"/>
  <c r="G394" i="15"/>
  <c r="K393" i="15"/>
  <c r="M393" i="15"/>
  <c r="L393" i="15"/>
  <c r="O393" i="15" l="1"/>
  <c r="G395" i="15"/>
  <c r="L394" i="15"/>
  <c r="M394" i="15"/>
  <c r="K394" i="15"/>
  <c r="O394" i="15" l="1"/>
  <c r="G396" i="15"/>
  <c r="L395" i="15"/>
  <c r="K395" i="15"/>
  <c r="M395" i="15"/>
  <c r="O395" i="15" l="1"/>
  <c r="G397" i="15"/>
  <c r="K396" i="15"/>
  <c r="M396" i="15"/>
  <c r="L396" i="15"/>
  <c r="O396" i="15" l="1"/>
  <c r="G398" i="15"/>
  <c r="M397" i="15"/>
  <c r="K397" i="15"/>
  <c r="L397" i="15"/>
  <c r="O397" i="15" l="1"/>
  <c r="G399" i="15"/>
  <c r="K398" i="15"/>
  <c r="L398" i="15"/>
  <c r="M398" i="15"/>
  <c r="O398" i="15" l="1"/>
  <c r="G400" i="15"/>
  <c r="M399" i="15"/>
  <c r="L399" i="15"/>
  <c r="K399" i="15"/>
  <c r="O399" i="15" l="1"/>
  <c r="G401" i="15"/>
  <c r="M400" i="15"/>
  <c r="L400" i="15"/>
  <c r="K400" i="15"/>
  <c r="O400" i="15" l="1"/>
  <c r="G402" i="15"/>
  <c r="M401" i="15"/>
  <c r="L401" i="15"/>
  <c r="K401" i="15"/>
  <c r="O401" i="15" l="1"/>
  <c r="G403" i="15"/>
  <c r="L402" i="15"/>
  <c r="K402" i="15"/>
  <c r="M402" i="15"/>
  <c r="O402" i="15" l="1"/>
  <c r="G404" i="15"/>
  <c r="L403" i="15"/>
  <c r="K403" i="15"/>
  <c r="M403" i="15"/>
  <c r="O403" i="15" l="1"/>
  <c r="G405" i="15"/>
  <c r="L404" i="15"/>
  <c r="M404" i="15"/>
  <c r="K404" i="15"/>
  <c r="O404" i="15" l="1"/>
  <c r="G406" i="15"/>
  <c r="M405" i="15"/>
  <c r="K405" i="15"/>
  <c r="L405" i="15"/>
  <c r="O405" i="15" l="1"/>
  <c r="G407" i="15"/>
  <c r="K406" i="15"/>
  <c r="L406" i="15"/>
  <c r="M406" i="15"/>
  <c r="O406" i="15" l="1"/>
  <c r="G408" i="15"/>
  <c r="K407" i="15"/>
  <c r="M407" i="15"/>
  <c r="L407" i="15"/>
  <c r="O407" i="15" l="1"/>
  <c r="G409" i="15"/>
  <c r="K408" i="15"/>
  <c r="L408" i="15"/>
  <c r="M408" i="15"/>
  <c r="O408" i="15" l="1"/>
  <c r="G410" i="15"/>
  <c r="M409" i="15"/>
  <c r="K409" i="15"/>
  <c r="L409" i="15"/>
  <c r="O409" i="15" l="1"/>
  <c r="G411" i="15"/>
  <c r="M410" i="15"/>
  <c r="L410" i="15"/>
  <c r="K410" i="15"/>
  <c r="O410" i="15" l="1"/>
  <c r="G412" i="15"/>
  <c r="M411" i="15"/>
  <c r="K411" i="15"/>
  <c r="L411" i="15"/>
  <c r="O411" i="15" l="1"/>
  <c r="G413" i="15"/>
  <c r="K412" i="15"/>
  <c r="L412" i="15"/>
  <c r="M412" i="15"/>
  <c r="O412" i="15" l="1"/>
  <c r="G414" i="15"/>
  <c r="M413" i="15"/>
  <c r="L413" i="15"/>
  <c r="K413" i="15"/>
  <c r="O413" i="15" l="1"/>
  <c r="G415" i="15"/>
  <c r="K414" i="15"/>
  <c r="L414" i="15"/>
  <c r="M414" i="15"/>
  <c r="O414" i="15" l="1"/>
  <c r="G416" i="15"/>
  <c r="M415" i="15"/>
  <c r="L415" i="15"/>
  <c r="K415" i="15"/>
  <c r="O415" i="15" l="1"/>
  <c r="G417" i="15"/>
  <c r="L416" i="15"/>
  <c r="M416" i="15"/>
  <c r="K416" i="15"/>
  <c r="O416" i="15" l="1"/>
  <c r="G418" i="15"/>
  <c r="M417" i="15"/>
  <c r="K417" i="15"/>
  <c r="L417" i="15"/>
  <c r="O417" i="15" l="1"/>
  <c r="G419" i="15"/>
  <c r="L418" i="15"/>
  <c r="M418" i="15"/>
  <c r="K418" i="15"/>
  <c r="O418" i="15" l="1"/>
  <c r="G420" i="15"/>
  <c r="M419" i="15"/>
  <c r="K419" i="15"/>
  <c r="L419" i="15"/>
  <c r="O419" i="15" l="1"/>
  <c r="G421" i="15"/>
  <c r="M420" i="15"/>
  <c r="K420" i="15"/>
  <c r="L420" i="15"/>
  <c r="O420" i="15" l="1"/>
  <c r="G422" i="15"/>
  <c r="M421" i="15"/>
  <c r="L421" i="15"/>
  <c r="K421" i="15"/>
  <c r="O421" i="15" l="1"/>
  <c r="G423" i="15"/>
  <c r="M422" i="15"/>
  <c r="K422" i="15"/>
  <c r="L422" i="15"/>
  <c r="O422" i="15" l="1"/>
  <c r="G424" i="15"/>
  <c r="M423" i="15"/>
  <c r="K423" i="15"/>
  <c r="L423" i="15"/>
  <c r="O423" i="15" l="1"/>
  <c r="G425" i="15"/>
  <c r="L424" i="15"/>
  <c r="K424" i="15"/>
  <c r="M424" i="15"/>
  <c r="O424" i="15" l="1"/>
  <c r="G426" i="15"/>
  <c r="K425" i="15"/>
  <c r="L425" i="15"/>
  <c r="M425" i="15"/>
  <c r="O425" i="15" l="1"/>
  <c r="G427" i="15"/>
  <c r="K426" i="15"/>
  <c r="M426" i="15"/>
  <c r="L426" i="15"/>
  <c r="O426" i="15" l="1"/>
  <c r="G428" i="15"/>
  <c r="M427" i="15"/>
  <c r="L427" i="15"/>
  <c r="K427" i="15"/>
  <c r="O427" i="15" l="1"/>
  <c r="G429" i="15"/>
  <c r="L428" i="15"/>
  <c r="K428" i="15"/>
  <c r="M428" i="15"/>
  <c r="O428" i="15" l="1"/>
  <c r="G430" i="15"/>
  <c r="K429" i="15"/>
  <c r="L429" i="15"/>
  <c r="M429" i="15"/>
  <c r="O429" i="15" l="1"/>
  <c r="G431" i="15"/>
  <c r="K430" i="15"/>
  <c r="M430" i="15"/>
  <c r="L430" i="15"/>
  <c r="O430" i="15" l="1"/>
  <c r="G432" i="15"/>
  <c r="K431" i="15"/>
  <c r="M431" i="15"/>
  <c r="L431" i="15"/>
  <c r="O431" i="15" l="1"/>
  <c r="G433" i="15"/>
  <c r="L432" i="15"/>
  <c r="K432" i="15"/>
  <c r="M432" i="15"/>
  <c r="O432" i="15" l="1"/>
  <c r="G434" i="15"/>
  <c r="K433" i="15"/>
  <c r="L433" i="15"/>
  <c r="M433" i="15"/>
  <c r="O433" i="15" l="1"/>
  <c r="G435" i="15"/>
  <c r="K434" i="15"/>
  <c r="M434" i="15"/>
  <c r="L434" i="15"/>
  <c r="O434" i="15" l="1"/>
  <c r="G436" i="15"/>
  <c r="L435" i="15"/>
  <c r="K435" i="15"/>
  <c r="M435" i="15"/>
  <c r="O435" i="15" l="1"/>
  <c r="G437" i="15"/>
  <c r="K436" i="15"/>
  <c r="L436" i="15"/>
  <c r="M436" i="15"/>
  <c r="O436" i="15" l="1"/>
  <c r="G438" i="15"/>
  <c r="L437" i="15"/>
  <c r="K437" i="15"/>
  <c r="M437" i="15"/>
  <c r="O437" i="15" l="1"/>
  <c r="G439" i="15"/>
  <c r="K438" i="15"/>
  <c r="L438" i="15"/>
  <c r="M438" i="15"/>
  <c r="O438" i="15" l="1"/>
  <c r="G440" i="15"/>
  <c r="K439" i="15"/>
  <c r="L439" i="15"/>
  <c r="M439" i="15"/>
  <c r="O439" i="15" l="1"/>
  <c r="G441" i="15"/>
  <c r="L440" i="15"/>
  <c r="K440" i="15"/>
  <c r="M440" i="15"/>
  <c r="O440" i="15" l="1"/>
  <c r="G442" i="15"/>
  <c r="M441" i="15"/>
  <c r="L441" i="15"/>
  <c r="K441" i="15"/>
  <c r="O441" i="15" l="1"/>
  <c r="G443" i="15"/>
  <c r="M442" i="15"/>
  <c r="K442" i="15"/>
  <c r="L442" i="15"/>
  <c r="O442" i="15" l="1"/>
  <c r="G444" i="15"/>
  <c r="K443" i="15"/>
  <c r="M443" i="15"/>
  <c r="L443" i="15"/>
  <c r="O443" i="15" l="1"/>
  <c r="G445" i="15"/>
  <c r="L444" i="15"/>
  <c r="K444" i="15"/>
  <c r="M444" i="15"/>
  <c r="O444" i="15" l="1"/>
  <c r="G446" i="15"/>
  <c r="K445" i="15"/>
  <c r="M445" i="15"/>
  <c r="L445" i="15"/>
  <c r="O445" i="15" l="1"/>
  <c r="G447" i="15"/>
  <c r="K446" i="15"/>
  <c r="L446" i="15"/>
  <c r="M446" i="15"/>
  <c r="O446" i="15" l="1"/>
  <c r="G448" i="15"/>
  <c r="L447" i="15"/>
  <c r="K447" i="15"/>
  <c r="M447" i="15"/>
  <c r="O447" i="15" l="1"/>
  <c r="G449" i="15"/>
  <c r="K448" i="15"/>
  <c r="L448" i="15"/>
  <c r="M448" i="15"/>
  <c r="O448" i="15" l="1"/>
  <c r="G450" i="15"/>
  <c r="K449" i="15"/>
  <c r="L449" i="15"/>
  <c r="M449" i="15"/>
  <c r="O449" i="15" l="1"/>
  <c r="G451" i="15"/>
  <c r="M450" i="15"/>
  <c r="L450" i="15"/>
  <c r="K450" i="15"/>
  <c r="O450" i="15" l="1"/>
  <c r="G452" i="15"/>
  <c r="K451" i="15"/>
  <c r="L451" i="15"/>
  <c r="M451" i="15"/>
  <c r="O451" i="15" l="1"/>
  <c r="G453" i="15"/>
  <c r="L452" i="15"/>
  <c r="M452" i="15"/>
  <c r="K452" i="15"/>
  <c r="O452" i="15" l="1"/>
  <c r="G454" i="15"/>
  <c r="L453" i="15"/>
  <c r="K453" i="15"/>
  <c r="M453" i="15"/>
  <c r="O453" i="15" l="1"/>
  <c r="G455" i="15"/>
  <c r="M454" i="15"/>
  <c r="L454" i="15"/>
  <c r="K454" i="15"/>
  <c r="O454" i="15" l="1"/>
  <c r="G456" i="15"/>
  <c r="K455" i="15"/>
  <c r="L455" i="15"/>
  <c r="M455" i="15"/>
  <c r="O455" i="15" l="1"/>
  <c r="G457" i="15"/>
  <c r="K456" i="15"/>
  <c r="L456" i="15"/>
  <c r="M456" i="15"/>
  <c r="O456" i="15" l="1"/>
  <c r="G458" i="15"/>
  <c r="K457" i="15"/>
  <c r="M457" i="15"/>
  <c r="L457" i="15"/>
  <c r="O457" i="15" l="1"/>
  <c r="G459" i="15"/>
  <c r="M458" i="15"/>
  <c r="K458" i="15"/>
  <c r="L458" i="15"/>
  <c r="O458" i="15" l="1"/>
  <c r="G460" i="15"/>
  <c r="M459" i="15"/>
  <c r="K459" i="15"/>
  <c r="L459" i="15"/>
  <c r="O459" i="15" l="1"/>
  <c r="G461" i="15"/>
  <c r="M460" i="15"/>
  <c r="K460" i="15"/>
  <c r="L460" i="15"/>
  <c r="O460" i="15" l="1"/>
  <c r="G462" i="15"/>
  <c r="M461" i="15"/>
  <c r="L461" i="15"/>
  <c r="K461" i="15"/>
  <c r="O461" i="15" l="1"/>
  <c r="G463" i="15"/>
  <c r="K462" i="15"/>
  <c r="M462" i="15"/>
  <c r="L462" i="15"/>
  <c r="O462" i="15" l="1"/>
  <c r="G464" i="15"/>
  <c r="M463" i="15"/>
  <c r="K463" i="15"/>
  <c r="L463" i="15"/>
  <c r="O463" i="15" l="1"/>
  <c r="G465" i="15"/>
  <c r="L464" i="15"/>
  <c r="M464" i="15"/>
  <c r="K464" i="15"/>
  <c r="O464" i="15" l="1"/>
  <c r="G466" i="15"/>
  <c r="K465" i="15"/>
  <c r="L465" i="15"/>
  <c r="M465" i="15"/>
  <c r="O465" i="15" l="1"/>
  <c r="G467" i="15"/>
  <c r="K466" i="15"/>
  <c r="M466" i="15"/>
  <c r="L466" i="15"/>
  <c r="O466" i="15" l="1"/>
  <c r="G468" i="15"/>
  <c r="L467" i="15"/>
  <c r="M467" i="15"/>
  <c r="K467" i="15"/>
  <c r="O467" i="15" l="1"/>
  <c r="G469" i="15"/>
  <c r="L468" i="15"/>
  <c r="K468" i="15"/>
  <c r="M468" i="15"/>
  <c r="O468" i="15" l="1"/>
  <c r="G470" i="15"/>
  <c r="K469" i="15"/>
  <c r="L469" i="15"/>
  <c r="M469" i="15"/>
  <c r="O469" i="15" l="1"/>
  <c r="G471" i="15"/>
  <c r="L470" i="15"/>
  <c r="K470" i="15"/>
  <c r="M470" i="15"/>
  <c r="O470" i="15" l="1"/>
  <c r="G472" i="15"/>
  <c r="M471" i="15"/>
  <c r="L471" i="15"/>
  <c r="K471" i="15"/>
  <c r="O471" i="15" l="1"/>
  <c r="G473" i="15"/>
  <c r="M472" i="15"/>
  <c r="L472" i="15"/>
  <c r="K472" i="15"/>
  <c r="O472" i="15" l="1"/>
  <c r="G474" i="15"/>
  <c r="M473" i="15"/>
  <c r="L473" i="15"/>
  <c r="K473" i="15"/>
  <c r="O473" i="15" l="1"/>
  <c r="G475" i="15"/>
  <c r="K474" i="15"/>
  <c r="L474" i="15"/>
  <c r="M474" i="15"/>
  <c r="O474" i="15" l="1"/>
  <c r="G476" i="15"/>
  <c r="M475" i="15"/>
  <c r="L475" i="15"/>
  <c r="K475" i="15"/>
  <c r="O475" i="15" l="1"/>
  <c r="G477" i="15"/>
  <c r="K476" i="15"/>
  <c r="M476" i="15"/>
  <c r="L476" i="15"/>
  <c r="O476" i="15" l="1"/>
  <c r="G478" i="15"/>
  <c r="L477" i="15"/>
  <c r="M477" i="15"/>
  <c r="K477" i="15"/>
  <c r="O477" i="15" l="1"/>
  <c r="G479" i="15"/>
  <c r="L478" i="15"/>
  <c r="M478" i="15"/>
  <c r="K478" i="15"/>
  <c r="O478" i="15" l="1"/>
  <c r="G480" i="15"/>
  <c r="L479" i="15"/>
  <c r="K479" i="15"/>
  <c r="M479" i="15"/>
  <c r="O479" i="15" l="1"/>
  <c r="G481" i="15"/>
  <c r="L480" i="15"/>
  <c r="K480" i="15"/>
  <c r="M480" i="15"/>
  <c r="O480" i="15" l="1"/>
  <c r="G482" i="15"/>
  <c r="K481" i="15"/>
  <c r="L481" i="15"/>
  <c r="M481" i="15"/>
  <c r="O481" i="15" l="1"/>
  <c r="G483" i="15"/>
  <c r="K482" i="15"/>
  <c r="M482" i="15"/>
  <c r="L482" i="15"/>
  <c r="O482" i="15" l="1"/>
  <c r="G484" i="15"/>
  <c r="K483" i="15"/>
  <c r="L483" i="15"/>
  <c r="M483" i="15"/>
  <c r="O483" i="15" l="1"/>
  <c r="G485" i="15"/>
  <c r="K484" i="15"/>
  <c r="L484" i="15"/>
  <c r="M484" i="15"/>
  <c r="O484" i="15" l="1"/>
  <c r="G486" i="15"/>
  <c r="K485" i="15"/>
  <c r="L485" i="15"/>
  <c r="M485" i="15"/>
  <c r="O485" i="15" l="1"/>
  <c r="G487" i="15"/>
  <c r="M486" i="15"/>
  <c r="K486" i="15"/>
  <c r="L486" i="15"/>
  <c r="O486" i="15" l="1"/>
  <c r="G488" i="15"/>
  <c r="M487" i="15"/>
  <c r="K487" i="15"/>
  <c r="L487" i="15"/>
  <c r="O487" i="15" l="1"/>
  <c r="G489" i="15"/>
  <c r="M488" i="15"/>
  <c r="L488" i="15"/>
  <c r="K488" i="15"/>
  <c r="O488" i="15" l="1"/>
  <c r="G490" i="15"/>
  <c r="L489" i="15"/>
  <c r="M489" i="15"/>
  <c r="K489" i="15"/>
  <c r="O489" i="15" l="1"/>
  <c r="G491" i="15"/>
  <c r="K490" i="15"/>
  <c r="L490" i="15"/>
  <c r="M490" i="15"/>
  <c r="O490" i="15" l="1"/>
  <c r="G492" i="15"/>
  <c r="K491" i="15"/>
  <c r="M491" i="15"/>
  <c r="L491" i="15"/>
  <c r="O491" i="15" l="1"/>
  <c r="G493" i="15"/>
  <c r="K492" i="15"/>
  <c r="L492" i="15"/>
  <c r="M492" i="15"/>
  <c r="O492" i="15" l="1"/>
  <c r="G494" i="15"/>
  <c r="L493" i="15"/>
  <c r="K493" i="15"/>
  <c r="M493" i="15"/>
  <c r="O493" i="15" l="1"/>
  <c r="G495" i="15"/>
  <c r="L494" i="15"/>
  <c r="K494" i="15"/>
  <c r="M494" i="15"/>
  <c r="O494" i="15" l="1"/>
  <c r="G496" i="15"/>
  <c r="M495" i="15"/>
  <c r="K495" i="15"/>
  <c r="L495" i="15"/>
  <c r="O495" i="15" l="1"/>
  <c r="G497" i="15"/>
  <c r="M496" i="15"/>
  <c r="L496" i="15"/>
  <c r="K496" i="15"/>
  <c r="O496" i="15" l="1"/>
  <c r="G498" i="15"/>
  <c r="K497" i="15"/>
  <c r="L497" i="15"/>
  <c r="M497" i="15"/>
  <c r="O497" i="15" l="1"/>
  <c r="G499" i="15"/>
  <c r="K498" i="15"/>
  <c r="L498" i="15"/>
  <c r="M498" i="15"/>
  <c r="O498" i="15" l="1"/>
  <c r="G500" i="15"/>
  <c r="K499" i="15"/>
  <c r="M499" i="15"/>
  <c r="L499" i="15"/>
  <c r="O499" i="15" l="1"/>
  <c r="G501" i="15"/>
  <c r="L500" i="15"/>
  <c r="M500" i="15"/>
  <c r="K500" i="15"/>
  <c r="O500" i="15" l="1"/>
  <c r="G502" i="15"/>
  <c r="L501" i="15"/>
  <c r="M501" i="15"/>
  <c r="K501" i="15"/>
  <c r="O501" i="15" l="1"/>
  <c r="G503" i="15"/>
  <c r="L502" i="15"/>
  <c r="K502" i="15"/>
  <c r="M502" i="15"/>
  <c r="O502" i="15" l="1"/>
  <c r="G504" i="15"/>
  <c r="L503" i="15"/>
  <c r="M503" i="15"/>
  <c r="K503" i="15"/>
  <c r="O503" i="15" l="1"/>
  <c r="G505" i="15"/>
  <c r="K504" i="15"/>
  <c r="L504" i="15"/>
  <c r="M504" i="15"/>
  <c r="O504" i="15" l="1"/>
  <c r="G506" i="15"/>
  <c r="K505" i="15"/>
  <c r="L505" i="15"/>
  <c r="M505" i="15"/>
  <c r="O505" i="15" l="1"/>
  <c r="G507" i="15"/>
  <c r="K506" i="15"/>
  <c r="L506" i="15"/>
  <c r="M506" i="15"/>
  <c r="O506" i="15" l="1"/>
  <c r="G508" i="15"/>
  <c r="L507" i="15"/>
  <c r="K507" i="15"/>
  <c r="M507" i="15"/>
  <c r="O507" i="15" l="1"/>
  <c r="G509" i="15"/>
  <c r="M508" i="15"/>
  <c r="L508" i="15"/>
  <c r="K508" i="15"/>
  <c r="O508" i="15" l="1"/>
  <c r="G510" i="15"/>
  <c r="K509" i="15"/>
  <c r="M509" i="15"/>
  <c r="L509" i="15"/>
  <c r="O509" i="15" l="1"/>
  <c r="G511" i="15"/>
  <c r="M510" i="15"/>
  <c r="K510" i="15"/>
  <c r="L510" i="15"/>
  <c r="O510" i="15" l="1"/>
  <c r="G512" i="15"/>
  <c r="L511" i="15"/>
  <c r="M511" i="15"/>
  <c r="K511" i="15"/>
  <c r="O511" i="15" l="1"/>
  <c r="G513" i="15"/>
  <c r="K512" i="15"/>
  <c r="L512" i="15"/>
  <c r="M512" i="15"/>
  <c r="O512" i="15" l="1"/>
  <c r="G514" i="15"/>
  <c r="L513" i="15"/>
  <c r="K513" i="15"/>
  <c r="M513" i="15"/>
  <c r="O513" i="15" l="1"/>
  <c r="G515" i="15"/>
  <c r="M514" i="15"/>
  <c r="K514" i="15"/>
  <c r="L514" i="15"/>
  <c r="O514" i="15" l="1"/>
  <c r="G516" i="15"/>
  <c r="L515" i="15"/>
  <c r="M515" i="15"/>
  <c r="K515" i="15"/>
  <c r="O515" i="15" l="1"/>
  <c r="G517" i="15"/>
  <c r="K516" i="15"/>
  <c r="M516" i="15"/>
  <c r="L516" i="15"/>
  <c r="O516" i="15" l="1"/>
  <c r="G518" i="15"/>
  <c r="M517" i="15"/>
  <c r="L517" i="15"/>
  <c r="K517" i="15"/>
  <c r="O517" i="15" l="1"/>
  <c r="G519" i="15"/>
  <c r="L518" i="15"/>
  <c r="M518" i="15"/>
  <c r="K518" i="15"/>
  <c r="O518" i="15" l="1"/>
  <c r="G520" i="15"/>
  <c r="K519" i="15"/>
  <c r="L519" i="15"/>
  <c r="M519" i="15"/>
  <c r="O519" i="15" l="1"/>
  <c r="G521" i="15"/>
  <c r="L520" i="15"/>
  <c r="M520" i="15"/>
  <c r="K520" i="15"/>
  <c r="O520" i="15" l="1"/>
  <c r="G522" i="15"/>
  <c r="K521" i="15"/>
  <c r="M521" i="15"/>
  <c r="L521" i="15"/>
  <c r="O521" i="15" l="1"/>
  <c r="G523" i="15"/>
  <c r="L522" i="15"/>
  <c r="K522" i="15"/>
  <c r="M522" i="15"/>
  <c r="O522" i="15" l="1"/>
  <c r="G524" i="15"/>
  <c r="L523" i="15"/>
  <c r="K523" i="15"/>
  <c r="M523" i="15"/>
  <c r="O523" i="15" l="1"/>
  <c r="G525" i="15"/>
  <c r="L524" i="15"/>
  <c r="M524" i="15"/>
  <c r="K524" i="15"/>
  <c r="O524" i="15" l="1"/>
  <c r="G526" i="15"/>
  <c r="K525" i="15"/>
  <c r="M525" i="15"/>
  <c r="L525" i="15"/>
  <c r="O525" i="15" l="1"/>
  <c r="G527" i="15"/>
  <c r="K526" i="15"/>
  <c r="M526" i="15"/>
  <c r="L526" i="15"/>
  <c r="O526" i="15" l="1"/>
  <c r="G528" i="15"/>
  <c r="K527" i="15"/>
  <c r="L527" i="15"/>
  <c r="M527" i="15"/>
  <c r="O527" i="15" l="1"/>
  <c r="G529" i="15"/>
  <c r="K528" i="15"/>
  <c r="M528" i="15"/>
  <c r="L528" i="15"/>
  <c r="O528" i="15" l="1"/>
  <c r="G530" i="15"/>
  <c r="L529" i="15"/>
  <c r="M529" i="15"/>
  <c r="K529" i="15"/>
  <c r="O529" i="15" l="1"/>
  <c r="G531" i="15"/>
  <c r="M530" i="15"/>
  <c r="L530" i="15"/>
  <c r="K530" i="15"/>
  <c r="O530" i="15" l="1"/>
  <c r="G532" i="15"/>
  <c r="M531" i="15"/>
  <c r="K531" i="15"/>
  <c r="L531" i="15"/>
  <c r="O531" i="15" l="1"/>
  <c r="G533" i="15"/>
  <c r="K532" i="15"/>
  <c r="L532" i="15"/>
  <c r="M532" i="15"/>
  <c r="O532" i="15" l="1"/>
  <c r="G534" i="15"/>
  <c r="K533" i="15"/>
  <c r="M533" i="15"/>
  <c r="L533" i="15"/>
  <c r="O533" i="15" l="1"/>
  <c r="G535" i="15"/>
  <c r="K534" i="15"/>
  <c r="M534" i="15"/>
  <c r="L534" i="15"/>
  <c r="O534" i="15" l="1"/>
  <c r="G536" i="15"/>
  <c r="M535" i="15"/>
  <c r="K535" i="15"/>
  <c r="L535" i="15"/>
  <c r="O535" i="15" l="1"/>
  <c r="G537" i="15"/>
  <c r="K536" i="15"/>
  <c r="L536" i="15"/>
  <c r="M536" i="15"/>
  <c r="O536" i="15" l="1"/>
  <c r="G538" i="15"/>
  <c r="M537" i="15"/>
  <c r="L537" i="15"/>
  <c r="K537" i="15"/>
  <c r="O537" i="15" l="1"/>
  <c r="G539" i="15"/>
  <c r="M538" i="15"/>
  <c r="K538" i="15"/>
  <c r="L538" i="15"/>
  <c r="O538" i="15" l="1"/>
  <c r="G540" i="15"/>
  <c r="M539" i="15"/>
  <c r="L539" i="15"/>
  <c r="K539" i="15"/>
  <c r="O539" i="15" l="1"/>
  <c r="G541" i="15"/>
  <c r="L540" i="15"/>
  <c r="M540" i="15"/>
  <c r="K540" i="15"/>
  <c r="O540" i="15" l="1"/>
  <c r="G542" i="15"/>
  <c r="M541" i="15"/>
  <c r="K541" i="15"/>
  <c r="L541" i="15"/>
  <c r="O541" i="15" l="1"/>
  <c r="G543" i="15"/>
  <c r="L542" i="15"/>
  <c r="M542" i="15"/>
  <c r="K542" i="15"/>
  <c r="O542" i="15" l="1"/>
  <c r="G544" i="15"/>
  <c r="K543" i="15"/>
  <c r="L543" i="15"/>
  <c r="M543" i="15"/>
  <c r="O543" i="15" l="1"/>
  <c r="G545" i="15"/>
  <c r="M544" i="15"/>
  <c r="L544" i="15"/>
  <c r="K544" i="15"/>
  <c r="O544" i="15" l="1"/>
  <c r="G546" i="15"/>
  <c r="L545" i="15"/>
  <c r="K545" i="15"/>
  <c r="M545" i="15"/>
  <c r="O545" i="15" l="1"/>
  <c r="G547" i="15"/>
  <c r="L546" i="15"/>
  <c r="K546" i="15"/>
  <c r="M546" i="15"/>
  <c r="O546" i="15" l="1"/>
  <c r="G548" i="15"/>
  <c r="M547" i="15"/>
  <c r="K547" i="15"/>
  <c r="L547" i="15"/>
  <c r="O547" i="15" l="1"/>
  <c r="G549" i="15"/>
  <c r="M548" i="15"/>
  <c r="K548" i="15"/>
  <c r="L548" i="15"/>
  <c r="O548" i="15" l="1"/>
  <c r="G550" i="15"/>
  <c r="L549" i="15"/>
  <c r="K549" i="15"/>
  <c r="M549" i="15"/>
  <c r="O549" i="15" l="1"/>
  <c r="G551" i="15"/>
  <c r="M550" i="15"/>
  <c r="K550" i="15"/>
  <c r="L550" i="15"/>
  <c r="O550" i="15" l="1"/>
  <c r="G552" i="15"/>
  <c r="M551" i="15"/>
  <c r="K551" i="15"/>
  <c r="L551" i="15"/>
  <c r="O551" i="15" l="1"/>
  <c r="G553" i="15"/>
  <c r="M552" i="15"/>
  <c r="K552" i="15"/>
  <c r="L552" i="15"/>
  <c r="O552" i="15" l="1"/>
  <c r="G554" i="15"/>
  <c r="K553" i="15"/>
  <c r="M553" i="15"/>
  <c r="L553" i="15"/>
  <c r="O553" i="15" l="1"/>
  <c r="G555" i="15"/>
  <c r="M554" i="15"/>
  <c r="L554" i="15"/>
  <c r="K554" i="15"/>
  <c r="O554" i="15" l="1"/>
  <c r="G556" i="15"/>
  <c r="M555" i="15"/>
  <c r="K555" i="15"/>
  <c r="L555" i="15"/>
  <c r="O555" i="15" l="1"/>
  <c r="G557" i="15"/>
  <c r="M556" i="15"/>
  <c r="L556" i="15"/>
  <c r="K556" i="15"/>
  <c r="O556" i="15" l="1"/>
  <c r="G558" i="15"/>
  <c r="M557" i="15"/>
  <c r="L557" i="15"/>
  <c r="K557" i="15"/>
  <c r="O557" i="15" l="1"/>
  <c r="G559" i="15"/>
  <c r="K558" i="15"/>
  <c r="L558" i="15"/>
  <c r="M558" i="15"/>
  <c r="O558" i="15" l="1"/>
  <c r="G560" i="15"/>
  <c r="L559" i="15"/>
  <c r="M559" i="15"/>
  <c r="K559" i="15"/>
  <c r="O559" i="15" l="1"/>
  <c r="G561" i="15"/>
  <c r="K560" i="15"/>
  <c r="M560" i="15"/>
  <c r="L560" i="15"/>
  <c r="O560" i="15" l="1"/>
  <c r="G562" i="15"/>
  <c r="K561" i="15"/>
  <c r="M561" i="15"/>
  <c r="L561" i="15"/>
  <c r="O561" i="15" l="1"/>
  <c r="G563" i="15"/>
  <c r="L562" i="15"/>
  <c r="M562" i="15"/>
  <c r="K562" i="15"/>
  <c r="O562" i="15" l="1"/>
  <c r="G564" i="15"/>
  <c r="M563" i="15"/>
  <c r="L563" i="15"/>
  <c r="K563" i="15"/>
  <c r="O563" i="15" l="1"/>
  <c r="G565" i="15"/>
  <c r="K564" i="15"/>
  <c r="M564" i="15"/>
  <c r="L564" i="15"/>
  <c r="O564" i="15" l="1"/>
  <c r="G566" i="15"/>
  <c r="M565" i="15"/>
  <c r="K565" i="15"/>
  <c r="L565" i="15"/>
  <c r="O565" i="15" l="1"/>
  <c r="G567" i="15"/>
  <c r="M566" i="15"/>
  <c r="K566" i="15"/>
  <c r="L566" i="15"/>
  <c r="O566" i="15" l="1"/>
  <c r="G568" i="15"/>
  <c r="K567" i="15"/>
  <c r="L567" i="15"/>
  <c r="M567" i="15"/>
  <c r="O567" i="15" l="1"/>
  <c r="G569" i="15"/>
  <c r="K568" i="15"/>
  <c r="L568" i="15"/>
  <c r="M568" i="15"/>
  <c r="O568" i="15" l="1"/>
  <c r="G570" i="15"/>
  <c r="M569" i="15"/>
  <c r="L569" i="15"/>
  <c r="K569" i="15"/>
  <c r="O569" i="15" l="1"/>
  <c r="G571" i="15"/>
  <c r="M570" i="15"/>
  <c r="L570" i="15"/>
  <c r="K570" i="15"/>
  <c r="O570" i="15" l="1"/>
  <c r="G572" i="15"/>
  <c r="K571" i="15"/>
  <c r="L571" i="15"/>
  <c r="M571" i="15"/>
  <c r="O571" i="15" l="1"/>
  <c r="G573" i="15"/>
  <c r="K572" i="15"/>
  <c r="L572" i="15"/>
  <c r="M572" i="15"/>
  <c r="O572" i="15" l="1"/>
  <c r="G574" i="15"/>
  <c r="K573" i="15"/>
  <c r="M573" i="15"/>
  <c r="L573" i="15"/>
  <c r="O573" i="15" l="1"/>
  <c r="G575" i="15"/>
  <c r="K574" i="15"/>
  <c r="L574" i="15"/>
  <c r="M574" i="15"/>
  <c r="O574" i="15" l="1"/>
  <c r="G576" i="15"/>
  <c r="K575" i="15"/>
  <c r="L575" i="15"/>
  <c r="M575" i="15"/>
  <c r="O575" i="15" l="1"/>
  <c r="G577" i="15"/>
  <c r="K576" i="15"/>
  <c r="L576" i="15"/>
  <c r="M576" i="15"/>
  <c r="O576" i="15" l="1"/>
  <c r="G578" i="15"/>
  <c r="L577" i="15"/>
  <c r="M577" i="15"/>
  <c r="K577" i="15"/>
  <c r="O577" i="15" l="1"/>
  <c r="G579" i="15"/>
  <c r="K578" i="15"/>
  <c r="M578" i="15"/>
  <c r="L578" i="15"/>
  <c r="O578" i="15" l="1"/>
  <c r="G580" i="15"/>
  <c r="M579" i="15"/>
  <c r="L579" i="15"/>
  <c r="K579" i="15"/>
  <c r="O579" i="15" l="1"/>
  <c r="G581" i="15"/>
  <c r="K580" i="15"/>
  <c r="M580" i="15"/>
  <c r="L580" i="15"/>
  <c r="O580" i="15" l="1"/>
  <c r="G582" i="15"/>
  <c r="M581" i="15"/>
  <c r="L581" i="15"/>
  <c r="K581" i="15"/>
  <c r="O581" i="15" l="1"/>
  <c r="G583" i="15"/>
  <c r="L582" i="15"/>
  <c r="M582" i="15"/>
  <c r="K582" i="15"/>
  <c r="O582" i="15" l="1"/>
  <c r="G584" i="15"/>
  <c r="M583" i="15"/>
  <c r="L583" i="15"/>
  <c r="K583" i="15"/>
  <c r="O583" i="15" l="1"/>
  <c r="G585" i="15"/>
  <c r="M584" i="15"/>
  <c r="K584" i="15"/>
  <c r="L584" i="15"/>
  <c r="O584" i="15" l="1"/>
  <c r="G586" i="15"/>
  <c r="K585" i="15"/>
  <c r="M585" i="15"/>
  <c r="L585" i="15"/>
  <c r="O585" i="15" l="1"/>
  <c r="G587" i="15"/>
  <c r="K586" i="15"/>
  <c r="M586" i="15"/>
  <c r="L586" i="15"/>
  <c r="O586" i="15" l="1"/>
  <c r="G588" i="15"/>
  <c r="L587" i="15"/>
  <c r="M587" i="15"/>
  <c r="K587" i="15"/>
  <c r="O587" i="15" l="1"/>
  <c r="G589" i="15"/>
  <c r="M588" i="15"/>
  <c r="L588" i="15"/>
  <c r="K588" i="15"/>
  <c r="O588" i="15" l="1"/>
  <c r="G590" i="15"/>
  <c r="M589" i="15"/>
  <c r="K589" i="15"/>
  <c r="L589" i="15"/>
  <c r="O589" i="15" l="1"/>
  <c r="G591" i="15"/>
  <c r="M590" i="15"/>
  <c r="L590" i="15"/>
  <c r="K590" i="15"/>
  <c r="O590" i="15" l="1"/>
  <c r="G592" i="15"/>
  <c r="M591" i="15"/>
  <c r="K591" i="15"/>
  <c r="L591" i="15"/>
  <c r="O591" i="15" l="1"/>
  <c r="G593" i="15"/>
  <c r="K592" i="15"/>
  <c r="M592" i="15"/>
  <c r="L592" i="15"/>
  <c r="O592" i="15" l="1"/>
  <c r="G594" i="15"/>
  <c r="L593" i="15"/>
  <c r="K593" i="15"/>
  <c r="M593" i="15"/>
  <c r="O593" i="15" l="1"/>
  <c r="G595" i="15"/>
  <c r="M594" i="15"/>
  <c r="L594" i="15"/>
  <c r="K594" i="15"/>
  <c r="O594" i="15" l="1"/>
  <c r="G596" i="15"/>
  <c r="L595" i="15"/>
  <c r="M595" i="15"/>
  <c r="K595" i="15"/>
  <c r="O595" i="15" l="1"/>
  <c r="G597" i="15"/>
  <c r="M596" i="15"/>
  <c r="L596" i="15"/>
  <c r="K596" i="15"/>
  <c r="O596" i="15" l="1"/>
  <c r="G598" i="15"/>
  <c r="K597" i="15"/>
  <c r="L597" i="15"/>
  <c r="M597" i="15"/>
  <c r="O597" i="15" l="1"/>
  <c r="G599" i="15"/>
  <c r="K598" i="15"/>
  <c r="M598" i="15"/>
  <c r="L598" i="15"/>
  <c r="O598" i="15" l="1"/>
  <c r="G600" i="15"/>
  <c r="M599" i="15"/>
  <c r="K599" i="15"/>
  <c r="L599" i="15"/>
  <c r="O599" i="15" l="1"/>
  <c r="G601" i="15"/>
  <c r="L600" i="15"/>
  <c r="M600" i="15"/>
  <c r="K600" i="15"/>
  <c r="O600" i="15" l="1"/>
  <c r="G602" i="15"/>
  <c r="M601" i="15"/>
  <c r="K601" i="15"/>
  <c r="L601" i="15"/>
  <c r="O601" i="15" l="1"/>
  <c r="G603" i="15"/>
  <c r="L602" i="15"/>
  <c r="M602" i="15"/>
  <c r="K602" i="15"/>
  <c r="O602" i="15" l="1"/>
  <c r="G604" i="15"/>
  <c r="L603" i="15"/>
  <c r="K603" i="15"/>
  <c r="M603" i="15"/>
  <c r="O603" i="15" l="1"/>
  <c r="G605" i="15"/>
  <c r="M604" i="15"/>
  <c r="L604" i="15"/>
  <c r="K604" i="15"/>
  <c r="O604" i="15" l="1"/>
  <c r="G606" i="15"/>
  <c r="L605" i="15"/>
  <c r="K605" i="15"/>
  <c r="M605" i="15"/>
  <c r="O605" i="15" l="1"/>
  <c r="G607" i="15"/>
  <c r="K606" i="15"/>
  <c r="L606" i="15"/>
  <c r="M606" i="15"/>
  <c r="O606" i="15" l="1"/>
  <c r="G608" i="15"/>
  <c r="M607" i="15"/>
  <c r="K607" i="15"/>
  <c r="L607" i="15"/>
  <c r="O607" i="15" l="1"/>
  <c r="G609" i="15"/>
  <c r="L608" i="15"/>
  <c r="K608" i="15"/>
  <c r="M608" i="15"/>
  <c r="O608" i="15" l="1"/>
  <c r="G610" i="15"/>
  <c r="M609" i="15"/>
  <c r="L609" i="15"/>
  <c r="K609" i="15"/>
  <c r="O609" i="15" l="1"/>
  <c r="G611" i="15"/>
  <c r="M610" i="15"/>
  <c r="K610" i="15"/>
  <c r="L610" i="15"/>
  <c r="O610" i="15" l="1"/>
  <c r="G612" i="15"/>
  <c r="L611" i="15"/>
  <c r="M611" i="15"/>
  <c r="K611" i="15"/>
  <c r="O611" i="15" l="1"/>
  <c r="G613" i="15"/>
  <c r="M612" i="15"/>
  <c r="K612" i="15"/>
  <c r="L612" i="15"/>
  <c r="O612" i="15" l="1"/>
  <c r="G614" i="15"/>
  <c r="L613" i="15"/>
  <c r="K613" i="15"/>
  <c r="M613" i="15"/>
  <c r="O613" i="15" l="1"/>
  <c r="G615" i="15"/>
  <c r="M614" i="15"/>
  <c r="K614" i="15"/>
  <c r="L614" i="15"/>
  <c r="O614" i="15" l="1"/>
  <c r="G616" i="15"/>
  <c r="K615" i="15"/>
  <c r="M615" i="15"/>
  <c r="L615" i="15"/>
  <c r="O615" i="15" l="1"/>
  <c r="G617" i="15"/>
  <c r="L616" i="15"/>
  <c r="K616" i="15"/>
  <c r="M616" i="15"/>
  <c r="O616" i="15" l="1"/>
  <c r="G618" i="15"/>
  <c r="K617" i="15"/>
  <c r="M617" i="15"/>
  <c r="L617" i="15"/>
  <c r="O617" i="15" l="1"/>
  <c r="G619" i="15"/>
  <c r="L618" i="15"/>
  <c r="M618" i="15"/>
  <c r="K618" i="15"/>
  <c r="O618" i="15" l="1"/>
  <c r="G620" i="15"/>
  <c r="L619" i="15"/>
  <c r="M619" i="15"/>
  <c r="K619" i="15"/>
  <c r="O619" i="15" l="1"/>
  <c r="G621" i="15"/>
  <c r="K620" i="15"/>
  <c r="M620" i="15"/>
  <c r="L620" i="15"/>
  <c r="O620" i="15" l="1"/>
  <c r="G622" i="15"/>
  <c r="M621" i="15"/>
  <c r="K621" i="15"/>
  <c r="L621" i="15"/>
  <c r="O621" i="15" l="1"/>
  <c r="G623" i="15"/>
  <c r="L622" i="15"/>
  <c r="K622" i="15"/>
  <c r="M622" i="15"/>
  <c r="O622" i="15" l="1"/>
  <c r="G624" i="15"/>
  <c r="L623" i="15"/>
  <c r="K623" i="15"/>
  <c r="M623" i="15"/>
  <c r="O623" i="15" l="1"/>
  <c r="G625" i="15"/>
  <c r="L624" i="15"/>
  <c r="K624" i="15"/>
  <c r="M624" i="15"/>
  <c r="O624" i="15" l="1"/>
  <c r="G626" i="15"/>
  <c r="L625" i="15"/>
  <c r="M625" i="15"/>
  <c r="K625" i="15"/>
  <c r="O625" i="15" l="1"/>
  <c r="G627" i="15"/>
  <c r="L626" i="15"/>
  <c r="M626" i="15"/>
  <c r="K626" i="15"/>
  <c r="O626" i="15" l="1"/>
  <c r="G628" i="15"/>
  <c r="L627" i="15"/>
  <c r="K627" i="15"/>
  <c r="M627" i="15"/>
  <c r="O627" i="15" l="1"/>
  <c r="G629" i="15"/>
  <c r="K628" i="15"/>
  <c r="M628" i="15"/>
  <c r="L628" i="15"/>
  <c r="O628" i="15" l="1"/>
  <c r="G630" i="15"/>
  <c r="K629" i="15"/>
  <c r="M629" i="15"/>
  <c r="L629" i="15"/>
  <c r="O629" i="15" l="1"/>
  <c r="G631" i="15"/>
  <c r="K630" i="15"/>
  <c r="L630" i="15"/>
  <c r="M630" i="15"/>
  <c r="O630" i="15" l="1"/>
  <c r="G632" i="15"/>
  <c r="K631" i="15"/>
  <c r="M631" i="15"/>
  <c r="L631" i="15"/>
  <c r="O631" i="15" l="1"/>
  <c r="G633" i="15"/>
  <c r="L632" i="15"/>
  <c r="M632" i="15"/>
  <c r="K632" i="15"/>
  <c r="O632" i="15" l="1"/>
  <c r="G634" i="15"/>
  <c r="L633" i="15"/>
  <c r="M633" i="15"/>
  <c r="K633" i="15"/>
  <c r="O633" i="15" l="1"/>
  <c r="G635" i="15"/>
  <c r="M634" i="15"/>
  <c r="L634" i="15"/>
  <c r="K634" i="15"/>
  <c r="O634" i="15" l="1"/>
  <c r="G636" i="15"/>
  <c r="K635" i="15"/>
  <c r="M635" i="15"/>
  <c r="L635" i="15"/>
  <c r="O635" i="15" l="1"/>
  <c r="G637" i="15"/>
  <c r="L636" i="15"/>
  <c r="M636" i="15"/>
  <c r="K636" i="15"/>
  <c r="O636" i="15" l="1"/>
  <c r="G638" i="15"/>
  <c r="L637" i="15"/>
  <c r="M637" i="15"/>
  <c r="K637" i="15"/>
  <c r="O637" i="15" l="1"/>
  <c r="G639" i="15"/>
  <c r="K638" i="15"/>
  <c r="L638" i="15"/>
  <c r="M638" i="15"/>
  <c r="O638" i="15" l="1"/>
  <c r="G640" i="15"/>
  <c r="K639" i="15"/>
  <c r="M639" i="15"/>
  <c r="L639" i="15"/>
  <c r="O639" i="15" l="1"/>
  <c r="G641" i="15"/>
  <c r="K640" i="15"/>
  <c r="L640" i="15"/>
  <c r="M640" i="15"/>
  <c r="O640" i="15" l="1"/>
  <c r="G642" i="15"/>
  <c r="K641" i="15"/>
  <c r="M641" i="15"/>
  <c r="L641" i="15"/>
  <c r="O641" i="15" l="1"/>
  <c r="G643" i="15"/>
  <c r="K642" i="15"/>
  <c r="L642" i="15"/>
  <c r="M642" i="15"/>
  <c r="O642" i="15" l="1"/>
  <c r="G644" i="15"/>
  <c r="K643" i="15"/>
  <c r="M643" i="15"/>
  <c r="L643" i="15"/>
  <c r="O643" i="15" l="1"/>
  <c r="G645" i="15"/>
  <c r="K644" i="15"/>
  <c r="L644" i="15"/>
  <c r="M644" i="15"/>
  <c r="O644" i="15" l="1"/>
  <c r="G646" i="15"/>
  <c r="K645" i="15"/>
  <c r="L645" i="15"/>
  <c r="M645" i="15"/>
  <c r="O645" i="15" l="1"/>
  <c r="G647" i="15"/>
  <c r="L646" i="15"/>
  <c r="M646" i="15"/>
  <c r="K646" i="15"/>
  <c r="O646" i="15" l="1"/>
  <c r="G648" i="15"/>
  <c r="M647" i="15"/>
  <c r="K647" i="15"/>
  <c r="L647" i="15"/>
  <c r="O647" i="15" l="1"/>
  <c r="G649" i="15"/>
  <c r="K648" i="15"/>
  <c r="L648" i="15"/>
  <c r="M648" i="15"/>
  <c r="O648" i="15" l="1"/>
  <c r="G650" i="15"/>
  <c r="L649" i="15"/>
  <c r="M649" i="15"/>
  <c r="K649" i="15"/>
  <c r="O649" i="15" l="1"/>
  <c r="G651" i="15"/>
  <c r="L650" i="15"/>
  <c r="M650" i="15"/>
  <c r="K650" i="15"/>
  <c r="O650" i="15" l="1"/>
  <c r="G652" i="15"/>
  <c r="L651" i="15"/>
  <c r="M651" i="15"/>
  <c r="K651" i="15"/>
  <c r="O651" i="15" l="1"/>
  <c r="K652" i="15"/>
  <c r="L652" i="15"/>
  <c r="M652" i="15"/>
  <c r="O652" i="15" l="1"/>
</calcChain>
</file>

<file path=xl/sharedStrings.xml><?xml version="1.0" encoding="utf-8"?>
<sst xmlns="http://schemas.openxmlformats.org/spreadsheetml/2006/main" count="1820" uniqueCount="643">
  <si>
    <t>6-D22</t>
    <phoneticPr fontId="3"/>
  </si>
  <si>
    <t>3-D22</t>
    <phoneticPr fontId="3"/>
  </si>
  <si>
    <t>１段目</t>
    <rPh sb="1" eb="2">
      <t>ダン</t>
    </rPh>
    <rPh sb="2" eb="3">
      <t>メ</t>
    </rPh>
    <phoneticPr fontId="3"/>
  </si>
  <si>
    <t>２段目</t>
    <rPh sb="1" eb="2">
      <t>ダン</t>
    </rPh>
    <rPh sb="2" eb="3">
      <t>メ</t>
    </rPh>
    <phoneticPr fontId="3"/>
  </si>
  <si>
    <t>pt</t>
    <phoneticPr fontId="3"/>
  </si>
  <si>
    <t>T形梁のつりあい鉄筋比の確認</t>
    <rPh sb="1" eb="2">
      <t>カタ</t>
    </rPh>
    <rPh sb="2" eb="3">
      <t>バリ</t>
    </rPh>
    <rPh sb="8" eb="11">
      <t>テッキンヒ</t>
    </rPh>
    <rPh sb="12" eb="14">
      <t>カクニン</t>
    </rPh>
    <phoneticPr fontId="3"/>
  </si>
  <si>
    <t>布基礎幅</t>
    <rPh sb="0" eb="1">
      <t>ヌノ</t>
    </rPh>
    <rPh sb="1" eb="3">
      <t>キソ</t>
    </rPh>
    <rPh sb="3" eb="4">
      <t>ハバ</t>
    </rPh>
    <phoneticPr fontId="3"/>
  </si>
  <si>
    <t>布基礎フーチング厚</t>
    <rPh sb="0" eb="1">
      <t>ヌノ</t>
    </rPh>
    <rPh sb="1" eb="3">
      <t>キソ</t>
    </rPh>
    <rPh sb="8" eb="9">
      <t>アツ</t>
    </rPh>
    <phoneticPr fontId="3"/>
  </si>
  <si>
    <t>引張鉄筋断面積</t>
    <rPh sb="0" eb="2">
      <t>ヒッパ</t>
    </rPh>
    <rPh sb="2" eb="4">
      <t>テッキン</t>
    </rPh>
    <rPh sb="4" eb="7">
      <t>ダンメンセキ</t>
    </rPh>
    <phoneticPr fontId="3"/>
  </si>
  <si>
    <t>d:</t>
    <phoneticPr fontId="3"/>
  </si>
  <si>
    <t>有効せい</t>
    <rPh sb="0" eb="2">
      <t>ユウコウ</t>
    </rPh>
    <phoneticPr fontId="3"/>
  </si>
  <si>
    <t>引張鉄筋比</t>
    <rPh sb="0" eb="2">
      <t>ヒッパ</t>
    </rPh>
    <rPh sb="2" eb="4">
      <t>テッキン</t>
    </rPh>
    <rPh sb="4" eb="5">
      <t>ヒ</t>
    </rPh>
    <phoneticPr fontId="3"/>
  </si>
  <si>
    <t>at=at1+at2</t>
    <phoneticPr fontId="3"/>
  </si>
  <si>
    <t>use</t>
    <phoneticPr fontId="3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</si>
  <si>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</si>
  <si>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</si>
  <si>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</si>
  <si>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(mm)</t>
    <phoneticPr fontId="3"/>
  </si>
  <si>
    <t>ｄｔ</t>
    <phoneticPr fontId="3"/>
  </si>
  <si>
    <t>D</t>
    <phoneticPr fontId="3"/>
  </si>
  <si>
    <t>d</t>
    <phoneticPr fontId="3"/>
  </si>
  <si>
    <t>ｊ</t>
    <phoneticPr fontId="3"/>
  </si>
  <si>
    <t>ft</t>
    <phoneticPr fontId="3"/>
  </si>
  <si>
    <t>M=ft・at・j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</si>
  <si>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</si>
  <si>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(kNm)</t>
    <phoneticPr fontId="3"/>
  </si>
  <si>
    <t>B</t>
    <phoneticPr fontId="3"/>
  </si>
  <si>
    <t>d</t>
    <phoneticPr fontId="3"/>
  </si>
  <si>
    <t>t</t>
    <phoneticPr fontId="3"/>
  </si>
  <si>
    <t>at</t>
    <phoneticPr fontId="3"/>
  </si>
  <si>
    <t>pt</t>
    <phoneticPr fontId="3"/>
  </si>
  <si>
    <t>n=Es/Ec</t>
    <phoneticPr fontId="3"/>
  </si>
  <si>
    <t>t1=t/d</t>
    <phoneticPr fontId="3"/>
  </si>
  <si>
    <t>(mm)</t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</si>
  <si>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</si>
  <si>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B:</t>
    <phoneticPr fontId="3"/>
  </si>
  <si>
    <t>d:</t>
    <phoneticPr fontId="3"/>
  </si>
  <si>
    <t>t:</t>
    <phoneticPr fontId="3"/>
  </si>
  <si>
    <t>at:</t>
    <phoneticPr fontId="3"/>
  </si>
  <si>
    <t>pt:</t>
    <phoneticPr fontId="3"/>
  </si>
  <si>
    <t>Pt=t1^2
/(2n(1-t1))</t>
    <phoneticPr fontId="3"/>
  </si>
  <si>
    <t>fc</t>
    <phoneticPr fontId="3"/>
  </si>
  <si>
    <t>Pt1</t>
    <phoneticPr fontId="3"/>
  </si>
  <si>
    <t>Pt2</t>
    <phoneticPr fontId="3"/>
  </si>
  <si>
    <t>pt1:</t>
    <phoneticPr fontId="3"/>
  </si>
  <si>
    <t>pt2:</t>
    <phoneticPr fontId="3"/>
  </si>
  <si>
    <t>中立軸がスラブ下に出た場合のつりあい鉄筋比</t>
    <rPh sb="0" eb="2">
      <t>チュウリツ</t>
    </rPh>
    <rPh sb="2" eb="3">
      <t>ジク</t>
    </rPh>
    <rPh sb="7" eb="8">
      <t>シタ</t>
    </rPh>
    <rPh sb="9" eb="10">
      <t>デ</t>
    </rPh>
    <rPh sb="11" eb="12">
      <t>バ</t>
    </rPh>
    <rPh sb="12" eb="13">
      <t>ゴウ</t>
    </rPh>
    <rPh sb="18" eb="20">
      <t>テッキン</t>
    </rPh>
    <rPh sb="20" eb="21">
      <t>ヒ</t>
    </rPh>
    <phoneticPr fontId="3"/>
  </si>
  <si>
    <t>中立軸がちょうどスラブ下端に一致するときのつりあい鉄筋比</t>
    <rPh sb="0" eb="2">
      <t>チュウリツ</t>
    </rPh>
    <rPh sb="2" eb="3">
      <t>ジク</t>
    </rPh>
    <rPh sb="11" eb="13">
      <t>シタバ</t>
    </rPh>
    <rPh sb="14" eb="16">
      <t>イッチ</t>
    </rPh>
    <rPh sb="25" eb="27">
      <t>テッキン</t>
    </rPh>
    <rPh sb="27" eb="28">
      <t>ヒ</t>
    </rPh>
    <phoneticPr fontId="3"/>
  </si>
  <si>
    <t>pt2=1/2{t1(2-t1)fc/ft-ti1^2/n)}</t>
    <phoneticPr fontId="3"/>
  </si>
  <si>
    <t>(%)</t>
    <phoneticPr fontId="3"/>
  </si>
  <si>
    <t>pt1</t>
    <phoneticPr fontId="3"/>
  </si>
  <si>
    <t>梁の引張鉄筋比はつり合い鉄筋比以下である。</t>
    <rPh sb="0" eb="1">
      <t>ハリ</t>
    </rPh>
    <rPh sb="2" eb="4">
      <t>ヒッパ</t>
    </rPh>
    <rPh sb="4" eb="6">
      <t>テッキン</t>
    </rPh>
    <rPh sb="6" eb="7">
      <t>ヒ</t>
    </rPh>
    <rPh sb="10" eb="11">
      <t>ア</t>
    </rPh>
    <rPh sb="12" eb="14">
      <t>テッキン</t>
    </rPh>
    <rPh sb="14" eb="15">
      <t>ヒ</t>
    </rPh>
    <rPh sb="15" eb="17">
      <t>イカ</t>
    </rPh>
    <phoneticPr fontId="3"/>
  </si>
  <si>
    <t>pt2</t>
  </si>
  <si>
    <t>梁の引張鉄筋比がつり合い鉄筋比以下のときの許容曲げモーメント。</t>
    <rPh sb="0" eb="1">
      <t>ハリ</t>
    </rPh>
    <rPh sb="2" eb="4">
      <t>ヒッパ</t>
    </rPh>
    <rPh sb="4" eb="6">
      <t>テッキン</t>
    </rPh>
    <rPh sb="6" eb="7">
      <t>ヒ</t>
    </rPh>
    <rPh sb="10" eb="11">
      <t>ア</t>
    </rPh>
    <rPh sb="12" eb="14">
      <t>テッキン</t>
    </rPh>
    <rPh sb="14" eb="15">
      <t>ヒ</t>
    </rPh>
    <rPh sb="15" eb="17">
      <t>イカ</t>
    </rPh>
    <rPh sb="21" eb="23">
      <t>キョヨウ</t>
    </rPh>
    <rPh sb="23" eb="24">
      <t>マ</t>
    </rPh>
    <phoneticPr fontId="3"/>
  </si>
  <si>
    <t>①かぶり</t>
    <phoneticPr fontId="3"/>
  </si>
  <si>
    <t>②あばら筋径</t>
    <rPh sb="4" eb="5">
      <t>キン</t>
    </rPh>
    <rPh sb="5" eb="6">
      <t>ケイ</t>
    </rPh>
    <phoneticPr fontId="3"/>
  </si>
  <si>
    <t>③主筋半径</t>
    <rPh sb="1" eb="3">
      <t>シュキン</t>
    </rPh>
    <rPh sb="3" eb="5">
      <t>ハンケイ</t>
    </rPh>
    <phoneticPr fontId="3"/>
  </si>
  <si>
    <t>④主筋重心</t>
    <rPh sb="1" eb="3">
      <t>シュキン</t>
    </rPh>
    <rPh sb="3" eb="5">
      <t>ジュウシン</t>
    </rPh>
    <phoneticPr fontId="3"/>
  </si>
  <si>
    <t>dt:</t>
    <phoneticPr fontId="3"/>
  </si>
  <si>
    <t>曲げ材の引張側から引張鉄筋重心位置までの距離</t>
    <rPh sb="0" eb="1">
      <t>マ</t>
    </rPh>
    <rPh sb="2" eb="3">
      <t>ザイ</t>
    </rPh>
    <rPh sb="4" eb="6">
      <t>ヒッパ</t>
    </rPh>
    <rPh sb="6" eb="7">
      <t>ガワ</t>
    </rPh>
    <rPh sb="9" eb="11">
      <t>ヒッパ</t>
    </rPh>
    <rPh sb="11" eb="13">
      <t>テッキン</t>
    </rPh>
    <rPh sb="13" eb="15">
      <t>ジュウシン</t>
    </rPh>
    <rPh sb="15" eb="17">
      <t>イチ</t>
    </rPh>
    <rPh sb="20" eb="22">
      <t>キョリ</t>
    </rPh>
    <phoneticPr fontId="3"/>
  </si>
  <si>
    <t>dt=①+②+③+④</t>
    <phoneticPr fontId="3"/>
  </si>
  <si>
    <t>D:</t>
    <phoneticPr fontId="3"/>
  </si>
  <si>
    <t>梁のせい</t>
    <rPh sb="0" eb="1">
      <t>ハリ</t>
    </rPh>
    <phoneticPr fontId="3"/>
  </si>
  <si>
    <t>有効せい（曲げ材の圧縮縁から引張鉄筋重心までの距離）</t>
    <rPh sb="0" eb="2">
      <t>ユウコウ</t>
    </rPh>
    <rPh sb="5" eb="6">
      <t>マ</t>
    </rPh>
    <rPh sb="7" eb="8">
      <t>ザイ</t>
    </rPh>
    <rPh sb="9" eb="11">
      <t>アッシュク</t>
    </rPh>
    <rPh sb="11" eb="12">
      <t>フチ</t>
    </rPh>
    <rPh sb="14" eb="16">
      <t>ヒッパ</t>
    </rPh>
    <rPh sb="16" eb="18">
      <t>テッキン</t>
    </rPh>
    <rPh sb="18" eb="20">
      <t>ジュウシン</t>
    </rPh>
    <rPh sb="23" eb="25">
      <t>キョリ</t>
    </rPh>
    <phoneticPr fontId="3"/>
  </si>
  <si>
    <t>d=D-dt</t>
    <phoneticPr fontId="3"/>
  </si>
  <si>
    <t>j:</t>
    <phoneticPr fontId="3"/>
  </si>
  <si>
    <t>pt1=t1^2/(2・n(1-t1))</t>
    <phoneticPr fontId="3"/>
  </si>
  <si>
    <t>d・7/8</t>
    <phoneticPr fontId="3"/>
  </si>
  <si>
    <t>at=at1+at2</t>
    <phoneticPr fontId="3"/>
  </si>
  <si>
    <t>①かぶり</t>
    <phoneticPr fontId="3"/>
  </si>
  <si>
    <t>use</t>
    <phoneticPr fontId="3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</si>
  <si>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</si>
  <si>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</si>
  <si>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</si>
  <si>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(mm)</t>
    <phoneticPr fontId="3"/>
  </si>
  <si>
    <t>fc</t>
    <phoneticPr fontId="3"/>
  </si>
  <si>
    <t>ｄｔ</t>
    <phoneticPr fontId="3"/>
  </si>
  <si>
    <t>d</t>
    <phoneticPr fontId="3"/>
  </si>
  <si>
    <t>ｊ</t>
    <phoneticPr fontId="3"/>
  </si>
  <si>
    <t>ft</t>
    <phoneticPr fontId="3"/>
  </si>
  <si>
    <t>M=ft・at・j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</si>
  <si>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</si>
  <si>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(kNm)</t>
    <phoneticPr fontId="3"/>
  </si>
  <si>
    <t>dt:</t>
    <phoneticPr fontId="3"/>
  </si>
  <si>
    <t>dt=①+②+③+④</t>
    <phoneticPr fontId="3"/>
  </si>
  <si>
    <t>D:</t>
    <phoneticPr fontId="3"/>
  </si>
  <si>
    <t>d:</t>
    <phoneticPr fontId="3"/>
  </si>
  <si>
    <t>d=D-dt</t>
    <phoneticPr fontId="3"/>
  </si>
  <si>
    <t>j:</t>
    <phoneticPr fontId="3"/>
  </si>
  <si>
    <t>d・7/8</t>
    <phoneticPr fontId="3"/>
  </si>
  <si>
    <t>B</t>
    <phoneticPr fontId="3"/>
  </si>
  <si>
    <t>d</t>
    <phoneticPr fontId="3"/>
  </si>
  <si>
    <t>t</t>
    <phoneticPr fontId="3"/>
  </si>
  <si>
    <t>at</t>
    <phoneticPr fontId="3"/>
  </si>
  <si>
    <t>pt</t>
    <phoneticPr fontId="3"/>
  </si>
  <si>
    <t>n=Es/Ec</t>
    <phoneticPr fontId="3"/>
  </si>
  <si>
    <t>t1=t/d</t>
    <phoneticPr fontId="3"/>
  </si>
  <si>
    <t>Pt1</t>
    <phoneticPr fontId="3"/>
  </si>
  <si>
    <t>Pt2</t>
    <phoneticPr fontId="3"/>
  </si>
  <si>
    <t>(mm)</t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</si>
  <si>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</si>
  <si>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(%)</t>
    <phoneticPr fontId="3"/>
  </si>
  <si>
    <t>pt1</t>
    <phoneticPr fontId="3"/>
  </si>
  <si>
    <t>pt</t>
    <phoneticPr fontId="3"/>
  </si>
  <si>
    <t>B:</t>
    <phoneticPr fontId="3"/>
  </si>
  <si>
    <t>t:</t>
    <phoneticPr fontId="3"/>
  </si>
  <si>
    <t>at:</t>
    <phoneticPr fontId="3"/>
  </si>
  <si>
    <t>pt:</t>
    <phoneticPr fontId="3"/>
  </si>
  <si>
    <t>Pt=t1^2
/(2n(1-t1))</t>
    <phoneticPr fontId="3"/>
  </si>
  <si>
    <t>pt1:</t>
    <phoneticPr fontId="3"/>
  </si>
  <si>
    <t>pt1=t1^2/(2・n(1-t1))</t>
    <phoneticPr fontId="3"/>
  </si>
  <si>
    <t>pt2:</t>
    <phoneticPr fontId="3"/>
  </si>
  <si>
    <t>pt2=1/2{t1(2-t1)fc/ft-ti1^2/n)}</t>
    <phoneticPr fontId="3"/>
  </si>
  <si>
    <t>D</t>
    <phoneticPr fontId="3"/>
  </si>
  <si>
    <t>ft/(n・ｆｃ）</t>
    <phoneticPr fontId="3"/>
  </si>
  <si>
    <t>④dc</t>
    <phoneticPr fontId="3"/>
  </si>
  <si>
    <t>圧縮側</t>
    <rPh sb="0" eb="2">
      <t>アッシュク</t>
    </rPh>
    <rPh sb="2" eb="3">
      <t>ガワ</t>
    </rPh>
    <phoneticPr fontId="3"/>
  </si>
  <si>
    <t>引張側</t>
    <rPh sb="0" eb="2">
      <t>ヒッパ</t>
    </rPh>
    <rPh sb="2" eb="3">
      <t>ガワ</t>
    </rPh>
    <phoneticPr fontId="3"/>
  </si>
  <si>
    <t>④dｔ</t>
    <phoneticPr fontId="3"/>
  </si>
  <si>
    <t>dc</t>
    <phoneticPr fontId="3"/>
  </si>
  <si>
    <t>dc1=dc/d</t>
    <phoneticPr fontId="3"/>
  </si>
  <si>
    <t>γ=ac/at</t>
    <phoneticPr fontId="3"/>
  </si>
  <si>
    <t>ptb</t>
    <phoneticPr fontId="3"/>
  </si>
  <si>
    <t>4-D22</t>
    <phoneticPr fontId="3"/>
  </si>
  <si>
    <t>1-D22</t>
    <phoneticPr fontId="3"/>
  </si>
  <si>
    <t>0-D22</t>
    <phoneticPr fontId="3"/>
  </si>
  <si>
    <t>5-D25</t>
    <phoneticPr fontId="3"/>
  </si>
  <si>
    <t>D</t>
    <phoneticPr fontId="3"/>
  </si>
  <si>
    <t>ft</t>
    <phoneticPr fontId="3"/>
  </si>
  <si>
    <t>N</t>
    <phoneticPr fontId="3"/>
  </si>
  <si>
    <t>n</t>
    <phoneticPr fontId="3"/>
  </si>
  <si>
    <t>ag</t>
    <phoneticPr fontId="3"/>
  </si>
  <si>
    <t>RcGMa(幅B, せいD, 鉄筋dt, 鉄筋dc, 鉄筋at, 鉄筋ac, コンfc, 鉄筋ft, ヤング比n, 計算値)</t>
    <phoneticPr fontId="3"/>
  </si>
  <si>
    <t>B</t>
    <phoneticPr fontId="3"/>
  </si>
  <si>
    <t>dt</t>
    <phoneticPr fontId="3"/>
  </si>
  <si>
    <t>at</t>
    <phoneticPr fontId="3"/>
  </si>
  <si>
    <t>ac</t>
    <phoneticPr fontId="3"/>
  </si>
  <si>
    <t>4-D22</t>
    <phoneticPr fontId="3"/>
  </si>
  <si>
    <t>10/4-D22</t>
    <phoneticPr fontId="3"/>
  </si>
  <si>
    <t>5-D22</t>
    <phoneticPr fontId="3"/>
  </si>
  <si>
    <t>7-D22</t>
    <phoneticPr fontId="3"/>
  </si>
  <si>
    <t>8-D22</t>
    <phoneticPr fontId="3"/>
  </si>
  <si>
    <t>9-D22</t>
    <phoneticPr fontId="3"/>
  </si>
  <si>
    <t>D:</t>
    <phoneticPr fontId="3"/>
  </si>
  <si>
    <t>dc:</t>
    <phoneticPr fontId="3"/>
  </si>
  <si>
    <t>ag:</t>
    <phoneticPr fontId="3"/>
  </si>
  <si>
    <t>fc:</t>
    <phoneticPr fontId="3"/>
  </si>
  <si>
    <t>ft:</t>
    <phoneticPr fontId="3"/>
  </si>
  <si>
    <t>N:</t>
    <phoneticPr fontId="3"/>
  </si>
  <si>
    <t>n:</t>
    <phoneticPr fontId="3"/>
  </si>
  <si>
    <t>柱の直径</t>
    <rPh sb="0" eb="1">
      <t>ハシラ</t>
    </rPh>
    <rPh sb="2" eb="4">
      <t>チョッケイ</t>
    </rPh>
    <phoneticPr fontId="3"/>
  </si>
  <si>
    <t>圧縮縁から圧縮鉄筋心までの距離</t>
    <rPh sb="0" eb="2">
      <t>アッシュク</t>
    </rPh>
    <rPh sb="2" eb="3">
      <t>フチ</t>
    </rPh>
    <rPh sb="5" eb="7">
      <t>アッシュク</t>
    </rPh>
    <rPh sb="7" eb="9">
      <t>テッキン</t>
    </rPh>
    <rPh sb="9" eb="10">
      <t>シン</t>
    </rPh>
    <rPh sb="13" eb="15">
      <t>キョリ</t>
    </rPh>
    <phoneticPr fontId="3"/>
  </si>
  <si>
    <t>全鉄筋断面積</t>
    <rPh sb="0" eb="1">
      <t>ゼン</t>
    </rPh>
    <rPh sb="1" eb="3">
      <t>テッキン</t>
    </rPh>
    <rPh sb="3" eb="6">
      <t>ダンメンセキ</t>
    </rPh>
    <phoneticPr fontId="3"/>
  </si>
  <si>
    <t>コンクリートの許容圧縮応力度</t>
    <rPh sb="7" eb="9">
      <t>キョヨウ</t>
    </rPh>
    <rPh sb="9" eb="11">
      <t>アッシュク</t>
    </rPh>
    <rPh sb="11" eb="13">
      <t>オウリョク</t>
    </rPh>
    <rPh sb="13" eb="14">
      <t>ド</t>
    </rPh>
    <phoneticPr fontId="3"/>
  </si>
  <si>
    <t>鉄筋の許容引張応力度</t>
    <rPh sb="0" eb="2">
      <t>テッキン</t>
    </rPh>
    <rPh sb="3" eb="5">
      <t>キョヨウ</t>
    </rPh>
    <rPh sb="5" eb="6">
      <t>ヒ</t>
    </rPh>
    <rPh sb="6" eb="7">
      <t>パ</t>
    </rPh>
    <rPh sb="7" eb="9">
      <t>オウリョク</t>
    </rPh>
    <rPh sb="9" eb="10">
      <t>ド</t>
    </rPh>
    <phoneticPr fontId="3"/>
  </si>
  <si>
    <t>設計軸力</t>
    <rPh sb="0" eb="2">
      <t>セッケイ</t>
    </rPh>
    <rPh sb="2" eb="4">
      <t>ジクリョク</t>
    </rPh>
    <phoneticPr fontId="3"/>
  </si>
  <si>
    <t>ヤング係数比</t>
    <rPh sb="3" eb="5">
      <t>ケイスウ</t>
    </rPh>
    <rPh sb="5" eb="6">
      <t>ヒ</t>
    </rPh>
    <phoneticPr fontId="3"/>
  </si>
  <si>
    <t>中立軸位置を示す角度</t>
    <rPh sb="0" eb="2">
      <t>チュウリツ</t>
    </rPh>
    <rPh sb="2" eb="3">
      <t>ジク</t>
    </rPh>
    <rPh sb="3" eb="5">
      <t>イチ</t>
    </rPh>
    <rPh sb="6" eb="7">
      <t>シメ</t>
    </rPh>
    <rPh sb="8" eb="10">
      <t>カクド</t>
    </rPh>
    <phoneticPr fontId="3"/>
  </si>
  <si>
    <t>釣り合い中立軸位置を示す角度</t>
    <rPh sb="0" eb="1">
      <t>ツ</t>
    </rPh>
    <rPh sb="2" eb="3">
      <t>ア</t>
    </rPh>
    <rPh sb="4" eb="6">
      <t>チュウリツ</t>
    </rPh>
    <rPh sb="6" eb="7">
      <t>ジク</t>
    </rPh>
    <rPh sb="7" eb="9">
      <t>イチ</t>
    </rPh>
    <rPh sb="10" eb="11">
      <t>シメ</t>
    </rPh>
    <rPh sb="12" eb="14">
      <t>カクド</t>
    </rPh>
    <phoneticPr fontId="3"/>
  </si>
  <si>
    <t>(mm)</t>
    <phoneticPr fontId="3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</si>
  <si>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</si>
  <si>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</si>
  <si>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t>(kN)</t>
    <phoneticPr fontId="3"/>
  </si>
  <si>
    <t>use</t>
    <phoneticPr fontId="3"/>
  </si>
  <si>
    <t>θ:</t>
    <phoneticPr fontId="3"/>
  </si>
  <si>
    <t>θ</t>
  </si>
  <si>
    <t>θb:</t>
    <phoneticPr fontId="3"/>
  </si>
  <si>
    <t>θb</t>
  </si>
  <si>
    <t>6-D13</t>
    <phoneticPr fontId="3"/>
  </si>
  <si>
    <t>Ma:</t>
    <phoneticPr fontId="3"/>
  </si>
  <si>
    <t>円形断面柱の許容曲げモーメント</t>
    <rPh sb="0" eb="2">
      <t>エンケイ</t>
    </rPh>
    <rPh sb="2" eb="4">
      <t>ダンメン</t>
    </rPh>
    <rPh sb="4" eb="5">
      <t>ハシラ</t>
    </rPh>
    <rPh sb="6" eb="8">
      <t>キョヨウ</t>
    </rPh>
    <rPh sb="8" eb="9">
      <t>マ</t>
    </rPh>
    <phoneticPr fontId="3"/>
  </si>
  <si>
    <t>kNm</t>
    <phoneticPr fontId="3"/>
  </si>
  <si>
    <t>Ma</t>
    <phoneticPr fontId="3"/>
  </si>
  <si>
    <t>M</t>
    <phoneticPr fontId="3"/>
  </si>
  <si>
    <t>位置</t>
    <rPh sb="0" eb="2">
      <t>イチ</t>
    </rPh>
    <phoneticPr fontId="3"/>
  </si>
  <si>
    <t>判定</t>
    <rPh sb="0" eb="2">
      <t>ハンテイ</t>
    </rPh>
    <phoneticPr fontId="3"/>
  </si>
  <si>
    <t>A-1</t>
    <phoneticPr fontId="3"/>
  </si>
  <si>
    <t>A-2</t>
  </si>
  <si>
    <t>A-3</t>
  </si>
  <si>
    <t>A-4</t>
  </si>
  <si>
    <t>A-5</t>
  </si>
  <si>
    <t>B-1</t>
    <phoneticPr fontId="3"/>
  </si>
  <si>
    <t>B-2</t>
  </si>
  <si>
    <t>B-3</t>
  </si>
  <si>
    <t>B-4</t>
  </si>
  <si>
    <t>B-5</t>
  </si>
  <si>
    <t>C-1</t>
    <phoneticPr fontId="3"/>
  </si>
  <si>
    <t>C-2</t>
  </si>
  <si>
    <t>C-3</t>
  </si>
  <si>
    <t>C-4</t>
  </si>
  <si>
    <t>C-5</t>
  </si>
  <si>
    <t>M:</t>
    <phoneticPr fontId="3"/>
  </si>
  <si>
    <t>円形断面柱の曲げモーメント</t>
    <rPh sb="0" eb="2">
      <t>エンケイ</t>
    </rPh>
    <rPh sb="2" eb="4">
      <t>ダンメン</t>
    </rPh>
    <rPh sb="4" eb="5">
      <t>ハシラ</t>
    </rPh>
    <rPh sb="6" eb="7">
      <t>マ</t>
    </rPh>
    <phoneticPr fontId="3"/>
  </si>
  <si>
    <t>D</t>
    <phoneticPr fontId="3"/>
  </si>
  <si>
    <t>dc</t>
    <phoneticPr fontId="3"/>
  </si>
  <si>
    <t>use</t>
    <phoneticPr fontId="3"/>
  </si>
  <si>
    <t>ag</t>
    <phoneticPr fontId="3"/>
  </si>
  <si>
    <t>fc</t>
    <phoneticPr fontId="3"/>
  </si>
  <si>
    <t>ft</t>
    <phoneticPr fontId="3"/>
  </si>
  <si>
    <t>N</t>
    <phoneticPr fontId="3"/>
  </si>
  <si>
    <t>n</t>
    <phoneticPr fontId="3"/>
  </si>
  <si>
    <t>Ma</t>
    <phoneticPr fontId="3"/>
  </si>
  <si>
    <t>M</t>
    <phoneticPr fontId="3"/>
  </si>
  <si>
    <t>A-1</t>
    <phoneticPr fontId="3"/>
  </si>
  <si>
    <t>6-D13</t>
    <phoneticPr fontId="3"/>
  </si>
  <si>
    <t>B-1</t>
    <phoneticPr fontId="3"/>
  </si>
  <si>
    <t>C-1</t>
    <phoneticPr fontId="3"/>
  </si>
  <si>
    <t>D:</t>
    <phoneticPr fontId="3"/>
  </si>
  <si>
    <t>(mm)</t>
    <phoneticPr fontId="3"/>
  </si>
  <si>
    <t>dc:</t>
    <phoneticPr fontId="3"/>
  </si>
  <si>
    <t>(mm)</t>
    <phoneticPr fontId="3"/>
  </si>
  <si>
    <t>ag:</t>
    <phoneticPr fontId="3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</si>
  <si>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</si>
  <si>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t>fc:</t>
    <phoneticPr fontId="3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</si>
  <si>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</si>
  <si>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t>ft:</t>
    <phoneticPr fontId="3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</si>
  <si>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</si>
  <si>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t>N:</t>
    <phoneticPr fontId="3"/>
  </si>
  <si>
    <t>(kN)</t>
    <phoneticPr fontId="3"/>
  </si>
  <si>
    <t>n:</t>
    <phoneticPr fontId="3"/>
  </si>
  <si>
    <t>θ:</t>
    <phoneticPr fontId="3"/>
  </si>
  <si>
    <t>θb:</t>
    <phoneticPr fontId="3"/>
  </si>
  <si>
    <t>Ma:</t>
    <phoneticPr fontId="3"/>
  </si>
  <si>
    <t>kNm</t>
    <phoneticPr fontId="3"/>
  </si>
  <si>
    <t>M:</t>
    <phoneticPr fontId="3"/>
  </si>
  <si>
    <t>6-D13</t>
    <phoneticPr fontId="3"/>
  </si>
  <si>
    <t>D:</t>
    <phoneticPr fontId="3"/>
  </si>
  <si>
    <t>A-1</t>
    <phoneticPr fontId="3"/>
  </si>
  <si>
    <t>6-D13</t>
    <phoneticPr fontId="3"/>
  </si>
  <si>
    <t>B-1</t>
    <phoneticPr fontId="3"/>
  </si>
  <si>
    <t>C-1</t>
    <phoneticPr fontId="3"/>
  </si>
  <si>
    <t>D:</t>
    <phoneticPr fontId="3"/>
  </si>
  <si>
    <t>長方形梁の許容曲げモーメント</t>
    <rPh sb="0" eb="3">
      <t>チョウホウケイ</t>
    </rPh>
    <rPh sb="3" eb="4">
      <t>バリ</t>
    </rPh>
    <rPh sb="5" eb="7">
      <t>キョヨウ</t>
    </rPh>
    <rPh sb="7" eb="8">
      <t>マ</t>
    </rPh>
    <phoneticPr fontId="3"/>
  </si>
  <si>
    <t>(幅B, せいD, 鉄筋dt, 鉄筋dc, 鉄筋at, 鉄筋ac, コンfc, 鉄筋ft, ヤング比n, 計算値)</t>
    <phoneticPr fontId="3"/>
  </si>
  <si>
    <t>d:</t>
    <phoneticPr fontId="3"/>
  </si>
  <si>
    <t>use</t>
    <phoneticPr fontId="3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</si>
  <si>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</si>
  <si>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</si>
  <si>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</si>
  <si>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ft</t>
    <phoneticPr fontId="3"/>
  </si>
  <si>
    <t>fc</t>
    <phoneticPr fontId="3"/>
  </si>
  <si>
    <t>n=Es/Ec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</si>
  <si>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</si>
  <si>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(kNm)</t>
    <phoneticPr fontId="3"/>
  </si>
  <si>
    <t>B</t>
    <phoneticPr fontId="3"/>
  </si>
  <si>
    <t>d</t>
    <phoneticPr fontId="3"/>
  </si>
  <si>
    <t>xn1</t>
    <phoneticPr fontId="3"/>
  </si>
  <si>
    <t>xn</t>
    <phoneticPr fontId="3"/>
  </si>
  <si>
    <t>(mm3)</t>
    <phoneticPr fontId="3"/>
  </si>
  <si>
    <t>M=ft・at・j</t>
    <phoneticPr fontId="3"/>
  </si>
  <si>
    <r>
      <t>B・d</t>
    </r>
    <r>
      <rPr>
        <vertAlign val="superscript"/>
        <sz val="9"/>
        <rFont val="ＭＳ Ｐ明朝"/>
        <family val="1"/>
        <charset val="128"/>
      </rPr>
      <t>2</t>
    </r>
    <phoneticPr fontId="3"/>
  </si>
  <si>
    <t>j=d・7/8</t>
    <phoneticPr fontId="3"/>
  </si>
  <si>
    <t>④</t>
    <phoneticPr fontId="3"/>
  </si>
  <si>
    <t>dｔ</t>
    <phoneticPr fontId="3"/>
  </si>
  <si>
    <r>
      <t>ac1(mm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</si>
  <si>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ac2(mm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</si>
  <si>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ac=ac1+ac2</t>
    <phoneticPr fontId="3"/>
  </si>
  <si>
    <t>⑤かぶり</t>
    <phoneticPr fontId="3"/>
  </si>
  <si>
    <t>⑥あばら筋径</t>
    <rPh sb="4" eb="5">
      <t>キン</t>
    </rPh>
    <rPh sb="5" eb="6">
      <t>ケイ</t>
    </rPh>
    <phoneticPr fontId="3"/>
  </si>
  <si>
    <t>⑦主筋半径</t>
    <rPh sb="1" eb="3">
      <t>シュキン</t>
    </rPh>
    <rPh sb="3" eb="5">
      <t>ハンケイ</t>
    </rPh>
    <phoneticPr fontId="3"/>
  </si>
  <si>
    <t>⑧</t>
    <phoneticPr fontId="3"/>
  </si>
  <si>
    <t>ac:</t>
    <phoneticPr fontId="3"/>
  </si>
  <si>
    <t>引張り鉄筋断面積</t>
    <rPh sb="0" eb="2">
      <t>ヒッパ</t>
    </rPh>
    <rPh sb="3" eb="5">
      <t>テッキン</t>
    </rPh>
    <rPh sb="5" eb="8">
      <t>ダンメンセキ</t>
    </rPh>
    <phoneticPr fontId="3"/>
  </si>
  <si>
    <t>圧縮鉄筋断面積</t>
    <rPh sb="0" eb="2">
      <t>アッシュク</t>
    </rPh>
    <rPh sb="2" eb="4">
      <t>テッキン</t>
    </rPh>
    <rPh sb="4" eb="7">
      <t>ダンメンセキ</t>
    </rPh>
    <phoneticPr fontId="3"/>
  </si>
  <si>
    <t>④:</t>
    <phoneticPr fontId="3"/>
  </si>
  <si>
    <t>⑤:</t>
    <phoneticPr fontId="3"/>
  </si>
  <si>
    <t>引張り側１段目鉄筋心より引張り側鉄筋重心位置</t>
    <rPh sb="0" eb="2">
      <t>ヒッパ</t>
    </rPh>
    <rPh sb="3" eb="4">
      <t>ガワ</t>
    </rPh>
    <rPh sb="5" eb="7">
      <t>ダンメ</t>
    </rPh>
    <rPh sb="7" eb="9">
      <t>テッキン</t>
    </rPh>
    <rPh sb="9" eb="10">
      <t>シン</t>
    </rPh>
    <rPh sb="16" eb="18">
      <t>テッキン</t>
    </rPh>
    <rPh sb="18" eb="20">
      <t>ジュウシン</t>
    </rPh>
    <rPh sb="20" eb="22">
      <t>イチ</t>
    </rPh>
    <phoneticPr fontId="3"/>
  </si>
  <si>
    <t>圧縮側1段目鉄筋心より圧縮鉄筋重心位置</t>
    <rPh sb="0" eb="2">
      <t>アッシュク</t>
    </rPh>
    <rPh sb="2" eb="3">
      <t>ガワ</t>
    </rPh>
    <rPh sb="4" eb="6">
      <t>ダンメ</t>
    </rPh>
    <rPh sb="6" eb="8">
      <t>テッキン</t>
    </rPh>
    <rPh sb="8" eb="9">
      <t>シン</t>
    </rPh>
    <rPh sb="15" eb="17">
      <t>ジュウシン</t>
    </rPh>
    <rPh sb="17" eb="19">
      <t>イチ</t>
    </rPh>
    <phoneticPr fontId="3"/>
  </si>
  <si>
    <t>dc:</t>
    <phoneticPr fontId="3"/>
  </si>
  <si>
    <t>引張縁から引張鉄筋重心位置までの距離</t>
    <rPh sb="0" eb="2">
      <t>ヒッパ</t>
    </rPh>
    <rPh sb="2" eb="3">
      <t>エン</t>
    </rPh>
    <rPh sb="5" eb="7">
      <t>ヒッパ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3"/>
  </si>
  <si>
    <t>圧縮縁から圧縮鉄筋重心位置までの距離</t>
    <rPh sb="0" eb="2">
      <t>アッシュク</t>
    </rPh>
    <rPh sb="2" eb="3">
      <t>フチ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3"/>
  </si>
  <si>
    <t>dc=⑤+⑥+⑦+⑧</t>
    <phoneticPr fontId="3"/>
  </si>
  <si>
    <t>γ=ac/at</t>
    <phoneticPr fontId="3"/>
  </si>
  <si>
    <t>γ:</t>
    <phoneticPr fontId="3"/>
  </si>
  <si>
    <t>複筋比</t>
    <rPh sb="0" eb="1">
      <t>フク</t>
    </rPh>
    <rPh sb="1" eb="2">
      <t>キン</t>
    </rPh>
    <rPh sb="2" eb="3">
      <t>ヒ</t>
    </rPh>
    <phoneticPr fontId="3"/>
  </si>
  <si>
    <t>xn1:</t>
    <phoneticPr fontId="3"/>
  </si>
  <si>
    <t>中立軸比　xn1=xn/d</t>
    <rPh sb="0" eb="2">
      <t>チュウリツ</t>
    </rPh>
    <rPh sb="2" eb="3">
      <t>ジク</t>
    </rPh>
    <rPh sb="3" eb="4">
      <t>ヒ</t>
    </rPh>
    <phoneticPr fontId="3"/>
  </si>
  <si>
    <t>xn:</t>
    <phoneticPr fontId="3"/>
  </si>
  <si>
    <t>中立位置（圧縮縁より）</t>
    <rPh sb="0" eb="2">
      <t>チュウリツ</t>
    </rPh>
    <rPh sb="2" eb="4">
      <t>イチ</t>
    </rPh>
    <rPh sb="5" eb="7">
      <t>アッシュク</t>
    </rPh>
    <rPh sb="7" eb="8">
      <t>フチ</t>
    </rPh>
    <phoneticPr fontId="3"/>
  </si>
  <si>
    <t>pt:</t>
    <phoneticPr fontId="3"/>
  </si>
  <si>
    <t>Pt=at/(B・d)</t>
    <phoneticPr fontId="3"/>
  </si>
  <si>
    <t>ptb:</t>
    <phoneticPr fontId="3"/>
  </si>
  <si>
    <t>つり合い鉄筋比</t>
    <rPh sb="2" eb="3">
      <t>ア</t>
    </rPh>
    <rPh sb="4" eb="6">
      <t>テッキン</t>
    </rPh>
    <rPh sb="6" eb="7">
      <t>ヒ</t>
    </rPh>
    <phoneticPr fontId="3"/>
  </si>
  <si>
    <t>Ma:</t>
    <phoneticPr fontId="3"/>
  </si>
  <si>
    <t>長方形梁の許容曲げモーメント</t>
    <rPh sb="0" eb="2">
      <t>チョウホウ</t>
    </rPh>
    <rPh sb="2" eb="3">
      <t>ケイ</t>
    </rPh>
    <rPh sb="3" eb="4">
      <t>バリ</t>
    </rPh>
    <rPh sb="5" eb="7">
      <t>キョヨウ</t>
    </rPh>
    <rPh sb="7" eb="8">
      <t>マ</t>
    </rPh>
    <phoneticPr fontId="3"/>
  </si>
  <si>
    <t>C1</t>
    <phoneticPr fontId="3"/>
  </si>
  <si>
    <t>C2</t>
    <phoneticPr fontId="3"/>
  </si>
  <si>
    <t>C</t>
    <phoneticPr fontId="3"/>
  </si>
  <si>
    <t>D</t>
    <phoneticPr fontId="3"/>
  </si>
  <si>
    <t>dc</t>
    <phoneticPr fontId="3"/>
  </si>
  <si>
    <t>use</t>
    <phoneticPr fontId="3"/>
  </si>
  <si>
    <t>ag</t>
    <phoneticPr fontId="3"/>
  </si>
  <si>
    <t>fc</t>
    <phoneticPr fontId="3"/>
  </si>
  <si>
    <t>ft</t>
    <phoneticPr fontId="3"/>
  </si>
  <si>
    <t>N</t>
    <phoneticPr fontId="3"/>
  </si>
  <si>
    <t>n</t>
    <phoneticPr fontId="3"/>
  </si>
  <si>
    <t>Ma</t>
    <phoneticPr fontId="3"/>
  </si>
  <si>
    <t>M</t>
    <phoneticPr fontId="3"/>
  </si>
  <si>
    <t>A-1</t>
    <phoneticPr fontId="3"/>
  </si>
  <si>
    <t>B-1</t>
    <phoneticPr fontId="3"/>
  </si>
  <si>
    <t>C-1</t>
    <phoneticPr fontId="3"/>
  </si>
  <si>
    <r>
      <t>4</t>
    </r>
    <r>
      <rPr>
        <sz val="10"/>
        <rFont val="ＭＳ Ｐ明朝"/>
        <family val="1"/>
        <charset val="128"/>
      </rPr>
      <t>-D</t>
    </r>
    <r>
      <rPr>
        <sz val="10"/>
        <rFont val="ＭＳ Ｐ明朝"/>
        <family val="1"/>
        <charset val="128"/>
      </rPr>
      <t>19</t>
    </r>
    <phoneticPr fontId="3"/>
  </si>
  <si>
    <t>A-1</t>
    <phoneticPr fontId="3"/>
  </si>
  <si>
    <t>B-1</t>
    <phoneticPr fontId="3"/>
  </si>
  <si>
    <t>C-1</t>
    <phoneticPr fontId="3"/>
  </si>
  <si>
    <t>D:</t>
    <phoneticPr fontId="3"/>
  </si>
  <si>
    <t>6-D13</t>
    <phoneticPr fontId="3"/>
  </si>
  <si>
    <t>A-1</t>
    <phoneticPr fontId="3"/>
  </si>
  <si>
    <t>B-1</t>
    <phoneticPr fontId="3"/>
  </si>
  <si>
    <t>C-1</t>
    <phoneticPr fontId="3"/>
  </si>
  <si>
    <t>D:</t>
    <phoneticPr fontId="3"/>
  </si>
  <si>
    <t>ｆｃ</t>
    <phoneticPr fontId="3"/>
  </si>
  <si>
    <t>Xn1</t>
    <phoneticPr fontId="3"/>
  </si>
  <si>
    <t>Sc</t>
    <phoneticPr fontId="3"/>
  </si>
  <si>
    <t>Scs</t>
    <phoneticPr fontId="3"/>
  </si>
  <si>
    <t>Ss</t>
    <phoneticPr fontId="3"/>
  </si>
  <si>
    <t>S</t>
    <phoneticPr fontId="3"/>
  </si>
  <si>
    <t>Cc</t>
    <phoneticPr fontId="3"/>
  </si>
  <si>
    <t>Cs</t>
    <phoneticPr fontId="3"/>
  </si>
  <si>
    <t>T</t>
    <phoneticPr fontId="3"/>
  </si>
  <si>
    <t>M/bD</t>
    <phoneticPr fontId="3"/>
  </si>
  <si>
    <t>N/bD</t>
    <phoneticPr fontId="3"/>
  </si>
  <si>
    <t>dc1</t>
    <phoneticPr fontId="3"/>
  </si>
  <si>
    <t>b</t>
    <phoneticPr fontId="3"/>
  </si>
  <si>
    <t>pc</t>
    <phoneticPr fontId="3"/>
  </si>
  <si>
    <t>2(n-1)pc</t>
    <phoneticPr fontId="3"/>
  </si>
  <si>
    <t>2npt</t>
    <phoneticPr fontId="3"/>
  </si>
  <si>
    <t>N/(bD2)</t>
    <phoneticPr fontId="3"/>
  </si>
  <si>
    <t>c</t>
    <phoneticPr fontId="3"/>
  </si>
  <si>
    <t>2(n-1)dc1</t>
    <phoneticPr fontId="3"/>
  </si>
  <si>
    <t>dc1</t>
    <phoneticPr fontId="3"/>
  </si>
  <si>
    <t>dt1</t>
    <phoneticPr fontId="3"/>
  </si>
  <si>
    <t>2npt(1-dt1)</t>
    <phoneticPr fontId="3"/>
  </si>
  <si>
    <t>RcCMa(幅B, せいD, 鉄筋dc, 鉄筋at, コンfc, 鉄筋ft, 軸力N, ヤング比n, 計算値)</t>
    <phoneticPr fontId="3"/>
  </si>
  <si>
    <t>4-D22</t>
    <phoneticPr fontId="3"/>
  </si>
  <si>
    <r>
      <t>X</t>
    </r>
    <r>
      <rPr>
        <sz val="10"/>
        <rFont val="ＭＳ Ｐ明朝"/>
        <family val="1"/>
        <charset val="128"/>
      </rPr>
      <t>n</t>
    </r>
    <phoneticPr fontId="3"/>
  </si>
  <si>
    <t>1.算出条件</t>
    <rPh sb="2" eb="4">
      <t>サンシュツ</t>
    </rPh>
    <rPh sb="4" eb="6">
      <t>ジョウケン</t>
    </rPh>
    <phoneticPr fontId="3"/>
  </si>
  <si>
    <t>(kNm)</t>
    <phoneticPr fontId="3"/>
  </si>
  <si>
    <t>杭頭補強筋の検討</t>
    <rPh sb="0" eb="1">
      <t>クイ</t>
    </rPh>
    <rPh sb="1" eb="2">
      <t>アタマ</t>
    </rPh>
    <rPh sb="2" eb="4">
      <t>ホキョウ</t>
    </rPh>
    <rPh sb="4" eb="5">
      <t>スジ</t>
    </rPh>
    <rPh sb="6" eb="8">
      <t>ケントウ</t>
    </rPh>
    <phoneticPr fontId="3"/>
  </si>
  <si>
    <t>2-D22</t>
    <phoneticPr fontId="3"/>
  </si>
  <si>
    <t>φ300</t>
    <phoneticPr fontId="3"/>
  </si>
  <si>
    <r>
      <t>H</t>
    </r>
    <r>
      <rPr>
        <sz val="10"/>
        <rFont val="ＭＳ Ｐ明朝"/>
        <family val="1"/>
        <charset val="128"/>
      </rPr>
      <t>-2+</t>
    </r>
    <phoneticPr fontId="3"/>
  </si>
  <si>
    <r>
      <t>B</t>
    </r>
    <r>
      <rPr>
        <sz val="10"/>
        <rFont val="ＭＳ Ｐ明朝"/>
        <family val="1"/>
        <charset val="128"/>
      </rPr>
      <t>+-1</t>
    </r>
    <phoneticPr fontId="3"/>
  </si>
  <si>
    <t>杭頭補強方法はかご筋とし，仮想断面は杭径+200mmとする。</t>
    <rPh sb="0" eb="1">
      <t>クイ</t>
    </rPh>
    <rPh sb="1" eb="2">
      <t>アタマ</t>
    </rPh>
    <rPh sb="2" eb="4">
      <t>ホキョウ</t>
    </rPh>
    <rPh sb="4" eb="6">
      <t>ホウホウ</t>
    </rPh>
    <rPh sb="9" eb="10">
      <t>キン</t>
    </rPh>
    <rPh sb="13" eb="15">
      <t>カソウ</t>
    </rPh>
    <rPh sb="15" eb="17">
      <t>ダンメン</t>
    </rPh>
    <rPh sb="18" eb="19">
      <t>クイ</t>
    </rPh>
    <rPh sb="19" eb="20">
      <t>ケイ</t>
    </rPh>
    <phoneticPr fontId="3"/>
  </si>
  <si>
    <t>6-D19</t>
    <phoneticPr fontId="3"/>
  </si>
  <si>
    <t>n=Es/Ec</t>
    <phoneticPr fontId="3"/>
  </si>
  <si>
    <t>B</t>
    <phoneticPr fontId="3"/>
  </si>
  <si>
    <t>d</t>
    <phoneticPr fontId="3"/>
  </si>
  <si>
    <t>j=d・7/8</t>
    <phoneticPr fontId="3"/>
  </si>
  <si>
    <t>M=ft・at・j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</si>
  <si>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</si>
  <si>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(mm)</t>
    <phoneticPr fontId="3"/>
  </si>
  <si>
    <t>(mm3)</t>
    <phoneticPr fontId="3"/>
  </si>
  <si>
    <t>(kNm)</t>
    <phoneticPr fontId="3"/>
  </si>
  <si>
    <t>dｔ</t>
    <phoneticPr fontId="3"/>
  </si>
  <si>
    <t>ac=ac1+ac2</t>
    <phoneticPr fontId="3"/>
  </si>
  <si>
    <t>⑤かぶり</t>
    <phoneticPr fontId="3"/>
  </si>
  <si>
    <t>⑧</t>
    <phoneticPr fontId="3"/>
  </si>
  <si>
    <t>dc</t>
    <phoneticPr fontId="3"/>
  </si>
  <si>
    <r>
      <t>ac1(mm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</si>
  <si>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γ=ac/at</t>
    <phoneticPr fontId="3"/>
  </si>
  <si>
    <t>xn1</t>
    <phoneticPr fontId="3"/>
  </si>
  <si>
    <t>xn</t>
    <phoneticPr fontId="3"/>
  </si>
  <si>
    <t>pt</t>
    <phoneticPr fontId="3"/>
  </si>
  <si>
    <t>ptb</t>
    <phoneticPr fontId="3"/>
  </si>
  <si>
    <t>C1</t>
    <phoneticPr fontId="3"/>
  </si>
  <si>
    <t>C2</t>
    <phoneticPr fontId="3"/>
  </si>
  <si>
    <t>C</t>
    <phoneticPr fontId="3"/>
  </si>
  <si>
    <t>Ma</t>
    <phoneticPr fontId="3"/>
  </si>
  <si>
    <t>(%)</t>
    <phoneticPr fontId="3"/>
  </si>
  <si>
    <t>fc:</t>
    <phoneticPr fontId="3"/>
  </si>
  <si>
    <t>n:</t>
    <phoneticPr fontId="3"/>
  </si>
  <si>
    <t>D:</t>
    <phoneticPr fontId="3"/>
  </si>
  <si>
    <t>d:</t>
    <phoneticPr fontId="3"/>
  </si>
  <si>
    <t>at:</t>
    <phoneticPr fontId="3"/>
  </si>
  <si>
    <t>ac:</t>
    <phoneticPr fontId="3"/>
  </si>
  <si>
    <t>④:</t>
    <phoneticPr fontId="3"/>
  </si>
  <si>
    <t>⑤:</t>
    <phoneticPr fontId="3"/>
  </si>
  <si>
    <t>dt:</t>
    <phoneticPr fontId="3"/>
  </si>
  <si>
    <t>dt=①+②+③+④</t>
    <phoneticPr fontId="3"/>
  </si>
  <si>
    <t>dc:</t>
    <phoneticPr fontId="3"/>
  </si>
  <si>
    <t>dc=⑤+⑥+⑦+⑧</t>
    <phoneticPr fontId="3"/>
  </si>
  <si>
    <t>γ:</t>
    <phoneticPr fontId="3"/>
  </si>
  <si>
    <t>xn:</t>
    <phoneticPr fontId="3"/>
  </si>
  <si>
    <t>pt:</t>
    <phoneticPr fontId="3"/>
  </si>
  <si>
    <t>Pt=at/(B・d)</t>
    <phoneticPr fontId="3"/>
  </si>
  <si>
    <t>ptb:</t>
    <phoneticPr fontId="3"/>
  </si>
  <si>
    <t>Qsuo:</t>
    <phoneticPr fontId="3"/>
  </si>
  <si>
    <t>M/(Qd)は3以上の場合には3とし，1以下のときは1とする。</t>
    <rPh sb="8" eb="10">
      <t>イジョウ</t>
    </rPh>
    <rPh sb="11" eb="13">
      <t>バアイ</t>
    </rPh>
    <rPh sb="20" eb="22">
      <t>イカ</t>
    </rPh>
    <phoneticPr fontId="3"/>
  </si>
  <si>
    <t>ku:</t>
    <phoneticPr fontId="3"/>
  </si>
  <si>
    <t>有効せいｄによる係数でｄ≧400㎜のときは0.72で一定。</t>
    <rPh sb="0" eb="2">
      <t>ユウコウ</t>
    </rPh>
    <rPh sb="8" eb="10">
      <t>ケイスウ</t>
    </rPh>
    <rPh sb="26" eb="28">
      <t>イッテイ</t>
    </rPh>
    <phoneticPr fontId="3"/>
  </si>
  <si>
    <t>有孔梁のせん断終局強度で,孔まわり部分で決まる値。</t>
    <rPh sb="0" eb="3">
      <t>ユウコウバリ</t>
    </rPh>
    <rPh sb="6" eb="7">
      <t>ダン</t>
    </rPh>
    <rPh sb="7" eb="11">
      <t>シュウキョクキョウド</t>
    </rPh>
    <rPh sb="13" eb="14">
      <t>アナ</t>
    </rPh>
    <rPh sb="17" eb="19">
      <t>ブブン</t>
    </rPh>
    <rPh sb="20" eb="21">
      <t>キ</t>
    </rPh>
    <rPh sb="23" eb="24">
      <t>アタイ</t>
    </rPh>
    <phoneticPr fontId="3"/>
  </si>
  <si>
    <t>kp:</t>
    <phoneticPr fontId="3"/>
  </si>
  <si>
    <r>
      <t>引張鉄筋比ptによる係数でkp=2.36(pt)</t>
    </r>
    <r>
      <rPr>
        <vertAlign val="superscript"/>
        <sz val="9"/>
        <rFont val="ＭＳ Ｐ明朝"/>
        <family val="1"/>
        <charset val="128"/>
      </rPr>
      <t>0.23</t>
    </r>
    <rPh sb="0" eb="2">
      <t>ヒッパ</t>
    </rPh>
    <rPh sb="2" eb="4">
      <t>テッキン</t>
    </rPh>
    <rPh sb="4" eb="5">
      <t>ヒ</t>
    </rPh>
    <rPh sb="10" eb="12">
      <t>ケイスウ</t>
    </rPh>
    <phoneticPr fontId="3"/>
  </si>
  <si>
    <t>b:</t>
    <phoneticPr fontId="3"/>
  </si>
  <si>
    <t>梁幅</t>
    <rPh sb="0" eb="1">
      <t>ハリ</t>
    </rPh>
    <rPh sb="1" eb="2">
      <t>ハバ</t>
    </rPh>
    <phoneticPr fontId="3"/>
  </si>
  <si>
    <t>梁有効せい</t>
    <rPh sb="0" eb="1">
      <t>ハリ</t>
    </rPh>
    <rPh sb="1" eb="3">
      <t>ユウコウ</t>
    </rPh>
    <phoneticPr fontId="3"/>
  </si>
  <si>
    <t>応力中心距離</t>
    <rPh sb="0" eb="2">
      <t>オウリョク</t>
    </rPh>
    <rPh sb="2" eb="4">
      <t>チュウシン</t>
    </rPh>
    <rPh sb="4" eb="6">
      <t>キョリ</t>
    </rPh>
    <phoneticPr fontId="3"/>
  </si>
  <si>
    <t>Fc:</t>
    <phoneticPr fontId="3"/>
  </si>
  <si>
    <t>コンクリートの設計基準強度</t>
    <rPh sb="7" eb="9">
      <t>セッケイ</t>
    </rPh>
    <rPh sb="9" eb="11">
      <t>キジュン</t>
    </rPh>
    <rPh sb="11" eb="13">
      <t>キョウド</t>
    </rPh>
    <phoneticPr fontId="3"/>
  </si>
  <si>
    <t>H:</t>
    <phoneticPr fontId="3"/>
  </si>
  <si>
    <t>円孔の直径〔正方形孔の場合は，その外接円の直径〕</t>
    <rPh sb="0" eb="1">
      <t>エン</t>
    </rPh>
    <rPh sb="1" eb="2">
      <t>アナ</t>
    </rPh>
    <rPh sb="3" eb="5">
      <t>チョッケイ</t>
    </rPh>
    <rPh sb="6" eb="9">
      <t>セイホウケイ</t>
    </rPh>
    <rPh sb="9" eb="10">
      <t>アナ</t>
    </rPh>
    <rPh sb="11" eb="13">
      <t>バアイ</t>
    </rPh>
    <rPh sb="17" eb="19">
      <t>ガイセツ</t>
    </rPh>
    <rPh sb="19" eb="20">
      <t>エン</t>
    </rPh>
    <rPh sb="21" eb="23">
      <t>チョッケイ</t>
    </rPh>
    <phoneticPr fontId="3"/>
  </si>
  <si>
    <t>H/D≦1/3</t>
    <phoneticPr fontId="3"/>
  </si>
  <si>
    <t>ｐs:</t>
    <phoneticPr fontId="3"/>
  </si>
  <si>
    <t>孔周囲の補強筋比</t>
    <rPh sb="0" eb="1">
      <t>アナ</t>
    </rPh>
    <rPh sb="1" eb="3">
      <t>シュウイ</t>
    </rPh>
    <rPh sb="4" eb="6">
      <t>ホキョウ</t>
    </rPh>
    <rPh sb="6" eb="7">
      <t>キン</t>
    </rPh>
    <rPh sb="7" eb="8">
      <t>ヒ</t>
    </rPh>
    <phoneticPr fontId="3"/>
  </si>
  <si>
    <t>ps=Σ(as(sinθ+cosθ))/(bc)</t>
    <phoneticPr fontId="3"/>
  </si>
  <si>
    <t>as:</t>
    <phoneticPr fontId="3"/>
  </si>
  <si>
    <t>孔の片側cの範囲内にある1組の補強筋の断面積</t>
    <rPh sb="0" eb="1">
      <t>アナ</t>
    </rPh>
    <rPh sb="2" eb="4">
      <t>カタガワ</t>
    </rPh>
    <rPh sb="6" eb="8">
      <t>ハンイ</t>
    </rPh>
    <rPh sb="8" eb="9">
      <t>ナイ</t>
    </rPh>
    <rPh sb="13" eb="14">
      <t>クミ</t>
    </rPh>
    <rPh sb="15" eb="17">
      <t>ホキョウ</t>
    </rPh>
    <rPh sb="17" eb="18">
      <t>キン</t>
    </rPh>
    <rPh sb="19" eb="22">
      <t>ダンメンセキ</t>
    </rPh>
    <phoneticPr fontId="3"/>
  </si>
  <si>
    <t>孔周囲補強筋が材軸となす角度</t>
    <rPh sb="0" eb="1">
      <t>アナ</t>
    </rPh>
    <rPh sb="1" eb="3">
      <t>シュウイ</t>
    </rPh>
    <rPh sb="3" eb="5">
      <t>ホキョウ</t>
    </rPh>
    <rPh sb="5" eb="6">
      <t>キン</t>
    </rPh>
    <rPh sb="7" eb="9">
      <t>ザイジク</t>
    </rPh>
    <rPh sb="12" eb="14">
      <t>カクド</t>
    </rPh>
    <phoneticPr fontId="3"/>
  </si>
  <si>
    <t>Fc</t>
    <phoneticPr fontId="3"/>
  </si>
  <si>
    <t>2-D13</t>
    <phoneticPr fontId="3"/>
  </si>
  <si>
    <t>3-D19</t>
    <phoneticPr fontId="3"/>
  </si>
  <si>
    <t>0-D19</t>
    <phoneticPr fontId="3"/>
  </si>
  <si>
    <t>3-D19</t>
    <phoneticPr fontId="3"/>
  </si>
  <si>
    <t>ft:</t>
    <phoneticPr fontId="3"/>
  </si>
  <si>
    <t>d:</t>
    <phoneticPr fontId="3"/>
  </si>
  <si>
    <t>b・ｊ</t>
    <phoneticPr fontId="3"/>
  </si>
  <si>
    <t>ｆｓ</t>
    <phoneticPr fontId="3"/>
  </si>
  <si>
    <t>α</t>
    <phoneticPr fontId="3"/>
  </si>
  <si>
    <t>α・ｆｓ</t>
    <phoneticPr fontId="3"/>
  </si>
  <si>
    <t>@</t>
    <phoneticPr fontId="3"/>
  </si>
  <si>
    <t>pw</t>
    <phoneticPr fontId="3"/>
  </si>
  <si>
    <t>=</t>
    <phoneticPr fontId="3"/>
  </si>
  <si>
    <t>b</t>
    <phoneticPr fontId="3"/>
  </si>
  <si>
    <t>x</t>
    <phoneticPr fontId="3"/>
  </si>
  <si>
    <t>j</t>
    <phoneticPr fontId="3"/>
  </si>
  <si>
    <t>3-D13</t>
    <phoneticPr fontId="3"/>
  </si>
  <si>
    <t>wft</t>
    <phoneticPr fontId="3"/>
  </si>
  <si>
    <t>Fc</t>
    <phoneticPr fontId="3"/>
  </si>
  <si>
    <t>dt</t>
    <phoneticPr fontId="3"/>
  </si>
  <si>
    <t>b</t>
    <phoneticPr fontId="3"/>
  </si>
  <si>
    <t>fs</t>
    <phoneticPr fontId="3"/>
  </si>
  <si>
    <t>wft</t>
    <phoneticPr fontId="3"/>
  </si>
  <si>
    <t>②</t>
    <phoneticPr fontId="3"/>
  </si>
  <si>
    <t>①+②</t>
    <phoneticPr fontId="3"/>
  </si>
  <si>
    <t>2-D13</t>
    <phoneticPr fontId="3"/>
  </si>
  <si>
    <t>主筋外径</t>
    <rPh sb="0" eb="2">
      <t>シュキン</t>
    </rPh>
    <rPh sb="2" eb="3">
      <t>ガイ</t>
    </rPh>
    <rPh sb="3" eb="4">
      <t>ケイ</t>
    </rPh>
    <phoneticPr fontId="3"/>
  </si>
  <si>
    <t>あばら筋</t>
    <rPh sb="3" eb="4">
      <t>キン</t>
    </rPh>
    <phoneticPr fontId="3"/>
  </si>
  <si>
    <t>D10</t>
    <phoneticPr fontId="3"/>
  </si>
  <si>
    <t>D13</t>
    <phoneticPr fontId="3"/>
  </si>
  <si>
    <t>D16</t>
    <phoneticPr fontId="3"/>
  </si>
  <si>
    <t>D19</t>
    <phoneticPr fontId="3"/>
  </si>
  <si>
    <t>D22</t>
    <phoneticPr fontId="3"/>
  </si>
  <si>
    <t>D25</t>
    <phoneticPr fontId="3"/>
  </si>
  <si>
    <t>D29</t>
    <phoneticPr fontId="3"/>
  </si>
  <si>
    <t>D32</t>
    <phoneticPr fontId="3"/>
  </si>
  <si>
    <t>D35</t>
    <phoneticPr fontId="3"/>
  </si>
  <si>
    <t>D38</t>
    <phoneticPr fontId="3"/>
  </si>
  <si>
    <t>主筋位置</t>
    <rPh sb="0" eb="2">
      <t>シュキン</t>
    </rPh>
    <rPh sb="2" eb="4">
      <t>イチ</t>
    </rPh>
    <phoneticPr fontId="3"/>
  </si>
  <si>
    <t>1段目</t>
    <rPh sb="1" eb="2">
      <t>ダン</t>
    </rPh>
    <rPh sb="2" eb="3">
      <t>メ</t>
    </rPh>
    <phoneticPr fontId="3"/>
  </si>
  <si>
    <t>2段目</t>
    <rPh sb="1" eb="3">
      <t>ダンメ</t>
    </rPh>
    <phoneticPr fontId="3"/>
  </si>
  <si>
    <t>あばら外径</t>
    <rPh sb="3" eb="4">
      <t>ガイ</t>
    </rPh>
    <rPh sb="4" eb="5">
      <t>ケイ</t>
    </rPh>
    <phoneticPr fontId="3"/>
  </si>
  <si>
    <t>2-D22</t>
    <phoneticPr fontId="3"/>
  </si>
  <si>
    <t>Qal</t>
    <phoneticPr fontId="3"/>
  </si>
  <si>
    <t>@ (mm)</t>
    <phoneticPr fontId="3"/>
  </si>
  <si>
    <r>
      <t>aw 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</si>
  <si>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pw</t>
    <phoneticPr fontId="3"/>
  </si>
  <si>
    <t>aw/(b・x)</t>
    <phoneticPr fontId="3"/>
  </si>
  <si>
    <t>(kN)</t>
    <phoneticPr fontId="3"/>
  </si>
  <si>
    <t>①かぶり</t>
    <phoneticPr fontId="3"/>
  </si>
  <si>
    <t>M</t>
    <phoneticPr fontId="3"/>
  </si>
  <si>
    <t>Q</t>
    <phoneticPr fontId="3"/>
  </si>
  <si>
    <t>d</t>
    <phoneticPr fontId="3"/>
  </si>
  <si>
    <t>α</t>
    <phoneticPr fontId="3"/>
  </si>
  <si>
    <t>H</t>
    <phoneticPr fontId="3"/>
  </si>
  <si>
    <t>D</t>
    <phoneticPr fontId="3"/>
  </si>
  <si>
    <t>H/D</t>
    <phoneticPr fontId="3"/>
  </si>
  <si>
    <t>①</t>
    <phoneticPr fontId="3"/>
  </si>
  <si>
    <t>M/(Qd)</t>
    <phoneticPr fontId="3"/>
  </si>
  <si>
    <t>(mm)</t>
    <phoneticPr fontId="3"/>
  </si>
  <si>
    <t>Qao</t>
    <phoneticPr fontId="3"/>
  </si>
  <si>
    <t>Q/Qao</t>
    <phoneticPr fontId="3"/>
  </si>
  <si>
    <r>
      <t>as1(mm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</si>
  <si>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as2(mm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</si>
  <si>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孔際あばら筋</t>
    <rPh sb="0" eb="1">
      <t>アナ</t>
    </rPh>
    <rPh sb="1" eb="2">
      <t>ギワ</t>
    </rPh>
    <rPh sb="5" eb="6">
      <t>キン</t>
    </rPh>
    <phoneticPr fontId="3"/>
  </si>
  <si>
    <t>ななめ補強筋</t>
    <rPh sb="3" eb="5">
      <t>ホキョウ</t>
    </rPh>
    <rPh sb="5" eb="6">
      <t>キン</t>
    </rPh>
    <phoneticPr fontId="3"/>
  </si>
  <si>
    <t>梁の貫通補強　（孔周囲の長期許容せん断力）</t>
    <rPh sb="0" eb="1">
      <t>ハリ</t>
    </rPh>
    <rPh sb="2" eb="4">
      <t>カンツウ</t>
    </rPh>
    <rPh sb="4" eb="6">
      <t>ホキョウ</t>
    </rPh>
    <rPh sb="8" eb="9">
      <t>アナ</t>
    </rPh>
    <rPh sb="9" eb="11">
      <t>シュウイ</t>
    </rPh>
    <rPh sb="12" eb="14">
      <t>チョウキ</t>
    </rPh>
    <rPh sb="14" eb="16">
      <t>キョヨウ</t>
    </rPh>
    <rPh sb="18" eb="19">
      <t>ダン</t>
    </rPh>
    <rPh sb="19" eb="20">
      <t>リョク</t>
    </rPh>
    <phoneticPr fontId="3"/>
  </si>
  <si>
    <t>ps</t>
    <phoneticPr fontId="3"/>
  </si>
  <si>
    <t>∴孔際にD13のあばら筋を配置し，特別な補強はしない。</t>
    <rPh sb="1" eb="2">
      <t>アナ</t>
    </rPh>
    <rPh sb="2" eb="3">
      <t>ギワ</t>
    </rPh>
    <rPh sb="11" eb="12">
      <t>キン</t>
    </rPh>
    <rPh sb="13" eb="15">
      <t>ハイチ</t>
    </rPh>
    <rPh sb="17" eb="19">
      <t>トクベツ</t>
    </rPh>
    <rPh sb="20" eb="22">
      <t>ホキョウ</t>
    </rPh>
    <phoneticPr fontId="3"/>
  </si>
  <si>
    <t>ft</t>
    <phoneticPr fontId="3"/>
  </si>
  <si>
    <t>Fc</t>
    <phoneticPr fontId="3"/>
  </si>
  <si>
    <t>wft</t>
    <phoneticPr fontId="3"/>
  </si>
  <si>
    <t>fs</t>
    <phoneticPr fontId="3"/>
  </si>
  <si>
    <t>b</t>
    <phoneticPr fontId="3"/>
  </si>
  <si>
    <t>D</t>
    <phoneticPr fontId="3"/>
  </si>
  <si>
    <t>d</t>
    <phoneticPr fontId="3"/>
  </si>
  <si>
    <t>j=d・7/8</t>
    <phoneticPr fontId="3"/>
  </si>
  <si>
    <t>M=ft・at・j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</si>
  <si>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</si>
  <si>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(mm)</t>
    <phoneticPr fontId="3"/>
  </si>
  <si>
    <t>(kNm)</t>
    <phoneticPr fontId="3"/>
  </si>
  <si>
    <t>pw</t>
    <phoneticPr fontId="3"/>
  </si>
  <si>
    <t>Qal</t>
    <phoneticPr fontId="3"/>
  </si>
  <si>
    <t>use</t>
    <phoneticPr fontId="3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</si>
  <si>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</si>
  <si>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</si>
  <si>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</si>
  <si>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@ (mm)</t>
    <phoneticPr fontId="3"/>
  </si>
  <si>
    <r>
      <t>aw 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</si>
  <si>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aw/(b・x)</t>
    <phoneticPr fontId="3"/>
  </si>
  <si>
    <t>(kN)</t>
    <phoneticPr fontId="3"/>
  </si>
  <si>
    <t>①かぶり</t>
    <phoneticPr fontId="3"/>
  </si>
  <si>
    <t>(mm)</t>
    <phoneticPr fontId="3"/>
  </si>
  <si>
    <t>Q</t>
    <phoneticPr fontId="3"/>
  </si>
  <si>
    <t>d</t>
    <phoneticPr fontId="3"/>
  </si>
  <si>
    <t>α</t>
    <phoneticPr fontId="3"/>
  </si>
  <si>
    <t>H</t>
    <phoneticPr fontId="3"/>
  </si>
  <si>
    <t>H/D</t>
    <phoneticPr fontId="3"/>
  </si>
  <si>
    <t>①</t>
    <phoneticPr fontId="3"/>
  </si>
  <si>
    <t>M/(Qd)</t>
    <phoneticPr fontId="3"/>
  </si>
  <si>
    <t>ps</t>
    <phoneticPr fontId="3"/>
  </si>
  <si>
    <t>②</t>
    <phoneticPr fontId="3"/>
  </si>
  <si>
    <r>
      <t>as1(mm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</si>
  <si>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as2(mm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</si>
  <si>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①+②</t>
    <phoneticPr fontId="3"/>
  </si>
  <si>
    <t>Qsuo:</t>
    <phoneticPr fontId="3"/>
  </si>
  <si>
    <t>N</t>
    <phoneticPr fontId="3"/>
  </si>
  <si>
    <t>ku:</t>
    <phoneticPr fontId="3"/>
  </si>
  <si>
    <t>kp:</t>
    <phoneticPr fontId="3"/>
  </si>
  <si>
    <t>b:</t>
    <phoneticPr fontId="3"/>
  </si>
  <si>
    <t>d:</t>
    <phoneticPr fontId="3"/>
  </si>
  <si>
    <t>Fc:</t>
    <phoneticPr fontId="3"/>
  </si>
  <si>
    <t>H:</t>
    <phoneticPr fontId="3"/>
  </si>
  <si>
    <t>H/D≦1/3</t>
    <phoneticPr fontId="3"/>
  </si>
  <si>
    <t>ｐs:</t>
    <phoneticPr fontId="3"/>
  </si>
  <si>
    <t>ps=Σ(as(sinθ+cosθ))/(bc)</t>
    <phoneticPr fontId="3"/>
  </si>
  <si>
    <t>as:</t>
    <phoneticPr fontId="3"/>
  </si>
  <si>
    <t>θ:</t>
    <phoneticPr fontId="3"/>
  </si>
  <si>
    <t>pt:</t>
    <phoneticPr fontId="3"/>
  </si>
  <si>
    <t>fc:</t>
    <phoneticPr fontId="3"/>
  </si>
  <si>
    <t>d:</t>
    <phoneticPr fontId="3"/>
  </si>
  <si>
    <t>dt=①+②+③+④</t>
    <phoneticPr fontId="3"/>
  </si>
  <si>
    <t>dc=⑤+⑥+⑦+⑧</t>
    <phoneticPr fontId="3"/>
  </si>
  <si>
    <t>2-D25</t>
    <phoneticPr fontId="3"/>
  </si>
  <si>
    <t>2-D10</t>
    <phoneticPr fontId="3"/>
  </si>
  <si>
    <t>-</t>
    <phoneticPr fontId="3"/>
  </si>
  <si>
    <t>wp=</t>
    <phoneticPr fontId="3"/>
  </si>
  <si>
    <t>ｋＮ/m2</t>
    <phoneticPr fontId="3"/>
  </si>
  <si>
    <t>Lx=</t>
    <phoneticPr fontId="3"/>
  </si>
  <si>
    <t>Ly=</t>
    <phoneticPr fontId="3"/>
  </si>
  <si>
    <t>mm</t>
    <phoneticPr fontId="3"/>
  </si>
  <si>
    <t>λ=</t>
    <phoneticPr fontId="3"/>
  </si>
  <si>
    <t>t=</t>
    <phoneticPr fontId="3"/>
  </si>
  <si>
    <t>w=</t>
    <phoneticPr fontId="3"/>
  </si>
  <si>
    <t>wx=</t>
    <phoneticPr fontId="3"/>
  </si>
  <si>
    <t>両端</t>
    <rPh sb="0" eb="2">
      <t>リョウタン</t>
    </rPh>
    <phoneticPr fontId="3"/>
  </si>
  <si>
    <t>Mx1=</t>
    <phoneticPr fontId="3"/>
  </si>
  <si>
    <t>Mx2=</t>
  </si>
  <si>
    <t>短辺方向</t>
    <rPh sb="0" eb="2">
      <t>タンペン</t>
    </rPh>
    <rPh sb="2" eb="4">
      <t>ホウコウ</t>
    </rPh>
    <phoneticPr fontId="3"/>
  </si>
  <si>
    <t>長辺方向</t>
    <rPh sb="0" eb="2">
      <t>チョウヘン</t>
    </rPh>
    <rPh sb="2" eb="4">
      <t>ホウコウ</t>
    </rPh>
    <phoneticPr fontId="3"/>
  </si>
  <si>
    <t>My1=</t>
    <phoneticPr fontId="3"/>
  </si>
  <si>
    <t>My2=</t>
  </si>
  <si>
    <t>断面算定</t>
    <rPh sb="0" eb="2">
      <t>ダンメン</t>
    </rPh>
    <rPh sb="2" eb="4">
      <t>サンテイ</t>
    </rPh>
    <phoneticPr fontId="3"/>
  </si>
  <si>
    <t>ft=</t>
    <phoneticPr fontId="3"/>
  </si>
  <si>
    <t>N/mm2</t>
    <phoneticPr fontId="3"/>
  </si>
  <si>
    <t>上ｶﾌﾞﾘ</t>
    <rPh sb="0" eb="1">
      <t>ウエ</t>
    </rPh>
    <phoneticPr fontId="3"/>
  </si>
  <si>
    <t>下ｶﾌﾞﾘ</t>
    <rPh sb="0" eb="1">
      <t>シタ</t>
    </rPh>
    <phoneticPr fontId="3"/>
  </si>
  <si>
    <t>端部</t>
    <rPh sb="0" eb="2">
      <t>タンブ</t>
    </rPh>
    <phoneticPr fontId="3"/>
  </si>
  <si>
    <t>dx=</t>
    <phoneticPr fontId="3"/>
  </si>
  <si>
    <t>D19</t>
    <phoneticPr fontId="3"/>
  </si>
  <si>
    <t>D10D13</t>
    <phoneticPr fontId="3"/>
  </si>
  <si>
    <t>D13D16</t>
    <phoneticPr fontId="3"/>
  </si>
  <si>
    <t>D16D19</t>
    <phoneticPr fontId="3"/>
  </si>
  <si>
    <t>use:</t>
    <phoneticPr fontId="3"/>
  </si>
  <si>
    <t>j=</t>
    <phoneticPr fontId="3"/>
  </si>
  <si>
    <t>中央</t>
    <rPh sb="0" eb="2">
      <t>チュウオウ</t>
    </rPh>
    <phoneticPr fontId="3"/>
  </si>
  <si>
    <t>s=</t>
    <phoneticPr fontId="3"/>
  </si>
  <si>
    <t>長辺方向</t>
    <rPh sb="0" eb="1">
      <t>ナガ</t>
    </rPh>
    <rPh sb="1" eb="2">
      <t>ヘン</t>
    </rPh>
    <rPh sb="2" eb="4">
      <t>ホウコウ</t>
    </rPh>
    <phoneticPr fontId="3"/>
  </si>
  <si>
    <t>まとめ</t>
    <phoneticPr fontId="3"/>
  </si>
  <si>
    <t>上端筋</t>
    <rPh sb="0" eb="2">
      <t>ウワバ</t>
    </rPh>
    <rPh sb="2" eb="3">
      <t>キン</t>
    </rPh>
    <phoneticPr fontId="3"/>
  </si>
  <si>
    <t>下端筋</t>
    <rPh sb="0" eb="3">
      <t>シタバキン</t>
    </rPh>
    <phoneticPr fontId="3"/>
  </si>
  <si>
    <t>短辺</t>
    <rPh sb="0" eb="2">
      <t>タンペン</t>
    </rPh>
    <phoneticPr fontId="3"/>
  </si>
  <si>
    <t>長辺</t>
    <rPh sb="0" eb="2">
      <t>チョウヘン</t>
    </rPh>
    <phoneticPr fontId="3"/>
  </si>
  <si>
    <t>厚み</t>
    <rPh sb="0" eb="1">
      <t>アツ</t>
    </rPh>
    <phoneticPr fontId="3"/>
  </si>
  <si>
    <t>符号</t>
    <rPh sb="0" eb="2">
      <t>フゴウ</t>
    </rPh>
    <phoneticPr fontId="3"/>
  </si>
  <si>
    <t>H=</t>
    <phoneticPr fontId="3"/>
  </si>
  <si>
    <t>mm(高さ）</t>
    <rPh sb="3" eb="4">
      <t>タカ</t>
    </rPh>
    <phoneticPr fontId="3"/>
  </si>
  <si>
    <t>ポーチ飾り壁の検討</t>
    <rPh sb="3" eb="4">
      <t>カザ</t>
    </rPh>
    <rPh sb="5" eb="6">
      <t>カベ</t>
    </rPh>
    <rPh sb="7" eb="9">
      <t>ケントウ</t>
    </rPh>
    <phoneticPr fontId="3"/>
  </si>
  <si>
    <t>1.荷重</t>
    <rPh sb="2" eb="4">
      <t>カジュウ</t>
    </rPh>
    <phoneticPr fontId="3"/>
  </si>
  <si>
    <t>Σ</t>
    <phoneticPr fontId="9"/>
  </si>
  <si>
    <t>RC壁</t>
    <rPh sb="2" eb="3">
      <t>カベ</t>
    </rPh>
    <phoneticPr fontId="9"/>
  </si>
  <si>
    <t>t=200</t>
    <phoneticPr fontId="3"/>
  </si>
  <si>
    <t>(1)自重</t>
    <rPh sb="3" eb="5">
      <t>ジジュウ</t>
    </rPh>
    <phoneticPr fontId="3"/>
  </si>
  <si>
    <t>(2)風荷重</t>
    <rPh sb="3" eb="4">
      <t>カゼ</t>
    </rPh>
    <rPh sb="4" eb="6">
      <t>カジュウ</t>
    </rPh>
    <phoneticPr fontId="3"/>
  </si>
  <si>
    <t>q=</t>
    <phoneticPr fontId="3"/>
  </si>
  <si>
    <t>Cpe=</t>
    <phoneticPr fontId="3"/>
  </si>
  <si>
    <t>Cpi=</t>
    <phoneticPr fontId="3"/>
  </si>
  <si>
    <t>kz=</t>
    <phoneticPr fontId="3"/>
  </si>
  <si>
    <t>Cf=</t>
    <phoneticPr fontId="3"/>
  </si>
  <si>
    <t>w=</t>
    <phoneticPr fontId="3"/>
  </si>
  <si>
    <t>Pw=</t>
    <phoneticPr fontId="3"/>
  </si>
  <si>
    <t>N/m2</t>
    <phoneticPr fontId="3"/>
  </si>
  <si>
    <t>(3)地震力</t>
    <rPh sb="3" eb="6">
      <t>ジシンリョク</t>
    </rPh>
    <phoneticPr fontId="3"/>
  </si>
  <si>
    <t>Pe=</t>
    <phoneticPr fontId="3"/>
  </si>
  <si>
    <t>∴水平力の検討は地震力にて検討する。</t>
    <rPh sb="1" eb="3">
      <t>スイヘイ</t>
    </rPh>
    <rPh sb="3" eb="4">
      <t>リョク</t>
    </rPh>
    <rPh sb="5" eb="7">
      <t>ケントウ</t>
    </rPh>
    <rPh sb="8" eb="10">
      <t>ジシン</t>
    </rPh>
    <rPh sb="10" eb="11">
      <t>リョク</t>
    </rPh>
    <rPh sb="13" eb="15">
      <t>ケントウ</t>
    </rPh>
    <phoneticPr fontId="3"/>
  </si>
  <si>
    <t>2.応力算定</t>
    <rPh sb="1" eb="3">
      <t>オウリョク</t>
    </rPh>
    <rPh sb="3" eb="5">
      <t>サンテイ</t>
    </rPh>
    <phoneticPr fontId="3"/>
  </si>
  <si>
    <t>ｋＮ</t>
    <phoneticPr fontId="3"/>
  </si>
  <si>
    <t>M=</t>
    <phoneticPr fontId="3"/>
  </si>
  <si>
    <t>ｶﾌﾞﾘ</t>
    <phoneticPr fontId="3"/>
  </si>
  <si>
    <t>a=</t>
    <phoneticPr fontId="3"/>
  </si>
  <si>
    <t>φ=</t>
    <phoneticPr fontId="3"/>
  </si>
  <si>
    <t>at=</t>
    <phoneticPr fontId="3"/>
  </si>
  <si>
    <t>@=B/n=</t>
    <phoneticPr fontId="3"/>
  </si>
  <si>
    <t>n=at/a=</t>
    <phoneticPr fontId="3"/>
  </si>
  <si>
    <t>D10@200</t>
    <phoneticPr fontId="3"/>
  </si>
  <si>
    <t>縦筋</t>
    <rPh sb="0" eb="2">
      <t>タテキン</t>
    </rPh>
    <phoneticPr fontId="3"/>
  </si>
  <si>
    <t>横筋</t>
    <rPh sb="0" eb="1">
      <t>ヨコ</t>
    </rPh>
    <rPh sb="1" eb="2">
      <t>キン</t>
    </rPh>
    <phoneticPr fontId="3"/>
  </si>
  <si>
    <t>3.断面算定</t>
    <rPh sb="2" eb="4">
      <t>ダンメン</t>
    </rPh>
    <rPh sb="4" eb="6">
      <t>サンテイ</t>
    </rPh>
    <phoneticPr fontId="3"/>
  </si>
  <si>
    <t>αx1=</t>
    <phoneticPr fontId="3"/>
  </si>
  <si>
    <t>αx2=</t>
  </si>
  <si>
    <t>αy1=</t>
    <phoneticPr fontId="3"/>
  </si>
  <si>
    <t>αy2=</t>
  </si>
  <si>
    <t>床</t>
    <rPh sb="0" eb="1">
      <t>ユカ</t>
    </rPh>
    <phoneticPr fontId="3"/>
  </si>
  <si>
    <t>壁　L</t>
    <rPh sb="0" eb="1">
      <t>カベ</t>
    </rPh>
    <phoneticPr fontId="3"/>
  </si>
  <si>
    <t>Mwl=</t>
    <phoneticPr fontId="3"/>
  </si>
  <si>
    <t>5.69*0.8=</t>
    <phoneticPr fontId="3"/>
  </si>
  <si>
    <t>壁　E</t>
    <rPh sb="0" eb="1">
      <t>カベ</t>
    </rPh>
    <phoneticPr fontId="3"/>
  </si>
  <si>
    <t>Mwe=</t>
    <phoneticPr fontId="3"/>
  </si>
  <si>
    <t>30.2*3.03/2/3.5=</t>
    <phoneticPr fontId="3"/>
  </si>
  <si>
    <t>∴ML=</t>
    <phoneticPr fontId="3"/>
  </si>
  <si>
    <t>∴Ms=</t>
    <phoneticPr fontId="3"/>
  </si>
  <si>
    <t>長期</t>
    <rPh sb="0" eb="2">
      <t>チョウキ</t>
    </rPh>
    <phoneticPr fontId="3"/>
  </si>
  <si>
    <t>短期</t>
    <rPh sb="0" eb="2">
      <t>タンキ</t>
    </rPh>
    <phoneticPr fontId="3"/>
  </si>
  <si>
    <t>W20</t>
    <phoneticPr fontId="3"/>
  </si>
  <si>
    <t>FS2</t>
    <phoneticPr fontId="3"/>
  </si>
  <si>
    <t>3.ポーチスラブの検討</t>
    <rPh sb="9" eb="11">
      <t>ケントウ</t>
    </rPh>
    <phoneticPr fontId="3"/>
  </si>
  <si>
    <t>(1)応力算定</t>
    <rPh sb="3" eb="5">
      <t>オウリョク</t>
    </rPh>
    <rPh sb="5" eb="7">
      <t>サンテイ</t>
    </rPh>
    <phoneticPr fontId="3"/>
  </si>
  <si>
    <t>(2)断面算定</t>
    <rPh sb="3" eb="5">
      <t>ダンメン</t>
    </rPh>
    <rPh sb="5" eb="7">
      <t>サンテイ</t>
    </rPh>
    <phoneticPr fontId="3"/>
  </si>
  <si>
    <t>(3)まとめ</t>
    <phoneticPr fontId="3"/>
  </si>
  <si>
    <r>
      <t>N/m</t>
    </r>
    <r>
      <rPr>
        <vertAlign val="superscript"/>
        <sz val="10"/>
        <rFont val="Meiryo UI"/>
        <family val="3"/>
        <charset val="128"/>
      </rPr>
      <t>2</t>
    </r>
    <phoneticPr fontId="9"/>
  </si>
  <si>
    <r>
      <t>kN/m</t>
    </r>
    <r>
      <rPr>
        <vertAlign val="superscript"/>
        <sz val="10"/>
        <rFont val="Meiryo UI"/>
        <family val="3"/>
        <charset val="128"/>
      </rPr>
      <t>2</t>
    </r>
    <phoneticPr fontId="9"/>
  </si>
  <si>
    <t>1*1.6*1.2=</t>
    <phoneticPr fontId="3"/>
  </si>
  <si>
    <t>1.6*4.8</t>
    <phoneticPr fontId="3"/>
  </si>
  <si>
    <t>7.7*0.5=</t>
    <phoneticPr fontId="3"/>
  </si>
  <si>
    <t>1/2*1.6*7.7=</t>
    <phoneticPr fontId="3"/>
  </si>
  <si>
    <t>1000/1.3=</t>
    <phoneticPr fontId="3"/>
  </si>
  <si>
    <t>底版</t>
    <rPh sb="0" eb="2">
      <t>テイバン</t>
    </rPh>
    <phoneticPr fontId="3"/>
  </si>
  <si>
    <t>土</t>
    <rPh sb="0" eb="1">
      <t>ツチ</t>
    </rPh>
    <phoneticPr fontId="3"/>
  </si>
  <si>
    <t>10.5/16.08</t>
    <phoneticPr fontId="3"/>
  </si>
  <si>
    <t>13.64*1.2/2</t>
    <phoneticPr fontId="3"/>
  </si>
  <si>
    <t>w</t>
    <phoneticPr fontId="3"/>
  </si>
  <si>
    <t>BorH</t>
    <phoneticPr fontId="3"/>
  </si>
  <si>
    <t>w*t*B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</si>
</sst>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 * #,##0_ ;_ * \-#,##0_ ;_ * &quot;-&quot;_ ;_ @_ "/>
    <numFmt numFmtId="176" formatCode="0.000_ "/>
    <numFmt numFmtId="177" formatCode="0.00_ "/>
    <numFmt numFmtId="178" formatCode="0.0_ "/>
    <numFmt numFmtId="179" formatCode="0_ "/>
    <numFmt numFmtId="180" formatCode="0.0000_ "/>
    <numFmt numFmtId="181" formatCode="0;_쐀"/>
    <numFmt numFmtId="182" formatCode="0.00;_쐀"/>
    <numFmt numFmtId="183" formatCode="0.0000;_쐀"/>
    <numFmt numFmtId="184" formatCode="0;_렀"/>
    <numFmt numFmtId="185" formatCode="&quot;SD&quot;#"/>
    <numFmt numFmtId="186" formatCode="0.000;_렀"/>
    <numFmt numFmtId="187" formatCode="&quot;(SD&quot;General&quot;)&quot;"/>
    <numFmt numFmtId="188" formatCode="General&quot;mm&quot;"/>
    <numFmt numFmtId="189" formatCode="\(General\)"/>
    <numFmt numFmtId="190" formatCode="0.0"/>
    <numFmt numFmtId="191" formatCode="0_);[Red]\(0\)"/>
    <numFmt numFmtId="192" formatCode="#,##0.000;[Red]\-#,##0.000"/>
  </numFmts>
  <fonts count="14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vertAlign val="superscript"/>
      <sz val="9"/>
      <name val="ＭＳ Ｐ明朝"/>
      <family val="1"/>
      <charset val="128"/>
    </font>
    <font>
      <vertAlign val="superscript"/>
      <sz val="10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Meiryo UI"/>
      <family val="3"/>
      <charset val="128"/>
    </font>
    <font>
      <sz val="9"/>
      <name val="Meiryo UI"/>
      <family val="3"/>
      <charset val="128"/>
    </font>
    <font>
      <vertAlign val="superscript"/>
      <sz val="1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0" fillId="0" borderId="0"/>
    <xf numFmtId="0" fontId="8" fillId="0" borderId="0">
      <alignment vertical="center"/>
    </xf>
  </cellStyleXfs>
  <cellXfs count="297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shrinkToFit="1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0" fontId="4" fillId="0" borderId="3" xfId="0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Border="1" applyAlignment="1">
      <alignment horizontal="left" vertical="center"/>
    </xf>
    <xf numFmtId="176" fontId="4" fillId="0" borderId="0" xfId="0" applyNumberFormat="1" applyFont="1">
      <alignment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3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/>
    </xf>
    <xf numFmtId="179" fontId="4" fillId="0" borderId="2" xfId="0" applyNumberFormat="1" applyFont="1" applyBorder="1" applyAlignment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181" fontId="2" fillId="0" borderId="0" xfId="0" applyNumberFormat="1" applyFont="1" applyFill="1" applyAlignment="1">
      <alignment horizontal="right" vertical="center"/>
    </xf>
    <xf numFmtId="181" fontId="2" fillId="0" borderId="0" xfId="0" applyNumberFormat="1" applyFont="1" applyFill="1" applyAlignment="1">
      <alignment horizontal="left" vertical="center"/>
    </xf>
    <xf numFmtId="179" fontId="0" fillId="0" borderId="0" xfId="0" applyNumberFormat="1">
      <alignment vertical="center"/>
    </xf>
    <xf numFmtId="181" fontId="4" fillId="0" borderId="0" xfId="0" applyNumberFormat="1" applyFont="1">
      <alignment vertical="center"/>
    </xf>
    <xf numFmtId="177" fontId="4" fillId="0" borderId="1" xfId="0" applyNumberFormat="1" applyFon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horizontal="right" vertical="center" indent="1"/>
    </xf>
    <xf numFmtId="181" fontId="2" fillId="0" borderId="4" xfId="0" applyNumberFormat="1" applyFont="1" applyFill="1" applyBorder="1" applyAlignment="1">
      <alignment horizontal="right" vertical="center" indent="1"/>
    </xf>
    <xf numFmtId="179" fontId="2" fillId="0" borderId="4" xfId="0" applyNumberFormat="1" applyFont="1" applyFill="1" applyBorder="1" applyAlignment="1">
      <alignment horizontal="right" vertical="center"/>
    </xf>
    <xf numFmtId="179" fontId="0" fillId="0" borderId="4" xfId="0" applyNumberFormat="1" applyBorder="1" applyAlignment="1">
      <alignment horizontal="right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horizontal="right" vertical="center" indent="1"/>
    </xf>
    <xf numFmtId="181" fontId="2" fillId="0" borderId="5" xfId="0" applyNumberFormat="1" applyFont="1" applyFill="1" applyBorder="1" applyAlignment="1">
      <alignment horizontal="right" vertical="center" indent="1"/>
    </xf>
    <xf numFmtId="179" fontId="2" fillId="0" borderId="5" xfId="0" applyNumberFormat="1" applyFont="1" applyFill="1" applyBorder="1" applyAlignment="1">
      <alignment horizontal="right" vertical="center"/>
    </xf>
    <xf numFmtId="179" fontId="0" fillId="0" borderId="5" xfId="0" applyNumberFormat="1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right" vertical="center" indent="1"/>
    </xf>
    <xf numFmtId="181" fontId="2" fillId="0" borderId="10" xfId="0" applyNumberFormat="1" applyFont="1" applyFill="1" applyBorder="1" applyAlignment="1">
      <alignment horizontal="right" vertical="center" indent="1"/>
    </xf>
    <xf numFmtId="179" fontId="2" fillId="0" borderId="10" xfId="0" applyNumberFormat="1" applyFont="1" applyFill="1" applyBorder="1" applyAlignment="1">
      <alignment horizontal="right" vertical="center"/>
    </xf>
    <xf numFmtId="179" fontId="0" fillId="0" borderId="10" xfId="0" applyNumberFormat="1" applyBorder="1" applyAlignment="1">
      <alignment horizontal="righ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2" fontId="2" fillId="0" borderId="0" xfId="0" applyNumberFormat="1" applyFont="1" applyFill="1" applyAlignment="1">
      <alignment horizontal="right" vertical="center"/>
    </xf>
    <xf numFmtId="183" fontId="2" fillId="0" borderId="0" xfId="0" applyNumberFormat="1" applyFont="1" applyFill="1" applyAlignment="1">
      <alignment horizontal="right" vertical="center"/>
    </xf>
    <xf numFmtId="179" fontId="2" fillId="0" borderId="5" xfId="0" applyNumberFormat="1" applyFont="1" applyFill="1" applyBorder="1" applyAlignment="1">
      <alignment horizontal="left"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7" fontId="4" fillId="0" borderId="22" xfId="0" applyNumberFormat="1" applyFont="1" applyBorder="1" applyAlignment="1">
      <alignment horizontal="center" vertical="center"/>
    </xf>
    <xf numFmtId="176" fontId="4" fillId="0" borderId="10" xfId="0" applyNumberFormat="1" applyFont="1" applyBorder="1" applyAlignment="1">
      <alignment horizontal="center" vertical="center"/>
    </xf>
    <xf numFmtId="179" fontId="4" fillId="0" borderId="10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79" fontId="4" fillId="0" borderId="1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 shrinkToFit="1"/>
    </xf>
    <xf numFmtId="0" fontId="4" fillId="0" borderId="25" xfId="0" applyFont="1" applyBorder="1" applyAlignment="1">
      <alignment horizontal="center" vertical="center" shrinkToFit="1"/>
    </xf>
    <xf numFmtId="0" fontId="7" fillId="0" borderId="2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8" fontId="4" fillId="0" borderId="1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 shrinkToFit="1"/>
    </xf>
    <xf numFmtId="0" fontId="4" fillId="0" borderId="28" xfId="0" applyFont="1" applyBorder="1" applyAlignment="1">
      <alignment horizontal="center" vertical="center" shrinkToFit="1"/>
    </xf>
    <xf numFmtId="0" fontId="0" fillId="0" borderId="1" xfId="0" applyBorder="1">
      <alignment vertical="center"/>
    </xf>
    <xf numFmtId="18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4" fillId="0" borderId="19" xfId="0" applyFont="1" applyBorder="1">
      <alignment vertical="center"/>
    </xf>
    <xf numFmtId="176" fontId="4" fillId="0" borderId="19" xfId="0" applyNumberFormat="1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4" xfId="0" applyFont="1" applyBorder="1">
      <alignment vertical="center"/>
    </xf>
    <xf numFmtId="0" fontId="4" fillId="0" borderId="25" xfId="0" applyFont="1" applyBorder="1" applyAlignment="1">
      <alignment horizontal="center" vertical="center"/>
    </xf>
    <xf numFmtId="0" fontId="4" fillId="0" borderId="10" xfId="0" applyFont="1" applyBorder="1">
      <alignment vertical="center"/>
    </xf>
    <xf numFmtId="179" fontId="7" fillId="0" borderId="10" xfId="0" applyNumberFormat="1" applyFont="1" applyBorder="1" applyAlignment="1">
      <alignment horizontal="center" vertical="center"/>
    </xf>
    <xf numFmtId="184" fontId="4" fillId="0" borderId="10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5" xfId="0" applyFont="1" applyBorder="1" applyAlignment="1">
      <alignment horizontal="center" vertical="center"/>
    </xf>
    <xf numFmtId="179" fontId="2" fillId="0" borderId="5" xfId="0" applyNumberFormat="1" applyFont="1" applyBorder="1" applyAlignment="1">
      <alignment horizontal="right" vertical="center"/>
    </xf>
    <xf numFmtId="0" fontId="2" fillId="0" borderId="8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4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179" fontId="2" fillId="0" borderId="4" xfId="0" applyNumberFormat="1" applyFont="1" applyBorder="1" applyAlignment="1">
      <alignment horizontal="right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5" xfId="0" applyFont="1" applyBorder="1" applyAlignment="1">
      <alignment horizontal="right" vertical="center"/>
    </xf>
    <xf numFmtId="0" fontId="2" fillId="0" borderId="10" xfId="0" applyFont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179" fontId="2" fillId="0" borderId="10" xfId="0" applyNumberFormat="1" applyFont="1" applyBorder="1" applyAlignment="1">
      <alignment horizontal="right" vertical="center"/>
    </xf>
    <xf numFmtId="0" fontId="2" fillId="0" borderId="11" xfId="0" applyFont="1" applyBorder="1" applyAlignment="1">
      <alignment horizontal="center" vertical="center"/>
    </xf>
    <xf numFmtId="181" fontId="2" fillId="0" borderId="5" xfId="0" applyNumberFormat="1" applyFont="1" applyFill="1" applyBorder="1" applyAlignment="1">
      <alignment horizontal="right" vertical="center"/>
    </xf>
    <xf numFmtId="181" fontId="2" fillId="0" borderId="4" xfId="0" applyNumberFormat="1" applyFont="1" applyFill="1" applyBorder="1" applyAlignment="1">
      <alignment horizontal="right" vertical="center"/>
    </xf>
    <xf numFmtId="181" fontId="2" fillId="0" borderId="10" xfId="0" applyNumberFormat="1" applyFont="1" applyFill="1" applyBorder="1" applyAlignment="1">
      <alignment horizontal="right" vertical="center"/>
    </xf>
    <xf numFmtId="177" fontId="2" fillId="0" borderId="5" xfId="0" applyNumberFormat="1" applyFont="1" applyFill="1" applyBorder="1" applyAlignment="1">
      <alignment horizontal="right" vertical="center"/>
    </xf>
    <xf numFmtId="0" fontId="0" fillId="0" borderId="30" xfId="0" applyBorder="1" applyAlignment="1">
      <alignment horizontal="right" vertical="center"/>
    </xf>
    <xf numFmtId="0" fontId="0" fillId="0" borderId="31" xfId="0" applyBorder="1" applyAlignment="1">
      <alignment horizontal="right" vertical="center"/>
    </xf>
    <xf numFmtId="178" fontId="2" fillId="0" borderId="5" xfId="0" applyNumberFormat="1" applyFont="1" applyFill="1" applyBorder="1" applyAlignment="1">
      <alignment horizontal="right" vertical="center"/>
    </xf>
    <xf numFmtId="178" fontId="2" fillId="0" borderId="5" xfId="0" applyNumberFormat="1" applyFont="1" applyBorder="1" applyAlignment="1">
      <alignment horizontal="right" vertical="center"/>
    </xf>
    <xf numFmtId="178" fontId="2" fillId="0" borderId="10" xfId="0" applyNumberFormat="1" applyFont="1" applyFill="1" applyBorder="1" applyAlignment="1">
      <alignment horizontal="right" vertical="center"/>
    </xf>
    <xf numFmtId="178" fontId="2" fillId="0" borderId="10" xfId="0" applyNumberFormat="1" applyFont="1" applyBorder="1" applyAlignment="1">
      <alignment horizontal="right" vertical="center"/>
    </xf>
    <xf numFmtId="179" fontId="1" fillId="0" borderId="10" xfId="0" applyNumberFormat="1" applyFont="1" applyBorder="1" applyAlignment="1">
      <alignment horizontal="center" vertical="center"/>
    </xf>
    <xf numFmtId="41" fontId="4" fillId="0" borderId="0" xfId="0" applyNumberFormat="1" applyFont="1">
      <alignment vertical="center"/>
    </xf>
    <xf numFmtId="179" fontId="4" fillId="0" borderId="0" xfId="0" applyNumberFormat="1" applyFont="1" applyBorder="1" applyAlignment="1">
      <alignment horizontal="center" vertical="center"/>
    </xf>
    <xf numFmtId="177" fontId="4" fillId="0" borderId="11" xfId="0" applyNumberFormat="1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79" fontId="7" fillId="0" borderId="0" xfId="0" applyNumberFormat="1" applyFont="1" applyBorder="1" applyAlignment="1">
      <alignment horizontal="center" vertical="center"/>
    </xf>
    <xf numFmtId="184" fontId="4" fillId="0" borderId="0" xfId="0" applyNumberFormat="1" applyFont="1" applyBorder="1" applyAlignment="1">
      <alignment horizontal="center" vertical="center"/>
    </xf>
    <xf numFmtId="180" fontId="1" fillId="0" borderId="10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180" fontId="1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0" xfId="0" applyNumberFormat="1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shrinkToFit="1"/>
    </xf>
    <xf numFmtId="179" fontId="4" fillId="0" borderId="0" xfId="0" applyNumberFormat="1" applyFont="1" applyBorder="1">
      <alignment vertical="center"/>
    </xf>
    <xf numFmtId="0" fontId="4" fillId="0" borderId="33" xfId="0" applyFont="1" applyBorder="1" applyAlignment="1">
      <alignment horizontal="center" vertical="center" shrinkToFit="1"/>
    </xf>
    <xf numFmtId="0" fontId="4" fillId="0" borderId="34" xfId="0" applyFont="1" applyBorder="1" applyAlignment="1">
      <alignment horizontal="center" vertical="center" shrinkToFit="1"/>
    </xf>
    <xf numFmtId="0" fontId="4" fillId="0" borderId="3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9" fontId="7" fillId="0" borderId="27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176" fontId="4" fillId="0" borderId="34" xfId="0" applyNumberFormat="1" applyFont="1" applyBorder="1" applyAlignment="1">
      <alignment horizontal="center" vertical="center"/>
    </xf>
    <xf numFmtId="179" fontId="4" fillId="0" borderId="27" xfId="0" applyNumberFormat="1" applyFont="1" applyBorder="1" applyAlignment="1">
      <alignment horizontal="center" vertical="center"/>
    </xf>
    <xf numFmtId="179" fontId="4" fillId="0" borderId="3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7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179" fontId="4" fillId="0" borderId="1" xfId="0" applyNumberFormat="1" applyFont="1" applyBorder="1">
      <alignment vertical="center"/>
    </xf>
    <xf numFmtId="180" fontId="1" fillId="0" borderId="1" xfId="0" applyNumberFormat="1" applyFont="1" applyBorder="1" applyAlignment="1">
      <alignment horizontal="center" vertical="center"/>
    </xf>
    <xf numFmtId="184" fontId="4" fillId="0" borderId="1" xfId="0" applyNumberFormat="1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 shrinkToFit="1"/>
    </xf>
    <xf numFmtId="180" fontId="4" fillId="0" borderId="37" xfId="0" applyNumberFormat="1" applyFont="1" applyBorder="1" applyAlignment="1">
      <alignment horizontal="center" vertical="center"/>
    </xf>
    <xf numFmtId="185" fontId="7" fillId="0" borderId="1" xfId="0" applyNumberFormat="1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 shrinkToFit="1"/>
    </xf>
    <xf numFmtId="0" fontId="4" fillId="0" borderId="40" xfId="0" applyFont="1" applyBorder="1" applyAlignment="1">
      <alignment horizontal="center" vertical="center"/>
    </xf>
    <xf numFmtId="180" fontId="4" fillId="0" borderId="41" xfId="0" applyNumberFormat="1" applyFont="1" applyBorder="1">
      <alignment vertical="center"/>
    </xf>
    <xf numFmtId="0" fontId="4" fillId="0" borderId="23" xfId="0" applyFont="1" applyBorder="1" applyAlignment="1">
      <alignment horizontal="center" vertical="center" shrinkToFit="1"/>
    </xf>
    <xf numFmtId="0" fontId="4" fillId="0" borderId="20" xfId="0" applyFont="1" applyBorder="1" applyAlignment="1">
      <alignment horizontal="center" vertical="center" shrinkToFit="1"/>
    </xf>
    <xf numFmtId="0" fontId="4" fillId="0" borderId="29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/>
    </xf>
    <xf numFmtId="178" fontId="4" fillId="0" borderId="28" xfId="0" applyNumberFormat="1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 shrinkToFit="1"/>
    </xf>
    <xf numFmtId="179" fontId="4" fillId="0" borderId="35" xfId="0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179" fontId="4" fillId="0" borderId="15" xfId="0" applyNumberFormat="1" applyFont="1" applyBorder="1" applyAlignment="1">
      <alignment horizontal="center" vertical="center"/>
    </xf>
    <xf numFmtId="0" fontId="4" fillId="0" borderId="20" xfId="0" applyFont="1" applyBorder="1">
      <alignment vertical="center"/>
    </xf>
    <xf numFmtId="179" fontId="4" fillId="0" borderId="43" xfId="0" applyNumberFormat="1" applyFont="1" applyBorder="1">
      <alignment vertical="center"/>
    </xf>
    <xf numFmtId="179" fontId="7" fillId="0" borderId="22" xfId="0" applyNumberFormat="1" applyFont="1" applyBorder="1" applyAlignment="1">
      <alignment horizontal="center" vertical="center"/>
    </xf>
    <xf numFmtId="178" fontId="7" fillId="0" borderId="10" xfId="0" applyNumberFormat="1" applyFont="1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179" fontId="4" fillId="0" borderId="19" xfId="0" applyNumberFormat="1" applyFont="1" applyBorder="1" applyAlignment="1">
      <alignment horizontal="center" vertical="center"/>
    </xf>
    <xf numFmtId="179" fontId="4" fillId="0" borderId="20" xfId="0" applyNumberFormat="1" applyFont="1" applyBorder="1" applyAlignment="1">
      <alignment horizontal="center" vertical="center"/>
    </xf>
    <xf numFmtId="179" fontId="4" fillId="0" borderId="44" xfId="0" applyNumberFormat="1" applyFont="1" applyBorder="1" applyAlignment="1">
      <alignment horizontal="center" vertical="center"/>
    </xf>
    <xf numFmtId="179" fontId="4" fillId="0" borderId="5" xfId="0" applyNumberFormat="1" applyFont="1" applyBorder="1" applyAlignment="1">
      <alignment horizontal="center" vertical="center"/>
    </xf>
    <xf numFmtId="179" fontId="4" fillId="0" borderId="8" xfId="0" applyNumberFormat="1" applyFont="1" applyBorder="1" applyAlignment="1">
      <alignment horizontal="center" vertical="center"/>
    </xf>
    <xf numFmtId="179" fontId="7" fillId="0" borderId="20" xfId="0" applyNumberFormat="1" applyFont="1" applyBorder="1" applyAlignment="1">
      <alignment horizontal="center" vertical="center"/>
    </xf>
    <xf numFmtId="0" fontId="4" fillId="0" borderId="35" xfId="0" applyFont="1" applyBorder="1">
      <alignment vertical="center"/>
    </xf>
    <xf numFmtId="0" fontId="4" fillId="0" borderId="4" xfId="0" quotePrefix="1" applyFont="1" applyBorder="1" applyAlignment="1">
      <alignment horizontal="center" vertical="center" shrinkToFit="1"/>
    </xf>
    <xf numFmtId="186" fontId="4" fillId="0" borderId="22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4" fontId="4" fillId="0" borderId="23" xfId="0" applyNumberFormat="1" applyFont="1" applyBorder="1" applyAlignment="1">
      <alignment horizontal="center" vertical="center"/>
    </xf>
    <xf numFmtId="184" fontId="4" fillId="0" borderId="19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79" fontId="7" fillId="0" borderId="8" xfId="0" applyNumberFormat="1" applyFont="1" applyBorder="1" applyAlignment="1">
      <alignment horizontal="center" vertical="center"/>
    </xf>
    <xf numFmtId="179" fontId="4" fillId="0" borderId="10" xfId="0" applyNumberFormat="1" applyFont="1" applyBorder="1">
      <alignment vertical="center"/>
    </xf>
    <xf numFmtId="176" fontId="7" fillId="0" borderId="10" xfId="0" applyNumberFormat="1" applyFont="1" applyBorder="1" applyAlignment="1">
      <alignment horizontal="center" vertical="center"/>
    </xf>
    <xf numFmtId="177" fontId="7" fillId="0" borderId="11" xfId="0" applyNumberFormat="1" applyFont="1" applyBorder="1" applyAlignment="1">
      <alignment horizontal="center" vertical="center"/>
    </xf>
    <xf numFmtId="0" fontId="4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7" fontId="0" fillId="0" borderId="0" xfId="0" applyNumberFormat="1">
      <alignment vertical="center"/>
    </xf>
    <xf numFmtId="188" fontId="0" fillId="0" borderId="0" xfId="0" applyNumberFormat="1">
      <alignment vertical="center"/>
    </xf>
    <xf numFmtId="188" fontId="0" fillId="0" borderId="0" xfId="0" applyNumberFormat="1" applyAlignment="1">
      <alignment horizontal="left"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>
      <alignment vertical="center"/>
    </xf>
    <xf numFmtId="190" fontId="0" fillId="0" borderId="0" xfId="0" applyNumberFormat="1" applyAlignment="1">
      <alignment horizontal="left" vertical="center"/>
    </xf>
    <xf numFmtId="0" fontId="0" fillId="0" borderId="0" xfId="0" quotePrefix="1" applyAlignment="1">
      <alignment horizontal="right" vertical="center"/>
    </xf>
    <xf numFmtId="1" fontId="0" fillId="0" borderId="0" xfId="0" applyNumberFormat="1" applyAlignment="1">
      <alignment horizontal="left" vertical="center"/>
    </xf>
    <xf numFmtId="192" fontId="2" fillId="0" borderId="0" xfId="0" applyNumberFormat="1" applyFont="1" applyBorder="1" applyAlignment="1">
      <alignment horizontal="left" vertical="center" shrinkToFit="1"/>
    </xf>
    <xf numFmtId="2" fontId="0" fillId="0" borderId="0" xfId="0" applyNumberFormat="1" applyAlignment="1">
      <alignment horizontal="center" vertical="center"/>
    </xf>
    <xf numFmtId="0" fontId="11" fillId="0" borderId="0" xfId="0" applyFont="1">
      <alignment vertical="center"/>
    </xf>
    <xf numFmtId="0" fontId="11" fillId="0" borderId="0" xfId="2" applyFont="1">
      <alignment vertical="center"/>
    </xf>
    <xf numFmtId="0" fontId="12" fillId="0" borderId="0" xfId="0" applyFont="1" applyBorder="1" applyAlignment="1"/>
    <xf numFmtId="191" fontId="11" fillId="0" borderId="0" xfId="1" applyNumberFormat="1" applyFont="1" applyFill="1" applyBorder="1" applyAlignment="1">
      <alignment horizontal="right" vertical="center"/>
    </xf>
    <xf numFmtId="0" fontId="12" fillId="0" borderId="41" xfId="0" applyFont="1" applyBorder="1" applyAlignment="1"/>
    <xf numFmtId="191" fontId="11" fillId="0" borderId="41" xfId="1" applyNumberFormat="1" applyFont="1" applyFill="1" applyBorder="1" applyAlignment="1">
      <alignment horizontal="right" vertical="center"/>
    </xf>
    <xf numFmtId="0" fontId="12" fillId="0" borderId="0" xfId="0" applyFont="1" applyAlignment="1">
      <alignment vertical="center"/>
    </xf>
    <xf numFmtId="0" fontId="11" fillId="0" borderId="0" xfId="2" applyFont="1" applyAlignment="1">
      <alignment horizontal="right" vertical="center"/>
    </xf>
    <xf numFmtId="191" fontId="11" fillId="0" borderId="0" xfId="2" applyNumberFormat="1" applyFont="1" applyAlignment="1">
      <alignment horizontal="right" vertical="center"/>
    </xf>
    <xf numFmtId="0" fontId="12" fillId="0" borderId="0" xfId="0" applyFont="1" applyAlignment="1"/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190" fontId="11" fillId="0" borderId="0" xfId="0" applyNumberFormat="1" applyFont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190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88" fontId="11" fillId="0" borderId="0" xfId="0" applyNumberFormat="1" applyFont="1" applyAlignment="1">
      <alignment horizontal="center" vertical="center"/>
    </xf>
    <xf numFmtId="0" fontId="11" fillId="0" borderId="0" xfId="0" quotePrefix="1" applyFont="1" applyAlignment="1">
      <alignment horizontal="right" vertical="center"/>
    </xf>
    <xf numFmtId="191" fontId="11" fillId="0" borderId="0" xfId="0" applyNumberFormat="1" applyFont="1" applyAlignment="1">
      <alignment horizontal="left" vertical="center"/>
    </xf>
    <xf numFmtId="187" fontId="11" fillId="0" borderId="0" xfId="0" applyNumberFormat="1" applyFont="1" applyAlignment="1">
      <alignment horizontal="left" vertical="center"/>
    </xf>
    <xf numFmtId="190" fontId="11" fillId="0" borderId="0" xfId="0" applyNumberFormat="1" applyFont="1">
      <alignment vertical="center"/>
    </xf>
    <xf numFmtId="1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vertical="center" shrinkToFit="1"/>
    </xf>
    <xf numFmtId="0" fontId="11" fillId="0" borderId="36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45" xfId="0" applyFont="1" applyFill="1" applyBorder="1" applyAlignment="1">
      <alignment horizontal="center" vertical="center"/>
    </xf>
    <xf numFmtId="0" fontId="11" fillId="0" borderId="38" xfId="0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47" xfId="0" applyBorder="1" applyAlignment="1">
      <alignment vertical="center"/>
    </xf>
    <xf numFmtId="0" fontId="7" fillId="0" borderId="48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2" xfId="0" applyFont="1" applyBorder="1" applyAlignment="1">
      <alignment vertical="center"/>
    </xf>
    <xf numFmtId="0" fontId="4" fillId="0" borderId="53" xfId="0" applyFont="1" applyBorder="1" applyAlignment="1">
      <alignment vertical="center"/>
    </xf>
    <xf numFmtId="0" fontId="4" fillId="0" borderId="54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36" xfId="0" applyFont="1" applyBorder="1" applyAlignment="1">
      <alignment vertical="center"/>
    </xf>
    <xf numFmtId="0" fontId="0" fillId="0" borderId="45" xfId="0" applyBorder="1" applyAlignment="1">
      <alignment vertical="center"/>
    </xf>
    <xf numFmtId="0" fontId="4" fillId="0" borderId="36" xfId="0" applyFont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41" xfId="0" applyFont="1" applyBorder="1" applyAlignment="1">
      <alignment vertical="center"/>
    </xf>
    <xf numFmtId="0" fontId="0" fillId="0" borderId="41" xfId="0" applyBorder="1" applyAlignment="1">
      <alignment vertical="center"/>
    </xf>
    <xf numFmtId="0" fontId="4" fillId="0" borderId="37" xfId="0" applyFont="1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179" fontId="4" fillId="0" borderId="2" xfId="0" applyNumberFormat="1" applyFont="1" applyBorder="1" applyAlignment="1">
      <alignment vertical="center"/>
    </xf>
    <xf numFmtId="179" fontId="4" fillId="0" borderId="3" xfId="0" applyNumberFormat="1" applyFont="1" applyBorder="1" applyAlignment="1">
      <alignment vertical="center"/>
    </xf>
  </cellXfs>
  <cellStyles count="3">
    <cellStyle name="標準" xfId="0" builtinId="0"/>
    <cellStyle name="標準_2階4x8一般事項_計算書一般事項20070604" xfId="1" xr:uid="{00000000-0005-0000-0000-000001000000}"/>
    <cellStyle name="標準_重量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  <a:cs typeface="ＭＳ Ｐ明朝"/>
              </a:defRPr>
            </a:pPr>
            <a:r>
              <a:rPr lang="ja-JP" altLang="en-US" sz="1025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RC断面　M-N図</a:t>
            </a:r>
          </a:p>
        </c:rich>
      </c:tx>
      <c:layout>
        <c:manualLayout>
          <c:xMode val="edge"/>
          <c:yMode val="edge"/>
          <c:x val="0.41909453065939573"/>
          <c:y val="3.2183908045977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12316400429182"/>
          <c:y val="0.1448279113413958"/>
          <c:w val="0.82848027356434817"/>
          <c:h val="0.70574871082235724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'円形柱の曲げ - (3)'!$I$5:$I$332</c:f>
              <c:numCache>
                <c:formatCode>General</c:formatCode>
                <c:ptCount val="328"/>
                <c:pt idx="0">
                  <c:v>-1600</c:v>
                </c:pt>
                <c:pt idx="1">
                  <c:v>-1580</c:v>
                </c:pt>
                <c:pt idx="2">
                  <c:v>-1560</c:v>
                </c:pt>
                <c:pt idx="3">
                  <c:v>-1540</c:v>
                </c:pt>
                <c:pt idx="4">
                  <c:v>-1520</c:v>
                </c:pt>
                <c:pt idx="5">
                  <c:v>-1500</c:v>
                </c:pt>
                <c:pt idx="6">
                  <c:v>-1480</c:v>
                </c:pt>
                <c:pt idx="7">
                  <c:v>-1460</c:v>
                </c:pt>
                <c:pt idx="8">
                  <c:v>-1440</c:v>
                </c:pt>
                <c:pt idx="9">
                  <c:v>-1420</c:v>
                </c:pt>
                <c:pt idx="10">
                  <c:v>-1400</c:v>
                </c:pt>
                <c:pt idx="11">
                  <c:v>-1380</c:v>
                </c:pt>
                <c:pt idx="12">
                  <c:v>-1360</c:v>
                </c:pt>
                <c:pt idx="13">
                  <c:v>-1340</c:v>
                </c:pt>
                <c:pt idx="14">
                  <c:v>-1320</c:v>
                </c:pt>
                <c:pt idx="15">
                  <c:v>-1300</c:v>
                </c:pt>
                <c:pt idx="16">
                  <c:v>-1280</c:v>
                </c:pt>
                <c:pt idx="17">
                  <c:v>-1260</c:v>
                </c:pt>
                <c:pt idx="18">
                  <c:v>-1240</c:v>
                </c:pt>
                <c:pt idx="19">
                  <c:v>-1220</c:v>
                </c:pt>
                <c:pt idx="20">
                  <c:v>-1200</c:v>
                </c:pt>
                <c:pt idx="21">
                  <c:v>-1180</c:v>
                </c:pt>
                <c:pt idx="22">
                  <c:v>-1160</c:v>
                </c:pt>
                <c:pt idx="23">
                  <c:v>-1140</c:v>
                </c:pt>
                <c:pt idx="24">
                  <c:v>-1120</c:v>
                </c:pt>
                <c:pt idx="25">
                  <c:v>-1100</c:v>
                </c:pt>
                <c:pt idx="26">
                  <c:v>-1080</c:v>
                </c:pt>
                <c:pt idx="27">
                  <c:v>-1060</c:v>
                </c:pt>
                <c:pt idx="28">
                  <c:v>-1040</c:v>
                </c:pt>
                <c:pt idx="29">
                  <c:v>-1020</c:v>
                </c:pt>
                <c:pt idx="30">
                  <c:v>-1000</c:v>
                </c:pt>
                <c:pt idx="31">
                  <c:v>-980</c:v>
                </c:pt>
                <c:pt idx="32">
                  <c:v>-960</c:v>
                </c:pt>
                <c:pt idx="33">
                  <c:v>-940</c:v>
                </c:pt>
                <c:pt idx="34">
                  <c:v>-920</c:v>
                </c:pt>
                <c:pt idx="35">
                  <c:v>-900</c:v>
                </c:pt>
                <c:pt idx="36">
                  <c:v>-880</c:v>
                </c:pt>
                <c:pt idx="37">
                  <c:v>-860</c:v>
                </c:pt>
                <c:pt idx="38">
                  <c:v>-840</c:v>
                </c:pt>
                <c:pt idx="39">
                  <c:v>-820</c:v>
                </c:pt>
                <c:pt idx="40">
                  <c:v>-800</c:v>
                </c:pt>
                <c:pt idx="41">
                  <c:v>-780</c:v>
                </c:pt>
                <c:pt idx="42">
                  <c:v>-760</c:v>
                </c:pt>
                <c:pt idx="43">
                  <c:v>-740</c:v>
                </c:pt>
                <c:pt idx="44">
                  <c:v>-720</c:v>
                </c:pt>
                <c:pt idx="45">
                  <c:v>-700</c:v>
                </c:pt>
                <c:pt idx="46">
                  <c:v>-680</c:v>
                </c:pt>
                <c:pt idx="47">
                  <c:v>-660</c:v>
                </c:pt>
                <c:pt idx="48">
                  <c:v>-640</c:v>
                </c:pt>
                <c:pt idx="49">
                  <c:v>-620</c:v>
                </c:pt>
                <c:pt idx="50">
                  <c:v>-600</c:v>
                </c:pt>
                <c:pt idx="51">
                  <c:v>-580</c:v>
                </c:pt>
                <c:pt idx="52">
                  <c:v>-560</c:v>
                </c:pt>
                <c:pt idx="53">
                  <c:v>-540</c:v>
                </c:pt>
                <c:pt idx="54">
                  <c:v>-520</c:v>
                </c:pt>
                <c:pt idx="55">
                  <c:v>-500</c:v>
                </c:pt>
                <c:pt idx="56">
                  <c:v>-480</c:v>
                </c:pt>
                <c:pt idx="57">
                  <c:v>-460</c:v>
                </c:pt>
                <c:pt idx="58">
                  <c:v>-440</c:v>
                </c:pt>
                <c:pt idx="59">
                  <c:v>-420</c:v>
                </c:pt>
                <c:pt idx="60">
                  <c:v>-400</c:v>
                </c:pt>
                <c:pt idx="61">
                  <c:v>-380</c:v>
                </c:pt>
                <c:pt idx="62">
                  <c:v>-360</c:v>
                </c:pt>
                <c:pt idx="63">
                  <c:v>-340</c:v>
                </c:pt>
                <c:pt idx="64">
                  <c:v>-320</c:v>
                </c:pt>
                <c:pt idx="65">
                  <c:v>-300</c:v>
                </c:pt>
                <c:pt idx="66">
                  <c:v>-280</c:v>
                </c:pt>
                <c:pt idx="67">
                  <c:v>-260</c:v>
                </c:pt>
                <c:pt idx="68">
                  <c:v>-240</c:v>
                </c:pt>
                <c:pt idx="69">
                  <c:v>-220</c:v>
                </c:pt>
                <c:pt idx="70">
                  <c:v>-200</c:v>
                </c:pt>
                <c:pt idx="71">
                  <c:v>-180</c:v>
                </c:pt>
                <c:pt idx="72">
                  <c:v>-160</c:v>
                </c:pt>
                <c:pt idx="73">
                  <c:v>-140</c:v>
                </c:pt>
                <c:pt idx="74">
                  <c:v>-120</c:v>
                </c:pt>
                <c:pt idx="75">
                  <c:v>-100</c:v>
                </c:pt>
                <c:pt idx="76">
                  <c:v>-80</c:v>
                </c:pt>
                <c:pt idx="77">
                  <c:v>-60</c:v>
                </c:pt>
                <c:pt idx="78">
                  <c:v>-40</c:v>
                </c:pt>
                <c:pt idx="79">
                  <c:v>-20</c:v>
                </c:pt>
                <c:pt idx="80">
                  <c:v>0</c:v>
                </c:pt>
                <c:pt idx="81">
                  <c:v>20</c:v>
                </c:pt>
                <c:pt idx="82">
                  <c:v>40</c:v>
                </c:pt>
                <c:pt idx="83">
                  <c:v>60</c:v>
                </c:pt>
                <c:pt idx="84">
                  <c:v>80</c:v>
                </c:pt>
                <c:pt idx="85">
                  <c:v>100</c:v>
                </c:pt>
                <c:pt idx="86">
                  <c:v>120</c:v>
                </c:pt>
                <c:pt idx="87">
                  <c:v>140</c:v>
                </c:pt>
                <c:pt idx="88">
                  <c:v>160</c:v>
                </c:pt>
                <c:pt idx="89">
                  <c:v>180</c:v>
                </c:pt>
                <c:pt idx="90">
                  <c:v>200</c:v>
                </c:pt>
                <c:pt idx="91">
                  <c:v>220</c:v>
                </c:pt>
                <c:pt idx="92">
                  <c:v>240</c:v>
                </c:pt>
                <c:pt idx="93">
                  <c:v>260</c:v>
                </c:pt>
                <c:pt idx="94">
                  <c:v>280</c:v>
                </c:pt>
                <c:pt idx="95">
                  <c:v>300</c:v>
                </c:pt>
                <c:pt idx="96">
                  <c:v>320</c:v>
                </c:pt>
                <c:pt idx="97">
                  <c:v>340</c:v>
                </c:pt>
                <c:pt idx="98">
                  <c:v>360</c:v>
                </c:pt>
                <c:pt idx="99">
                  <c:v>380</c:v>
                </c:pt>
                <c:pt idx="100">
                  <c:v>400</c:v>
                </c:pt>
                <c:pt idx="101">
                  <c:v>420</c:v>
                </c:pt>
                <c:pt idx="102">
                  <c:v>440</c:v>
                </c:pt>
                <c:pt idx="103">
                  <c:v>460</c:v>
                </c:pt>
                <c:pt idx="104">
                  <c:v>480</c:v>
                </c:pt>
                <c:pt idx="105">
                  <c:v>500</c:v>
                </c:pt>
                <c:pt idx="106">
                  <c:v>520</c:v>
                </c:pt>
                <c:pt idx="107">
                  <c:v>540</c:v>
                </c:pt>
                <c:pt idx="108">
                  <c:v>560</c:v>
                </c:pt>
                <c:pt idx="109">
                  <c:v>580</c:v>
                </c:pt>
                <c:pt idx="110">
                  <c:v>600</c:v>
                </c:pt>
                <c:pt idx="111">
                  <c:v>620</c:v>
                </c:pt>
                <c:pt idx="112">
                  <c:v>640</c:v>
                </c:pt>
                <c:pt idx="113">
                  <c:v>660</c:v>
                </c:pt>
                <c:pt idx="114">
                  <c:v>680</c:v>
                </c:pt>
                <c:pt idx="115">
                  <c:v>700</c:v>
                </c:pt>
                <c:pt idx="116">
                  <c:v>720</c:v>
                </c:pt>
                <c:pt idx="117">
                  <c:v>740</c:v>
                </c:pt>
                <c:pt idx="118">
                  <c:v>760</c:v>
                </c:pt>
                <c:pt idx="119">
                  <c:v>780</c:v>
                </c:pt>
                <c:pt idx="120">
                  <c:v>800</c:v>
                </c:pt>
                <c:pt idx="121">
                  <c:v>820</c:v>
                </c:pt>
                <c:pt idx="122">
                  <c:v>840</c:v>
                </c:pt>
                <c:pt idx="123">
                  <c:v>860</c:v>
                </c:pt>
                <c:pt idx="124">
                  <c:v>880</c:v>
                </c:pt>
                <c:pt idx="125">
                  <c:v>900</c:v>
                </c:pt>
                <c:pt idx="126">
                  <c:v>920</c:v>
                </c:pt>
                <c:pt idx="127">
                  <c:v>940</c:v>
                </c:pt>
                <c:pt idx="128">
                  <c:v>960</c:v>
                </c:pt>
                <c:pt idx="129">
                  <c:v>980</c:v>
                </c:pt>
                <c:pt idx="130">
                  <c:v>1000</c:v>
                </c:pt>
                <c:pt idx="131">
                  <c:v>1020</c:v>
                </c:pt>
                <c:pt idx="132">
                  <c:v>1040</c:v>
                </c:pt>
                <c:pt idx="133">
                  <c:v>1060</c:v>
                </c:pt>
                <c:pt idx="134">
                  <c:v>1080</c:v>
                </c:pt>
                <c:pt idx="135">
                  <c:v>1100</c:v>
                </c:pt>
                <c:pt idx="136">
                  <c:v>1120</c:v>
                </c:pt>
                <c:pt idx="137">
                  <c:v>1140</c:v>
                </c:pt>
                <c:pt idx="138">
                  <c:v>1160</c:v>
                </c:pt>
                <c:pt idx="139">
                  <c:v>1180</c:v>
                </c:pt>
                <c:pt idx="140">
                  <c:v>1200</c:v>
                </c:pt>
                <c:pt idx="141">
                  <c:v>1220</c:v>
                </c:pt>
                <c:pt idx="142">
                  <c:v>1240</c:v>
                </c:pt>
                <c:pt idx="143">
                  <c:v>1260</c:v>
                </c:pt>
                <c:pt idx="144">
                  <c:v>1280</c:v>
                </c:pt>
                <c:pt idx="145">
                  <c:v>1300</c:v>
                </c:pt>
                <c:pt idx="146">
                  <c:v>1320</c:v>
                </c:pt>
                <c:pt idx="147">
                  <c:v>1340</c:v>
                </c:pt>
                <c:pt idx="148">
                  <c:v>1360</c:v>
                </c:pt>
                <c:pt idx="149">
                  <c:v>1380</c:v>
                </c:pt>
                <c:pt idx="150">
                  <c:v>1400</c:v>
                </c:pt>
                <c:pt idx="151">
                  <c:v>1420</c:v>
                </c:pt>
                <c:pt idx="152">
                  <c:v>1440</c:v>
                </c:pt>
                <c:pt idx="153">
                  <c:v>1460</c:v>
                </c:pt>
                <c:pt idx="154">
                  <c:v>1480</c:v>
                </c:pt>
                <c:pt idx="155">
                  <c:v>1500</c:v>
                </c:pt>
                <c:pt idx="156">
                  <c:v>1520</c:v>
                </c:pt>
                <c:pt idx="157">
                  <c:v>1540</c:v>
                </c:pt>
                <c:pt idx="158">
                  <c:v>1560</c:v>
                </c:pt>
                <c:pt idx="159">
                  <c:v>1580</c:v>
                </c:pt>
                <c:pt idx="160">
                  <c:v>1600</c:v>
                </c:pt>
                <c:pt idx="161">
                  <c:v>1620</c:v>
                </c:pt>
                <c:pt idx="162">
                  <c:v>1640</c:v>
                </c:pt>
                <c:pt idx="163">
                  <c:v>1660</c:v>
                </c:pt>
                <c:pt idx="164">
                  <c:v>1680</c:v>
                </c:pt>
                <c:pt idx="165">
                  <c:v>1700</c:v>
                </c:pt>
                <c:pt idx="166">
                  <c:v>1720</c:v>
                </c:pt>
                <c:pt idx="167">
                  <c:v>1740</c:v>
                </c:pt>
                <c:pt idx="168">
                  <c:v>1760</c:v>
                </c:pt>
                <c:pt idx="169">
                  <c:v>1780</c:v>
                </c:pt>
                <c:pt idx="170">
                  <c:v>1800</c:v>
                </c:pt>
                <c:pt idx="171">
                  <c:v>1820</c:v>
                </c:pt>
                <c:pt idx="172">
                  <c:v>1840</c:v>
                </c:pt>
                <c:pt idx="173">
                  <c:v>1860</c:v>
                </c:pt>
                <c:pt idx="174">
                  <c:v>1880</c:v>
                </c:pt>
                <c:pt idx="175">
                  <c:v>1900</c:v>
                </c:pt>
                <c:pt idx="176">
                  <c:v>1920</c:v>
                </c:pt>
                <c:pt idx="177">
                  <c:v>1940</c:v>
                </c:pt>
                <c:pt idx="178">
                  <c:v>1960</c:v>
                </c:pt>
                <c:pt idx="179">
                  <c:v>1980</c:v>
                </c:pt>
                <c:pt idx="180">
                  <c:v>2000</c:v>
                </c:pt>
                <c:pt idx="181">
                  <c:v>2020</c:v>
                </c:pt>
                <c:pt idx="182">
                  <c:v>2040</c:v>
                </c:pt>
                <c:pt idx="183">
                  <c:v>2060</c:v>
                </c:pt>
                <c:pt idx="184">
                  <c:v>2080</c:v>
                </c:pt>
                <c:pt idx="185">
                  <c:v>2100</c:v>
                </c:pt>
                <c:pt idx="186">
                  <c:v>2120</c:v>
                </c:pt>
                <c:pt idx="187">
                  <c:v>2140</c:v>
                </c:pt>
                <c:pt idx="188">
                  <c:v>2160</c:v>
                </c:pt>
                <c:pt idx="189">
                  <c:v>2180</c:v>
                </c:pt>
                <c:pt idx="190">
                  <c:v>2200</c:v>
                </c:pt>
                <c:pt idx="191">
                  <c:v>2220</c:v>
                </c:pt>
                <c:pt idx="192">
                  <c:v>2240</c:v>
                </c:pt>
                <c:pt idx="193">
                  <c:v>2260</c:v>
                </c:pt>
                <c:pt idx="194">
                  <c:v>2280</c:v>
                </c:pt>
                <c:pt idx="195">
                  <c:v>2300</c:v>
                </c:pt>
                <c:pt idx="196">
                  <c:v>2320</c:v>
                </c:pt>
                <c:pt idx="197">
                  <c:v>2340</c:v>
                </c:pt>
                <c:pt idx="198">
                  <c:v>2360</c:v>
                </c:pt>
                <c:pt idx="199">
                  <c:v>2380</c:v>
                </c:pt>
                <c:pt idx="200">
                  <c:v>2400</c:v>
                </c:pt>
                <c:pt idx="201">
                  <c:v>2420</c:v>
                </c:pt>
                <c:pt idx="202">
                  <c:v>2440</c:v>
                </c:pt>
                <c:pt idx="203">
                  <c:v>2460</c:v>
                </c:pt>
                <c:pt idx="204">
                  <c:v>2480</c:v>
                </c:pt>
                <c:pt idx="205">
                  <c:v>2500</c:v>
                </c:pt>
                <c:pt idx="206">
                  <c:v>2520</c:v>
                </c:pt>
                <c:pt idx="207">
                  <c:v>2540</c:v>
                </c:pt>
                <c:pt idx="208">
                  <c:v>2560</c:v>
                </c:pt>
                <c:pt idx="209">
                  <c:v>2580</c:v>
                </c:pt>
                <c:pt idx="210">
                  <c:v>2600</c:v>
                </c:pt>
                <c:pt idx="211">
                  <c:v>2620</c:v>
                </c:pt>
                <c:pt idx="212">
                  <c:v>2640</c:v>
                </c:pt>
                <c:pt idx="213">
                  <c:v>2660</c:v>
                </c:pt>
                <c:pt idx="214">
                  <c:v>2680</c:v>
                </c:pt>
                <c:pt idx="215">
                  <c:v>2700</c:v>
                </c:pt>
                <c:pt idx="216">
                  <c:v>2720</c:v>
                </c:pt>
                <c:pt idx="217">
                  <c:v>2740</c:v>
                </c:pt>
                <c:pt idx="218">
                  <c:v>2760</c:v>
                </c:pt>
                <c:pt idx="219">
                  <c:v>2780</c:v>
                </c:pt>
                <c:pt idx="220">
                  <c:v>2800</c:v>
                </c:pt>
                <c:pt idx="221">
                  <c:v>2820</c:v>
                </c:pt>
                <c:pt idx="222">
                  <c:v>2840</c:v>
                </c:pt>
                <c:pt idx="223">
                  <c:v>2860</c:v>
                </c:pt>
                <c:pt idx="224">
                  <c:v>2880</c:v>
                </c:pt>
                <c:pt idx="225">
                  <c:v>2900</c:v>
                </c:pt>
                <c:pt idx="226">
                  <c:v>2920</c:v>
                </c:pt>
                <c:pt idx="227">
                  <c:v>2940</c:v>
                </c:pt>
                <c:pt idx="228">
                  <c:v>2960</c:v>
                </c:pt>
                <c:pt idx="229">
                  <c:v>2980</c:v>
                </c:pt>
                <c:pt idx="230">
                  <c:v>3000</c:v>
                </c:pt>
                <c:pt idx="231">
                  <c:v>3020</c:v>
                </c:pt>
                <c:pt idx="232">
                  <c:v>3040</c:v>
                </c:pt>
                <c:pt idx="233">
                  <c:v>3060</c:v>
                </c:pt>
                <c:pt idx="234">
                  <c:v>3080</c:v>
                </c:pt>
                <c:pt idx="235">
                  <c:v>3100</c:v>
                </c:pt>
                <c:pt idx="236">
                  <c:v>3120</c:v>
                </c:pt>
                <c:pt idx="237">
                  <c:v>3140</c:v>
                </c:pt>
                <c:pt idx="238">
                  <c:v>3160</c:v>
                </c:pt>
                <c:pt idx="239">
                  <c:v>3180</c:v>
                </c:pt>
                <c:pt idx="240">
                  <c:v>3200</c:v>
                </c:pt>
                <c:pt idx="241">
                  <c:v>3220</c:v>
                </c:pt>
                <c:pt idx="242">
                  <c:v>3240</c:v>
                </c:pt>
                <c:pt idx="243">
                  <c:v>3260</c:v>
                </c:pt>
                <c:pt idx="244">
                  <c:v>3280</c:v>
                </c:pt>
                <c:pt idx="245">
                  <c:v>3300</c:v>
                </c:pt>
                <c:pt idx="246">
                  <c:v>3320</c:v>
                </c:pt>
                <c:pt idx="247">
                  <c:v>3340</c:v>
                </c:pt>
                <c:pt idx="248">
                  <c:v>3360</c:v>
                </c:pt>
                <c:pt idx="249">
                  <c:v>3380</c:v>
                </c:pt>
                <c:pt idx="250">
                  <c:v>3400</c:v>
                </c:pt>
                <c:pt idx="251">
                  <c:v>3420</c:v>
                </c:pt>
                <c:pt idx="252">
                  <c:v>3440</c:v>
                </c:pt>
                <c:pt idx="253">
                  <c:v>3460</c:v>
                </c:pt>
                <c:pt idx="254">
                  <c:v>3480</c:v>
                </c:pt>
                <c:pt idx="255">
                  <c:v>3500</c:v>
                </c:pt>
                <c:pt idx="256">
                  <c:v>3520</c:v>
                </c:pt>
                <c:pt idx="257">
                  <c:v>3540</c:v>
                </c:pt>
                <c:pt idx="258">
                  <c:v>3560</c:v>
                </c:pt>
                <c:pt idx="259">
                  <c:v>3580</c:v>
                </c:pt>
                <c:pt idx="260">
                  <c:v>3600</c:v>
                </c:pt>
                <c:pt idx="261">
                  <c:v>3620</c:v>
                </c:pt>
                <c:pt idx="262">
                  <c:v>3640</c:v>
                </c:pt>
                <c:pt idx="263">
                  <c:v>3660</c:v>
                </c:pt>
                <c:pt idx="264">
                  <c:v>3680</c:v>
                </c:pt>
                <c:pt idx="265">
                  <c:v>3700</c:v>
                </c:pt>
                <c:pt idx="266">
                  <c:v>3720</c:v>
                </c:pt>
                <c:pt idx="267">
                  <c:v>3740</c:v>
                </c:pt>
                <c:pt idx="268">
                  <c:v>3760</c:v>
                </c:pt>
                <c:pt idx="269">
                  <c:v>3780</c:v>
                </c:pt>
                <c:pt idx="270">
                  <c:v>3800</c:v>
                </c:pt>
                <c:pt idx="271">
                  <c:v>3820</c:v>
                </c:pt>
                <c:pt idx="272">
                  <c:v>3840</c:v>
                </c:pt>
                <c:pt idx="273">
                  <c:v>3860</c:v>
                </c:pt>
                <c:pt idx="274">
                  <c:v>3880</c:v>
                </c:pt>
                <c:pt idx="275">
                  <c:v>3900</c:v>
                </c:pt>
                <c:pt idx="276">
                  <c:v>3920</c:v>
                </c:pt>
                <c:pt idx="277">
                  <c:v>3940</c:v>
                </c:pt>
                <c:pt idx="278">
                  <c:v>3960</c:v>
                </c:pt>
                <c:pt idx="279">
                  <c:v>3980</c:v>
                </c:pt>
                <c:pt idx="280">
                  <c:v>4000</c:v>
                </c:pt>
                <c:pt idx="281">
                  <c:v>4020</c:v>
                </c:pt>
                <c:pt idx="282">
                  <c:v>4040</c:v>
                </c:pt>
                <c:pt idx="283">
                  <c:v>4060</c:v>
                </c:pt>
                <c:pt idx="284">
                  <c:v>4080</c:v>
                </c:pt>
                <c:pt idx="285">
                  <c:v>4100</c:v>
                </c:pt>
                <c:pt idx="286">
                  <c:v>4120</c:v>
                </c:pt>
                <c:pt idx="287">
                  <c:v>4140</c:v>
                </c:pt>
                <c:pt idx="288">
                  <c:v>4160</c:v>
                </c:pt>
                <c:pt idx="289">
                  <c:v>4180</c:v>
                </c:pt>
                <c:pt idx="290">
                  <c:v>4200</c:v>
                </c:pt>
                <c:pt idx="291">
                  <c:v>4220</c:v>
                </c:pt>
                <c:pt idx="292">
                  <c:v>4240</c:v>
                </c:pt>
                <c:pt idx="293">
                  <c:v>4260</c:v>
                </c:pt>
                <c:pt idx="294">
                  <c:v>4280</c:v>
                </c:pt>
                <c:pt idx="295">
                  <c:v>4300</c:v>
                </c:pt>
                <c:pt idx="296">
                  <c:v>4320</c:v>
                </c:pt>
                <c:pt idx="297">
                  <c:v>4340</c:v>
                </c:pt>
                <c:pt idx="298">
                  <c:v>4360</c:v>
                </c:pt>
                <c:pt idx="299">
                  <c:v>4380</c:v>
                </c:pt>
                <c:pt idx="300">
                  <c:v>4400</c:v>
                </c:pt>
                <c:pt idx="301">
                  <c:v>4420</c:v>
                </c:pt>
                <c:pt idx="302">
                  <c:v>4440</c:v>
                </c:pt>
                <c:pt idx="303">
                  <c:v>4460</c:v>
                </c:pt>
                <c:pt idx="304">
                  <c:v>4480</c:v>
                </c:pt>
                <c:pt idx="305">
                  <c:v>4500</c:v>
                </c:pt>
                <c:pt idx="306">
                  <c:v>4520</c:v>
                </c:pt>
                <c:pt idx="307">
                  <c:v>4540</c:v>
                </c:pt>
                <c:pt idx="308">
                  <c:v>4560</c:v>
                </c:pt>
                <c:pt idx="309">
                  <c:v>4580</c:v>
                </c:pt>
                <c:pt idx="310">
                  <c:v>4600</c:v>
                </c:pt>
                <c:pt idx="311">
                  <c:v>4620</c:v>
                </c:pt>
                <c:pt idx="312">
                  <c:v>4640</c:v>
                </c:pt>
                <c:pt idx="313">
                  <c:v>4660</c:v>
                </c:pt>
                <c:pt idx="314">
                  <c:v>4680</c:v>
                </c:pt>
                <c:pt idx="315">
                  <c:v>4700</c:v>
                </c:pt>
                <c:pt idx="316">
                  <c:v>4720</c:v>
                </c:pt>
                <c:pt idx="317">
                  <c:v>4740</c:v>
                </c:pt>
                <c:pt idx="318">
                  <c:v>4760</c:v>
                </c:pt>
                <c:pt idx="319">
                  <c:v>4780</c:v>
                </c:pt>
                <c:pt idx="320">
                  <c:v>4800</c:v>
                </c:pt>
                <c:pt idx="321">
                  <c:v>4820</c:v>
                </c:pt>
                <c:pt idx="322">
                  <c:v>4840</c:v>
                </c:pt>
                <c:pt idx="323">
                  <c:v>4860</c:v>
                </c:pt>
                <c:pt idx="324">
                  <c:v>4880</c:v>
                </c:pt>
                <c:pt idx="325">
                  <c:v>4900</c:v>
                </c:pt>
                <c:pt idx="326">
                  <c:v>4920</c:v>
                </c:pt>
                <c:pt idx="327">
                  <c:v>4940</c:v>
                </c:pt>
              </c:numCache>
            </c:numRef>
          </c:xVal>
          <c:yVal>
            <c:numRef>
              <c:f>'円形柱の曲げ - (3)'!$M$5:$M$332</c:f>
              <c:numCache>
                <c:formatCode>0_ </c:formatCode>
                <c:ptCount val="3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0.42269956320524216</c:v>
                </c:pt>
                <c:pt idx="52">
                  <c:v>1.0226995684206486</c:v>
                </c:pt>
                <c:pt idx="53">
                  <c:v>1.622699573636055</c:v>
                </c:pt>
                <c:pt idx="54">
                  <c:v>2.2226994857192039</c:v>
                </c:pt>
                <c:pt idx="55">
                  <c:v>2.8226995840668678</c:v>
                </c:pt>
                <c:pt idx="56">
                  <c:v>3.4226994961500168</c:v>
                </c:pt>
                <c:pt idx="57">
                  <c:v>5.2879706025123596</c:v>
                </c:pt>
                <c:pt idx="58">
                  <c:v>8.0720588564872742</c:v>
                </c:pt>
                <c:pt idx="59">
                  <c:v>11.258216947317123</c:v>
                </c:pt>
                <c:pt idx="60">
                  <c:v>14.492163062095642</c:v>
                </c:pt>
                <c:pt idx="61">
                  <c:v>17.771264910697937</c:v>
                </c:pt>
                <c:pt idx="62">
                  <c:v>21.067962050437927</c:v>
                </c:pt>
                <c:pt idx="63">
                  <c:v>24.369646608829498</c:v>
                </c:pt>
                <c:pt idx="64">
                  <c:v>27.658852934837341</c:v>
                </c:pt>
                <c:pt idx="65">
                  <c:v>30.941471457481384</c:v>
                </c:pt>
                <c:pt idx="66">
                  <c:v>34.218037128448486</c:v>
                </c:pt>
                <c:pt idx="67">
                  <c:v>37.483310699462891</c:v>
                </c:pt>
                <c:pt idx="68">
                  <c:v>40.726837515830994</c:v>
                </c:pt>
                <c:pt idx="69">
                  <c:v>43.934032320976257</c:v>
                </c:pt>
                <c:pt idx="70">
                  <c:v>46.212843060493469</c:v>
                </c:pt>
                <c:pt idx="71">
                  <c:v>47.076326608657837</c:v>
                </c:pt>
                <c:pt idx="72">
                  <c:v>47.82899022102356</c:v>
                </c:pt>
                <c:pt idx="73">
                  <c:v>48.795482516288757</c:v>
                </c:pt>
                <c:pt idx="74">
                  <c:v>49.659362435340881</c:v>
                </c:pt>
                <c:pt idx="75">
                  <c:v>50.575321912765503</c:v>
                </c:pt>
                <c:pt idx="76">
                  <c:v>51.537811756134033</c:v>
                </c:pt>
                <c:pt idx="77">
                  <c:v>52.426344156265259</c:v>
                </c:pt>
                <c:pt idx="78">
                  <c:v>53.474205732345581</c:v>
                </c:pt>
                <c:pt idx="79">
                  <c:v>54.45406436920166</c:v>
                </c:pt>
                <c:pt idx="80">
                  <c:v>55.475533008575439</c:v>
                </c:pt>
                <c:pt idx="81">
                  <c:v>56.533145904541016</c:v>
                </c:pt>
                <c:pt idx="82">
                  <c:v>57.62181282043457</c:v>
                </c:pt>
                <c:pt idx="83">
                  <c:v>58.667731285095215</c:v>
                </c:pt>
                <c:pt idx="84">
                  <c:v>59.810447692871094</c:v>
                </c:pt>
                <c:pt idx="85">
                  <c:v>60.914421081542969</c:v>
                </c:pt>
                <c:pt idx="86">
                  <c:v>62.043333053588867</c:v>
                </c:pt>
                <c:pt idx="87">
                  <c:v>63.150399923324585</c:v>
                </c:pt>
                <c:pt idx="88">
                  <c:v>64.320594072341919</c:v>
                </c:pt>
                <c:pt idx="89">
                  <c:v>65.501409769058228</c:v>
                </c:pt>
                <c:pt idx="90">
                  <c:v>66.664403676986694</c:v>
                </c:pt>
                <c:pt idx="91">
                  <c:v>67.840641736984253</c:v>
                </c:pt>
                <c:pt idx="92">
                  <c:v>69.025552272796631</c:v>
                </c:pt>
                <c:pt idx="93">
                  <c:v>70.214760303497314</c:v>
                </c:pt>
                <c:pt idx="94">
                  <c:v>71.401870250701904</c:v>
                </c:pt>
                <c:pt idx="95">
                  <c:v>72.59521484375</c:v>
                </c:pt>
                <c:pt idx="96">
                  <c:v>73.782199621200562</c:v>
                </c:pt>
                <c:pt idx="97">
                  <c:v>74.982905387878418</c:v>
                </c:pt>
                <c:pt idx="98">
                  <c:v>76.151555776596069</c:v>
                </c:pt>
                <c:pt idx="99">
                  <c:v>77.344787120819092</c:v>
                </c:pt>
                <c:pt idx="100">
                  <c:v>78.506648540496826</c:v>
                </c:pt>
                <c:pt idx="101">
                  <c:v>79.651141166687012</c:v>
                </c:pt>
                <c:pt idx="102">
                  <c:v>80.809032917022705</c:v>
                </c:pt>
                <c:pt idx="103">
                  <c:v>81.950706243515015</c:v>
                </c:pt>
                <c:pt idx="104">
                  <c:v>83.072632551193237</c:v>
                </c:pt>
                <c:pt idx="105">
                  <c:v>84.171420335769653</c:v>
                </c:pt>
                <c:pt idx="106">
                  <c:v>85.243856906890869</c:v>
                </c:pt>
                <c:pt idx="107">
                  <c:v>86.28685474395752</c:v>
                </c:pt>
                <c:pt idx="108">
                  <c:v>87.297475337982178</c:v>
                </c:pt>
                <c:pt idx="109">
                  <c:v>88.331705331802368</c:v>
                </c:pt>
                <c:pt idx="110">
                  <c:v>89.334022998809814</c:v>
                </c:pt>
                <c:pt idx="111">
                  <c:v>90.23626446723938</c:v>
                </c:pt>
                <c:pt idx="112">
                  <c:v>91.23070240020752</c:v>
                </c:pt>
                <c:pt idx="113">
                  <c:v>92.119210958480835</c:v>
                </c:pt>
                <c:pt idx="114">
                  <c:v>92.964142560958862</c:v>
                </c:pt>
                <c:pt idx="115">
                  <c:v>93.83884072303772</c:v>
                </c:pt>
                <c:pt idx="116">
                  <c:v>94.669586420059204</c:v>
                </c:pt>
                <c:pt idx="117">
                  <c:v>95.372217893600464</c:v>
                </c:pt>
                <c:pt idx="118">
                  <c:v>96.103870868682861</c:v>
                </c:pt>
                <c:pt idx="119">
                  <c:v>96.783041954040527</c:v>
                </c:pt>
                <c:pt idx="120">
                  <c:v>97.494584321975708</c:v>
                </c:pt>
                <c:pt idx="121">
                  <c:v>98.062503337860107</c:v>
                </c:pt>
                <c:pt idx="122">
                  <c:v>98.569804430007935</c:v>
                </c:pt>
                <c:pt idx="123">
                  <c:v>99.20000433921814</c:v>
                </c:pt>
                <c:pt idx="124">
                  <c:v>99.581235647201538</c:v>
                </c:pt>
                <c:pt idx="125">
                  <c:v>100.08643865585327</c:v>
                </c:pt>
                <c:pt idx="126">
                  <c:v>100.52624940872192</c:v>
                </c:pt>
                <c:pt idx="127">
                  <c:v>100.69898366928101</c:v>
                </c:pt>
                <c:pt idx="128">
                  <c:v>100.99563598632813</c:v>
                </c:pt>
                <c:pt idx="129">
                  <c:v>101.4203667640686</c:v>
                </c:pt>
                <c:pt idx="130">
                  <c:v>101.56611204147339</c:v>
                </c:pt>
                <c:pt idx="131">
                  <c:v>101.63065195083618</c:v>
                </c:pt>
                <c:pt idx="132">
                  <c:v>101.81870460510254</c:v>
                </c:pt>
                <c:pt idx="133">
                  <c:v>101.92168951034546</c:v>
                </c:pt>
                <c:pt idx="134">
                  <c:v>101.9355297088623</c:v>
                </c:pt>
                <c:pt idx="135">
                  <c:v>101.85638666152954</c:v>
                </c:pt>
                <c:pt idx="136">
                  <c:v>101.68043375015259</c:v>
                </c:pt>
                <c:pt idx="137">
                  <c:v>101.61502361297607</c:v>
                </c:pt>
                <c:pt idx="138">
                  <c:v>101.4445424079895</c:v>
                </c:pt>
                <c:pt idx="139">
                  <c:v>101.16406679153442</c:v>
                </c:pt>
                <c:pt idx="140">
                  <c:v>100.76901912689209</c:v>
                </c:pt>
                <c:pt idx="141">
                  <c:v>100.46255588531494</c:v>
                </c:pt>
                <c:pt idx="142">
                  <c:v>100.02856254577637</c:v>
                </c:pt>
                <c:pt idx="143">
                  <c:v>99.665164947509766</c:v>
                </c:pt>
                <c:pt idx="144">
                  <c:v>99.157488346099854</c:v>
                </c:pt>
                <c:pt idx="145">
                  <c:v>98.498773574829102</c:v>
                </c:pt>
                <c:pt idx="146">
                  <c:v>98.070120811462402</c:v>
                </c:pt>
                <c:pt idx="147">
                  <c:v>97.270578145980835</c:v>
                </c:pt>
                <c:pt idx="148">
                  <c:v>96.65837287902832</c:v>
                </c:pt>
                <c:pt idx="149">
                  <c:v>95.657700300216675</c:v>
                </c:pt>
                <c:pt idx="150">
                  <c:v>94.962221384048462</c:v>
                </c:pt>
                <c:pt idx="151">
                  <c:v>94.006955623626709</c:v>
                </c:pt>
                <c:pt idx="152">
                  <c:v>93.239235877990723</c:v>
                </c:pt>
                <c:pt idx="153">
                  <c:v>92.128211259841919</c:v>
                </c:pt>
                <c:pt idx="154">
                  <c:v>91.432631015777588</c:v>
                </c:pt>
                <c:pt idx="155">
                  <c:v>90.19855260848999</c:v>
                </c:pt>
                <c:pt idx="156">
                  <c:v>89.150130748748779</c:v>
                </c:pt>
                <c:pt idx="157">
                  <c:v>87.992900609970093</c:v>
                </c:pt>
                <c:pt idx="158">
                  <c:v>86.938798427581787</c:v>
                </c:pt>
                <c:pt idx="159">
                  <c:v>85.817360877990723</c:v>
                </c:pt>
                <c:pt idx="160">
                  <c:v>84.695976972579956</c:v>
                </c:pt>
                <c:pt idx="161">
                  <c:v>83.574527502059937</c:v>
                </c:pt>
                <c:pt idx="162">
                  <c:v>82.45311975479126</c:v>
                </c:pt>
                <c:pt idx="163">
                  <c:v>81.331700086593628</c:v>
                </c:pt>
                <c:pt idx="164">
                  <c:v>80.210274457931519</c:v>
                </c:pt>
                <c:pt idx="165">
                  <c:v>79.088860750198364</c:v>
                </c:pt>
                <c:pt idx="166">
                  <c:v>77.967453002929688</c:v>
                </c:pt>
                <c:pt idx="167">
                  <c:v>76.846033334732056</c:v>
                </c:pt>
                <c:pt idx="168">
                  <c:v>75.724619626998901</c:v>
                </c:pt>
                <c:pt idx="169">
                  <c:v>74.603188037872314</c:v>
                </c:pt>
                <c:pt idx="170">
                  <c:v>73.481756448745728</c:v>
                </c:pt>
                <c:pt idx="171">
                  <c:v>72.360348701477051</c:v>
                </c:pt>
                <c:pt idx="172">
                  <c:v>71.238923072814941</c:v>
                </c:pt>
                <c:pt idx="173">
                  <c:v>70.117521286010742</c:v>
                </c:pt>
                <c:pt idx="174">
                  <c:v>68.996095657348633</c:v>
                </c:pt>
                <c:pt idx="175">
                  <c:v>67.874670028686523</c:v>
                </c:pt>
                <c:pt idx="176">
                  <c:v>66.753250360488892</c:v>
                </c:pt>
                <c:pt idx="177">
                  <c:v>65.631824731826782</c:v>
                </c:pt>
                <c:pt idx="178">
                  <c:v>64.510399103164673</c:v>
                </c:pt>
                <c:pt idx="179">
                  <c:v>63.388991355895996</c:v>
                </c:pt>
                <c:pt idx="180">
                  <c:v>62.267589569091797</c:v>
                </c:pt>
                <c:pt idx="181">
                  <c:v>61.146163940429688</c:v>
                </c:pt>
                <c:pt idx="182">
                  <c:v>60.024726390838623</c:v>
                </c:pt>
                <c:pt idx="183">
                  <c:v>58.903324604034424</c:v>
                </c:pt>
                <c:pt idx="184">
                  <c:v>57.78191089630127</c:v>
                </c:pt>
                <c:pt idx="185">
                  <c:v>56.660473346710205</c:v>
                </c:pt>
                <c:pt idx="186">
                  <c:v>55.539047718048096</c:v>
                </c:pt>
                <c:pt idx="187">
                  <c:v>54.417645931243896</c:v>
                </c:pt>
                <c:pt idx="188">
                  <c:v>53.296226263046265</c:v>
                </c:pt>
                <c:pt idx="189">
                  <c:v>52.174806594848633</c:v>
                </c:pt>
                <c:pt idx="190">
                  <c:v>51.053369045257568</c:v>
                </c:pt>
                <c:pt idx="191">
                  <c:v>49.931949377059937</c:v>
                </c:pt>
                <c:pt idx="192">
                  <c:v>48.810544610023499</c:v>
                </c:pt>
                <c:pt idx="193">
                  <c:v>47.68911600112915</c:v>
                </c:pt>
                <c:pt idx="194">
                  <c:v>46.567690372467041</c:v>
                </c:pt>
                <c:pt idx="195">
                  <c:v>45.446288585662842</c:v>
                </c:pt>
                <c:pt idx="196">
                  <c:v>44.324851036071777</c:v>
                </c:pt>
                <c:pt idx="197">
                  <c:v>43.203446269035339</c:v>
                </c:pt>
                <c:pt idx="198">
                  <c:v>42.082011699676514</c:v>
                </c:pt>
                <c:pt idx="199">
                  <c:v>40.960583090782166</c:v>
                </c:pt>
                <c:pt idx="200">
                  <c:v>39.839211106300354</c:v>
                </c:pt>
                <c:pt idx="201">
                  <c:v>38.717734813690186</c:v>
                </c:pt>
                <c:pt idx="202">
                  <c:v>37.596338987350464</c:v>
                </c:pt>
                <c:pt idx="203">
                  <c:v>36.474904417991638</c:v>
                </c:pt>
                <c:pt idx="204">
                  <c:v>35.353508591651917</c:v>
                </c:pt>
                <c:pt idx="205">
                  <c:v>34.232074022293091</c:v>
                </c:pt>
                <c:pt idx="206">
                  <c:v>33.110690116882324</c:v>
                </c:pt>
                <c:pt idx="207">
                  <c:v>31.989273428916931</c:v>
                </c:pt>
                <c:pt idx="208">
                  <c:v>30.86782693862915</c:v>
                </c:pt>
                <c:pt idx="209">
                  <c:v>29.746398329734802</c:v>
                </c:pt>
                <c:pt idx="210">
                  <c:v>28.624996542930603</c:v>
                </c:pt>
                <c:pt idx="211">
                  <c:v>27.503558993339539</c:v>
                </c:pt>
                <c:pt idx="212">
                  <c:v>26.382166147232056</c:v>
                </c:pt>
                <c:pt idx="213">
                  <c:v>25.260716676712036</c:v>
                </c:pt>
                <c:pt idx="214">
                  <c:v>24.139316380023956</c:v>
                </c:pt>
                <c:pt idx="215">
                  <c:v>23.017899692058563</c:v>
                </c:pt>
                <c:pt idx="216">
                  <c:v>21.896463632583618</c:v>
                </c:pt>
                <c:pt idx="217">
                  <c:v>20.775030553340912</c:v>
                </c:pt>
                <c:pt idx="218">
                  <c:v>19.653664529323578</c:v>
                </c:pt>
                <c:pt idx="219">
                  <c:v>18.532191216945648</c:v>
                </c:pt>
                <c:pt idx="220">
                  <c:v>17.41081029176712</c:v>
                </c:pt>
                <c:pt idx="221">
                  <c:v>16.289344429969788</c:v>
                </c:pt>
                <c:pt idx="222">
                  <c:v>15.167948603630066</c:v>
                </c:pt>
                <c:pt idx="223">
                  <c:v>14.046551287174225</c:v>
                </c:pt>
                <c:pt idx="224">
                  <c:v>12.925122678279877</c:v>
                </c:pt>
                <c:pt idx="225">
                  <c:v>11.803681403398514</c:v>
                </c:pt>
                <c:pt idx="226">
                  <c:v>10.682293027639389</c:v>
                </c:pt>
                <c:pt idx="227">
                  <c:v>9.5608346164226532</c:v>
                </c:pt>
                <c:pt idx="228">
                  <c:v>8.4394067525863647</c:v>
                </c:pt>
                <c:pt idx="229">
                  <c:v>7.3180519044399261</c:v>
                </c:pt>
                <c:pt idx="230">
                  <c:v>6.1965815722942352</c:v>
                </c:pt>
                <c:pt idx="231">
                  <c:v>5.0751384347677231</c:v>
                </c:pt>
                <c:pt idx="232">
                  <c:v>3.9537344127893448</c:v>
                </c:pt>
                <c:pt idx="233">
                  <c:v>2.8323309496045113</c:v>
                </c:pt>
                <c:pt idx="234">
                  <c:v>1.7109040170907974</c:v>
                </c:pt>
                <c:pt idx="235">
                  <c:v>0.58948085643351078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F-47D5-91B9-F02163463B26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'円形柱の曲げ - (3)'!$Q$6:$Q$9</c:f>
              <c:numCache>
                <c:formatCode>General</c:formatCode>
                <c:ptCount val="4"/>
                <c:pt idx="0">
                  <c:v>145</c:v>
                </c:pt>
                <c:pt idx="1">
                  <c:v>145</c:v>
                </c:pt>
                <c:pt idx="2">
                  <c:v>38</c:v>
                </c:pt>
                <c:pt idx="3">
                  <c:v>38</c:v>
                </c:pt>
              </c:numCache>
            </c:numRef>
          </c:xVal>
          <c:yVal>
            <c:numRef>
              <c:f>'円形柱の曲げ - (3)'!$R$6:$R$9</c:f>
              <c:numCache>
                <c:formatCode>General</c:formatCode>
                <c:ptCount val="4"/>
                <c:pt idx="0">
                  <c:v>0</c:v>
                </c:pt>
                <c:pt idx="1">
                  <c:v>56.73</c:v>
                </c:pt>
                <c:pt idx="2">
                  <c:v>56.73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DF-47D5-91B9-F02163463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82559"/>
        <c:axId val="1"/>
      </c:scatterChart>
      <c:valAx>
        <c:axId val="780382559"/>
        <c:scaling>
          <c:orientation val="minMax"/>
          <c:max val="5000"/>
          <c:min val="-2000"/>
        </c:scaling>
        <c:delete val="0"/>
        <c:axPos val="b"/>
        <c:majorGridlines>
          <c:spPr>
            <a:ln w="3175">
              <a:solidFill>
                <a:srgbClr val="00008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ＭＳ Ｐ明朝"/>
                    <a:ea typeface="ＭＳ Ｐ明朝"/>
                    <a:cs typeface="ＭＳ Ｐ明朝"/>
                  </a:defRPr>
                </a:pPr>
                <a:r>
                  <a:rPr lang="en-US" altLang="ja-JP"/>
                  <a:t>N  (kN)</a:t>
                </a:r>
              </a:p>
            </c:rich>
          </c:tx>
          <c:layout>
            <c:manualLayout>
              <c:xMode val="edge"/>
              <c:yMode val="edge"/>
              <c:x val="0.49676460345369455"/>
              <c:y val="0.917243551452620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  <a:cs typeface="ＭＳ Ｐ明朝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25" b="0" i="0" u="none" strike="noStrike" baseline="0">
                    <a:solidFill>
                      <a:srgbClr val="000000"/>
                    </a:solidFill>
                    <a:latin typeface="ＭＳ Ｐ明朝"/>
                    <a:ea typeface="ＭＳ Ｐ明朝"/>
                    <a:cs typeface="ＭＳ Ｐ明朝"/>
                  </a:defRPr>
                </a:pPr>
                <a:r>
                  <a:rPr lang="en-US" altLang="ja-JP"/>
                  <a:t>M
(kNm)
</a:t>
                </a:r>
              </a:p>
            </c:rich>
          </c:tx>
          <c:layout>
            <c:manualLayout>
              <c:xMode val="edge"/>
              <c:yMode val="edge"/>
              <c:x val="2.5889967637540454E-2"/>
              <c:y val="0.4344837240172564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  <a:cs typeface="ＭＳ Ｐ明朝"/>
              </a:defRPr>
            </a:pPr>
            <a:endParaRPr lang="ja-JP"/>
          </a:p>
        </c:txPr>
        <c:crossAx val="780382559"/>
        <c:crosses val="autoZero"/>
        <c:crossBetween val="midCat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ＭＳ Ｐ明朝"/>
          <a:ea typeface="ＭＳ Ｐ明朝"/>
          <a:cs typeface="ＭＳ Ｐ明朝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verticalDpi="120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83820</xdr:colOff>
      <xdr:row>7</xdr:row>
      <xdr:rowOff>19050</xdr:rowOff>
    </xdr:from>
    <xdr:ext cx="2875395" cy="4495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633C7227-A085-4D74-AE4D-FF328022A89E}"/>
                </a:ext>
              </a:extLst>
            </xdr:cNvPr>
            <xdr:cNvSpPr txBox="1"/>
          </xdr:nvSpPr>
          <xdr:spPr>
            <a:xfrm>
              <a:off x="838200" y="1104900"/>
              <a:ext cx="2800350" cy="4381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=0.02</m:t>
                    </m:r>
                    <m:d>
                      <m:d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λ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−0.7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λ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−0.6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𝑤𝑝</m:t>
                            </m:r>
                          </m:num>
                          <m:den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10</m:t>
                            </m:r>
                          </m:den>
                        </m:f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𝐿𝑥</m:t>
                            </m:r>
                          </m:num>
                          <m:den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10 000</m:t>
                            </m:r>
                          </m:den>
                        </m:f>
                      </m:e>
                    </m:d>
                    <m:r>
                      <m:rPr>
                        <m:sty m:val="p"/>
                      </m:rPr>
                      <a:rPr kumimoji="1" lang="en-US" altLang="ja-JP" sz="1100" b="0" i="0">
                        <a:latin typeface="Cambria Math" panose="02040503050406030204" pitchFamily="18" charset="0"/>
                      </a:rPr>
                      <m:t>Lx</m:t>
                    </m:r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633C7227-A085-4D74-AE4D-FF328022A89E}"/>
                </a:ext>
              </a:extLst>
            </xdr:cNvPr>
            <xdr:cNvSpPr txBox="1"/>
          </xdr:nvSpPr>
          <xdr:spPr>
            <a:xfrm>
              <a:off x="838200" y="1104900"/>
              <a:ext cx="2800350" cy="4381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𝑡=0.02((λ−0.7)/(λ−0.6))(1+𝑤𝑝/10+𝐿𝑥/(10 000))Lx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19</xdr:row>
      <xdr:rowOff>38101</xdr:rowOff>
    </xdr:from>
    <xdr:ext cx="1881298" cy="4495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テキスト ボックス 2">
              <a:extLst>
                <a:ext uri="{FF2B5EF4-FFF2-40B4-BE49-F238E27FC236}">
                  <a16:creationId xmlns:a16="http://schemas.microsoft.com/office/drawing/2014/main" id="{FDAD717C-BF41-425D-861B-2365644D34A5}"/>
                </a:ext>
              </a:extLst>
            </xdr:cNvPr>
            <xdr:cNvSpPr txBox="1"/>
          </xdr:nvSpPr>
          <xdr:spPr>
            <a:xfrm>
              <a:off x="1276350" y="2981326"/>
              <a:ext cx="2108622" cy="4381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𝑤𝑥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𝐿𝑦</m:t>
                            </m:r>
                          </m:e>
                          <m:sup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𝐿𝑥</m:t>
                            </m:r>
                          </m:e>
                          <m:sup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𝐿𝑦</m:t>
                            </m:r>
                          </m:e>
                          <m:sup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</m:den>
                    </m:f>
                    <m:r>
                      <a:rPr kumimoji="1" lang="en-US" altLang="ja-JP" sz="1100" b="0" i="0">
                        <a:latin typeface="Cambria Math" panose="02040503050406030204" pitchFamily="18" charset="0"/>
                      </a:rPr>
                      <m:t>  </m:t>
                    </m:r>
                    <m:r>
                      <m:rPr>
                        <m:sty m:val="p"/>
                      </m:rPr>
                      <a:rPr kumimoji="1" lang="en-US" altLang="ja-JP" sz="1100" b="0" i="0">
                        <a:latin typeface="Cambria Math" panose="02040503050406030204" pitchFamily="18" charset="0"/>
                      </a:rPr>
                      <m:t>w</m:t>
                    </m:r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3" name="テキスト ボックス 2">
              <a:extLst>
                <a:ext uri="{FF2B5EF4-FFF2-40B4-BE49-F238E27FC236}">
                  <a16:creationId xmlns:a16="http://schemas.microsoft.com/office/drawing/2014/main" id="{FDAD717C-BF41-425D-861B-2365644D34A5}"/>
                </a:ext>
              </a:extLst>
            </xdr:cNvPr>
            <xdr:cNvSpPr txBox="1"/>
          </xdr:nvSpPr>
          <xdr:spPr>
            <a:xfrm>
              <a:off x="1276350" y="2981326"/>
              <a:ext cx="2108622" cy="4381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𝑤𝑥=〖𝐿𝑦〗^4/(〖𝐿𝑥〗^4+〖𝐿𝑦〗^4 )   w</a:t>
              </a:r>
              <a:endParaRPr kumimoji="1" lang="ja-JP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198120</xdr:colOff>
      <xdr:row>22</xdr:row>
      <xdr:rowOff>49530</xdr:rowOff>
    </xdr:from>
    <xdr:to>
      <xdr:col>11</xdr:col>
      <xdr:colOff>175260</xdr:colOff>
      <xdr:row>61</xdr:row>
      <xdr:rowOff>41910</xdr:rowOff>
    </xdr:to>
    <xdr:pic>
      <xdr:nvPicPr>
        <xdr:cNvPr id="13400" name="Picture 1" descr="img-520103255-0001">
          <a:extLst>
            <a:ext uri="{FF2B5EF4-FFF2-40B4-BE49-F238E27FC236}">
              <a16:creationId xmlns:a16="http://schemas.microsoft.com/office/drawing/2014/main" id="{C9B0E630-5FF8-4893-84AF-BB7568E3B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373380" y="3097530"/>
          <a:ext cx="5349240" cy="5444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198120</xdr:colOff>
      <xdr:row>22</xdr:row>
      <xdr:rowOff>49530</xdr:rowOff>
    </xdr:from>
    <xdr:to>
      <xdr:col>11</xdr:col>
      <xdr:colOff>175260</xdr:colOff>
      <xdr:row>61</xdr:row>
      <xdr:rowOff>41910</xdr:rowOff>
    </xdr:to>
    <xdr:pic>
      <xdr:nvPicPr>
        <xdr:cNvPr id="11355" name="Picture 3" descr="img-520103255-0001">
          <a:extLst>
            <a:ext uri="{FF2B5EF4-FFF2-40B4-BE49-F238E27FC236}">
              <a16:creationId xmlns:a16="http://schemas.microsoft.com/office/drawing/2014/main" id="{CD937D47-5E97-4290-A484-D998351E7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373380" y="3097530"/>
          <a:ext cx="5349240" cy="5444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</xdr:colOff>
      <xdr:row>87</xdr:row>
      <xdr:rowOff>0</xdr:rowOff>
    </xdr:from>
    <xdr:to>
      <xdr:col>8</xdr:col>
      <xdr:colOff>121920</xdr:colOff>
      <xdr:row>96</xdr:row>
      <xdr:rowOff>22860</xdr:rowOff>
    </xdr:to>
    <xdr:pic>
      <xdr:nvPicPr>
        <xdr:cNvPr id="12376" name="Picture 1" descr="RcGMa2のコピー">
          <a:extLst>
            <a:ext uri="{FF2B5EF4-FFF2-40B4-BE49-F238E27FC236}">
              <a16:creationId xmlns:a16="http://schemas.microsoft.com/office/drawing/2014/main" id="{FE5B3856-A587-44B4-839A-E474528FF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11974830"/>
          <a:ext cx="3230880" cy="1223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</xdr:colOff>
      <xdr:row>42</xdr:row>
      <xdr:rowOff>0</xdr:rowOff>
    </xdr:from>
    <xdr:to>
      <xdr:col>8</xdr:col>
      <xdr:colOff>121920</xdr:colOff>
      <xdr:row>51</xdr:row>
      <xdr:rowOff>22860</xdr:rowOff>
    </xdr:to>
    <xdr:pic>
      <xdr:nvPicPr>
        <xdr:cNvPr id="5208" name="Picture 1" descr="RcGMa2のコピー">
          <a:extLst>
            <a:ext uri="{FF2B5EF4-FFF2-40B4-BE49-F238E27FC236}">
              <a16:creationId xmlns:a16="http://schemas.microsoft.com/office/drawing/2014/main" id="{41C98A0D-1247-4625-A62A-18F3D68BA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5821680"/>
          <a:ext cx="3230880" cy="1223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</xdr:colOff>
      <xdr:row>34</xdr:row>
      <xdr:rowOff>30480</xdr:rowOff>
    </xdr:from>
    <xdr:to>
      <xdr:col>14</xdr:col>
      <xdr:colOff>53340</xdr:colOff>
      <xdr:row>61</xdr:row>
      <xdr:rowOff>41910</xdr:rowOff>
    </xdr:to>
    <xdr:graphicFrame macro="">
      <xdr:nvGraphicFramePr>
        <xdr:cNvPr id="10415" name="グラフ 1">
          <a:extLst>
            <a:ext uri="{FF2B5EF4-FFF2-40B4-BE49-F238E27FC236}">
              <a16:creationId xmlns:a16="http://schemas.microsoft.com/office/drawing/2014/main" id="{C3B6DFCB-30D4-4987-8412-213C3AFA5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114300</xdr:colOff>
      <xdr:row>17</xdr:row>
      <xdr:rowOff>19050</xdr:rowOff>
    </xdr:from>
    <xdr:to>
      <xdr:col>12</xdr:col>
      <xdr:colOff>156210</xdr:colOff>
      <xdr:row>34</xdr:row>
      <xdr:rowOff>26670</xdr:rowOff>
    </xdr:to>
    <xdr:pic>
      <xdr:nvPicPr>
        <xdr:cNvPr id="10416" name="Picture 2" descr="2RcCMaC xfunxのコピー">
          <a:extLst>
            <a:ext uri="{FF2B5EF4-FFF2-40B4-BE49-F238E27FC236}">
              <a16:creationId xmlns:a16="http://schemas.microsoft.com/office/drawing/2014/main" id="{1525573C-7528-4F9D-979B-39E99145AF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" y="2625090"/>
          <a:ext cx="4385310" cy="2533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40</xdr:row>
      <xdr:rowOff>22860</xdr:rowOff>
    </xdr:from>
    <xdr:to>
      <xdr:col>12</xdr:col>
      <xdr:colOff>38100</xdr:colOff>
      <xdr:row>49</xdr:row>
      <xdr:rowOff>11430</xdr:rowOff>
    </xdr:to>
    <xdr:pic>
      <xdr:nvPicPr>
        <xdr:cNvPr id="4185" name="Picture 2" descr="RcGMa2のコピー">
          <a:extLst>
            <a:ext uri="{FF2B5EF4-FFF2-40B4-BE49-F238E27FC236}">
              <a16:creationId xmlns:a16="http://schemas.microsoft.com/office/drawing/2014/main" id="{88926D6E-7600-404A-A736-188CACB35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630" y="6061710"/>
          <a:ext cx="350901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41</xdr:row>
      <xdr:rowOff>26670</xdr:rowOff>
    </xdr:from>
    <xdr:to>
      <xdr:col>14</xdr:col>
      <xdr:colOff>87630</xdr:colOff>
      <xdr:row>61</xdr:row>
      <xdr:rowOff>45720</xdr:rowOff>
    </xdr:to>
    <xdr:pic>
      <xdr:nvPicPr>
        <xdr:cNvPr id="7256" name="Picture 1" descr="2RcCMaC xfunxのコピー">
          <a:extLst>
            <a:ext uri="{FF2B5EF4-FFF2-40B4-BE49-F238E27FC236}">
              <a16:creationId xmlns:a16="http://schemas.microsoft.com/office/drawing/2014/main" id="{8557F06F-E9C5-4A7A-94A7-D69BE7ED2B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6198870"/>
          <a:ext cx="531495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41</xdr:row>
      <xdr:rowOff>26670</xdr:rowOff>
    </xdr:from>
    <xdr:to>
      <xdr:col>14</xdr:col>
      <xdr:colOff>87630</xdr:colOff>
      <xdr:row>61</xdr:row>
      <xdr:rowOff>45720</xdr:rowOff>
    </xdr:to>
    <xdr:pic>
      <xdr:nvPicPr>
        <xdr:cNvPr id="3161" name="Picture 1" descr="2RcCMaC xfunxのコピー">
          <a:extLst>
            <a:ext uri="{FF2B5EF4-FFF2-40B4-BE49-F238E27FC236}">
              <a16:creationId xmlns:a16="http://schemas.microsoft.com/office/drawing/2014/main" id="{B97E3305-2CCE-46E1-9238-1261388E1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6198870"/>
          <a:ext cx="531495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41</xdr:row>
      <xdr:rowOff>26670</xdr:rowOff>
    </xdr:from>
    <xdr:to>
      <xdr:col>14</xdr:col>
      <xdr:colOff>87630</xdr:colOff>
      <xdr:row>61</xdr:row>
      <xdr:rowOff>45720</xdr:rowOff>
    </xdr:to>
    <xdr:pic>
      <xdr:nvPicPr>
        <xdr:cNvPr id="6232" name="Picture 1" descr="2RcCMaC xfunxのコピー">
          <a:extLst>
            <a:ext uri="{FF2B5EF4-FFF2-40B4-BE49-F238E27FC236}">
              <a16:creationId xmlns:a16="http://schemas.microsoft.com/office/drawing/2014/main" id="{B6A9DE42-ADCD-46F1-BF80-D1AE3F6E6C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6198870"/>
          <a:ext cx="531495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41</xdr:row>
      <xdr:rowOff>26670</xdr:rowOff>
    </xdr:from>
    <xdr:to>
      <xdr:col>14</xdr:col>
      <xdr:colOff>87630</xdr:colOff>
      <xdr:row>61</xdr:row>
      <xdr:rowOff>45720</xdr:rowOff>
    </xdr:to>
    <xdr:pic>
      <xdr:nvPicPr>
        <xdr:cNvPr id="2136" name="Picture 1" descr="2RcCMaC xfunxのコピー">
          <a:extLst>
            <a:ext uri="{FF2B5EF4-FFF2-40B4-BE49-F238E27FC236}">
              <a16:creationId xmlns:a16="http://schemas.microsoft.com/office/drawing/2014/main" id="{425211A5-8989-4256-9937-9550D3C22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6198870"/>
          <a:ext cx="531495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</xdr:colOff>
      <xdr:row>39</xdr:row>
      <xdr:rowOff>19050</xdr:rowOff>
    </xdr:from>
    <xdr:to>
      <xdr:col>14</xdr:col>
      <xdr:colOff>15240</xdr:colOff>
      <xdr:row>59</xdr:row>
      <xdr:rowOff>38100</xdr:rowOff>
    </xdr:to>
    <xdr:pic>
      <xdr:nvPicPr>
        <xdr:cNvPr id="1115" name="Picture 4" descr="2RcCMaC xfunxのコピー">
          <a:extLst>
            <a:ext uri="{FF2B5EF4-FFF2-40B4-BE49-F238E27FC236}">
              <a16:creationId xmlns:a16="http://schemas.microsoft.com/office/drawing/2014/main" id="{D027C86E-90F5-4FD0-BEE6-227AC1A75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" y="5894070"/>
          <a:ext cx="531114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25134/AppData/Roaming/Microsoft/AddIns/xans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25134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nswer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  <definedName name="RcCMa"/>
      <definedName name="RcCMaC"/>
      <definedName name="RcGMa"/>
      <definedName name="RcPt"/>
      <definedName name="Slab3F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44"/>
  <sheetViews>
    <sheetView tabSelected="1" workbookViewId="0">
      <selection activeCell="E9" sqref="E9"/>
    </sheetView>
  </sheetViews>
  <sheetFormatPr defaultRowHeight="14.4" x14ac:dyDescent="0.15"/>
  <cols>
    <col min="1" max="2" width="4.6640625" style="221" customWidth="1"/>
    <col min="3" max="15" width="8.6640625" style="221" customWidth="1"/>
    <col min="16" max="16384" width="8.88671875" style="221"/>
  </cols>
  <sheetData>
    <row r="2" spans="3:12" x14ac:dyDescent="0.15">
      <c r="C2" s="221" t="s">
        <v>577</v>
      </c>
    </row>
    <row r="4" spans="3:12" x14ac:dyDescent="0.15">
      <c r="C4" s="221" t="s">
        <v>578</v>
      </c>
    </row>
    <row r="5" spans="3:12" x14ac:dyDescent="0.15">
      <c r="D5" s="221" t="s">
        <v>582</v>
      </c>
    </row>
    <row r="6" spans="3:12" x14ac:dyDescent="0.25">
      <c r="C6" s="222"/>
      <c r="E6" s="223"/>
      <c r="F6" s="223"/>
      <c r="G6" s="223"/>
      <c r="H6" s="223"/>
      <c r="I6" s="224"/>
      <c r="J6" s="223"/>
      <c r="K6" s="223"/>
      <c r="L6" s="223"/>
    </row>
    <row r="7" spans="3:12" x14ac:dyDescent="0.25">
      <c r="C7" s="222"/>
      <c r="E7" s="225" t="s">
        <v>580</v>
      </c>
      <c r="F7" s="225" t="s">
        <v>581</v>
      </c>
      <c r="G7" s="225"/>
      <c r="H7" s="225"/>
      <c r="I7" s="226">
        <f>24000*0.2</f>
        <v>4800</v>
      </c>
      <c r="J7" s="225"/>
      <c r="K7" s="225"/>
      <c r="L7" s="225"/>
    </row>
    <row r="8" spans="3:12" ht="15.6" x14ac:dyDescent="0.25">
      <c r="C8" s="227"/>
      <c r="E8" s="222"/>
      <c r="F8" s="222"/>
      <c r="G8" s="222"/>
      <c r="H8" s="228" t="s">
        <v>579</v>
      </c>
      <c r="I8" s="229">
        <f>SUM(I6:I7)</f>
        <v>4800</v>
      </c>
      <c r="J8" s="222" t="s">
        <v>629</v>
      </c>
      <c r="K8" s="230">
        <f>I8/1000</f>
        <v>4.8</v>
      </c>
      <c r="L8" s="222" t="s">
        <v>630</v>
      </c>
    </row>
    <row r="10" spans="3:12" x14ac:dyDescent="0.15">
      <c r="D10" s="221" t="s">
        <v>583</v>
      </c>
    </row>
    <row r="11" spans="3:12" x14ac:dyDescent="0.15">
      <c r="E11" s="231" t="s">
        <v>584</v>
      </c>
      <c r="F11" s="232">
        <v>1000</v>
      </c>
      <c r="G11" s="231" t="s">
        <v>587</v>
      </c>
      <c r="H11" s="232">
        <v>0.8</v>
      </c>
      <c r="I11" s="231" t="s">
        <v>585</v>
      </c>
      <c r="J11" s="232">
        <v>0.4</v>
      </c>
      <c r="K11" s="231" t="s">
        <v>586</v>
      </c>
      <c r="L11" s="232">
        <v>-0.4</v>
      </c>
    </row>
    <row r="12" spans="3:12" x14ac:dyDescent="0.15">
      <c r="E12" s="231" t="s">
        <v>588</v>
      </c>
      <c r="F12" s="232">
        <v>1.2</v>
      </c>
    </row>
    <row r="13" spans="3:12" x14ac:dyDescent="0.15">
      <c r="E13" s="231" t="s">
        <v>589</v>
      </c>
      <c r="F13" s="232">
        <v>1200</v>
      </c>
      <c r="G13" s="221" t="s">
        <v>591</v>
      </c>
    </row>
    <row r="15" spans="3:12" x14ac:dyDescent="0.15">
      <c r="E15" s="231" t="s">
        <v>590</v>
      </c>
      <c r="F15" s="221" t="s">
        <v>631</v>
      </c>
      <c r="H15" s="233">
        <f>[1]!answer(F15)</f>
        <v>1.92</v>
      </c>
    </row>
    <row r="16" spans="3:12" x14ac:dyDescent="0.15">
      <c r="H16" s="233"/>
    </row>
    <row r="17" spans="2:12" x14ac:dyDescent="0.15">
      <c r="D17" s="221" t="s">
        <v>592</v>
      </c>
      <c r="H17" s="233"/>
    </row>
    <row r="18" spans="2:12" x14ac:dyDescent="0.15">
      <c r="E18" s="231" t="s">
        <v>543</v>
      </c>
      <c r="F18" s="221" t="s">
        <v>632</v>
      </c>
      <c r="H18" s="233">
        <f>[1]!answer(F18)</f>
        <v>7.68</v>
      </c>
    </row>
    <row r="19" spans="2:12" x14ac:dyDescent="0.15">
      <c r="E19" s="231" t="s">
        <v>593</v>
      </c>
      <c r="F19" s="221" t="s">
        <v>633</v>
      </c>
      <c r="H19" s="233">
        <f>[1]!answer(F19)</f>
        <v>3.85</v>
      </c>
    </row>
    <row r="21" spans="2:12" x14ac:dyDescent="0.15">
      <c r="E21" s="221" t="s">
        <v>594</v>
      </c>
    </row>
    <row r="23" spans="2:12" x14ac:dyDescent="0.15">
      <c r="C23" s="234" t="s">
        <v>595</v>
      </c>
    </row>
    <row r="25" spans="2:12" x14ac:dyDescent="0.15">
      <c r="E25" s="231" t="s">
        <v>593</v>
      </c>
      <c r="F25" s="235">
        <f>+H18</f>
        <v>7.68</v>
      </c>
      <c r="G25" s="232" t="s">
        <v>596</v>
      </c>
    </row>
    <row r="26" spans="2:12" x14ac:dyDescent="0.15">
      <c r="E26" s="231" t="s">
        <v>575</v>
      </c>
      <c r="F26" s="236">
        <v>1600</v>
      </c>
      <c r="G26" s="221" t="s">
        <v>576</v>
      </c>
      <c r="I26" s="231"/>
      <c r="J26" s="237"/>
      <c r="K26" s="231"/>
      <c r="L26" s="232"/>
    </row>
    <row r="27" spans="2:12" x14ac:dyDescent="0.15">
      <c r="E27" s="231" t="s">
        <v>597</v>
      </c>
      <c r="F27" s="221" t="s">
        <v>634</v>
      </c>
      <c r="H27" s="235">
        <f>[1]!answer(F27)</f>
        <v>6.16</v>
      </c>
    </row>
    <row r="29" spans="2:12" x14ac:dyDescent="0.15">
      <c r="B29" s="231"/>
      <c r="C29" s="221" t="s">
        <v>607</v>
      </c>
    </row>
    <row r="30" spans="2:12" x14ac:dyDescent="0.15">
      <c r="B30" s="238"/>
    </row>
    <row r="31" spans="2:12" x14ac:dyDescent="0.15">
      <c r="C31" s="231" t="s">
        <v>563</v>
      </c>
      <c r="D31" s="221" t="str">
        <f>VLOOKUP(K33,barφ!B16:D22,2)</f>
        <v>D13</v>
      </c>
      <c r="F31" s="231" t="s">
        <v>599</v>
      </c>
      <c r="G31" s="232">
        <f>VLOOKUP(K33,barφ!B16:E22,4)</f>
        <v>127</v>
      </c>
      <c r="H31" s="231" t="s">
        <v>600</v>
      </c>
      <c r="I31" s="239">
        <f>VLOOKUP(K33,barφ!B16:E22,3)</f>
        <v>14</v>
      </c>
    </row>
    <row r="32" spans="2:12" x14ac:dyDescent="0.15">
      <c r="C32" s="231" t="s">
        <v>553</v>
      </c>
      <c r="D32" s="236">
        <v>295</v>
      </c>
      <c r="E32" s="221" t="s">
        <v>554</v>
      </c>
      <c r="F32" s="240">
        <v>295</v>
      </c>
      <c r="G32" s="231" t="s">
        <v>542</v>
      </c>
      <c r="H32" s="237">
        <v>200</v>
      </c>
      <c r="I32" s="231" t="s">
        <v>598</v>
      </c>
      <c r="J32" s="237">
        <v>50</v>
      </c>
      <c r="L32" s="237"/>
    </row>
    <row r="33" spans="2:11" x14ac:dyDescent="0.15">
      <c r="D33" s="236"/>
      <c r="K33" s="221">
        <v>1313</v>
      </c>
    </row>
    <row r="34" spans="2:11" x14ac:dyDescent="0.15">
      <c r="C34" s="241"/>
      <c r="D34" s="231" t="s">
        <v>558</v>
      </c>
      <c r="E34" s="221" t="str">
        <f>CONCATENATE(H32,"-",J32,"-",I31,"/2=")</f>
        <v>200-50-14/2=</v>
      </c>
      <c r="G34" s="232">
        <f>[1]!answer(E34)</f>
        <v>143</v>
      </c>
      <c r="H34" s="231" t="s">
        <v>564</v>
      </c>
      <c r="I34" s="242">
        <f>ROUND(G34*7/8,0)</f>
        <v>125</v>
      </c>
    </row>
    <row r="35" spans="2:11" x14ac:dyDescent="0.15">
      <c r="D35" s="231" t="s">
        <v>601</v>
      </c>
      <c r="E35" s="221" t="str">
        <f>CONCATENATE(H27,"*1000*1000/(",D32,"*",I34,")=")</f>
        <v>6.16*1000*1000/(295*125)=</v>
      </c>
      <c r="I35" s="233">
        <f>[1]!answer(E35)</f>
        <v>167.05084745762713</v>
      </c>
    </row>
    <row r="36" spans="2:11" x14ac:dyDescent="0.15">
      <c r="D36" s="231" t="s">
        <v>603</v>
      </c>
      <c r="E36" s="235">
        <f>+I35/G31</f>
        <v>1.3153610036033632</v>
      </c>
      <c r="J36" s="233"/>
    </row>
    <row r="37" spans="2:11" x14ac:dyDescent="0.15">
      <c r="D37" s="238" t="s">
        <v>602</v>
      </c>
      <c r="E37" s="243" t="s">
        <v>635</v>
      </c>
      <c r="F37" s="236">
        <f>ROUND([1]!answer(E37),0)</f>
        <v>769</v>
      </c>
    </row>
    <row r="38" spans="2:11" x14ac:dyDescent="0.15">
      <c r="B38" s="238"/>
      <c r="C38" s="221" t="s">
        <v>568</v>
      </c>
    </row>
    <row r="40" spans="2:11" x14ac:dyDescent="0.15">
      <c r="C40" s="248"/>
      <c r="D40" s="248" t="s">
        <v>573</v>
      </c>
      <c r="E40" s="244" t="s">
        <v>605</v>
      </c>
      <c r="F40" s="245"/>
      <c r="G40" s="244" t="s">
        <v>606</v>
      </c>
      <c r="H40" s="245"/>
      <c r="I40" s="237"/>
      <c r="K40" s="237"/>
    </row>
    <row r="41" spans="2:11" x14ac:dyDescent="0.15">
      <c r="C41" s="248"/>
      <c r="D41" s="248"/>
      <c r="E41" s="246"/>
      <c r="F41" s="247"/>
      <c r="G41" s="246"/>
      <c r="H41" s="247"/>
    </row>
    <row r="42" spans="2:11" x14ac:dyDescent="0.15">
      <c r="C42" s="248" t="s">
        <v>623</v>
      </c>
      <c r="D42" s="249">
        <f>+H32</f>
        <v>200</v>
      </c>
      <c r="E42" s="244" t="str">
        <f>CONCATENATE(D31,"@",MIN(K35,F37))</f>
        <v>D13@769</v>
      </c>
      <c r="F42" s="245"/>
      <c r="G42" s="250" t="s">
        <v>604</v>
      </c>
      <c r="H42" s="251"/>
    </row>
    <row r="43" spans="2:11" x14ac:dyDescent="0.15">
      <c r="C43" s="248"/>
      <c r="D43" s="249"/>
      <c r="E43" s="246"/>
      <c r="F43" s="247"/>
      <c r="G43" s="252"/>
      <c r="H43" s="253"/>
    </row>
    <row r="44" spans="2:11" x14ac:dyDescent="0.15">
      <c r="D44" s="231"/>
    </row>
  </sheetData>
  <mergeCells count="8">
    <mergeCell ref="E40:F41"/>
    <mergeCell ref="G40:H41"/>
    <mergeCell ref="C40:C41"/>
    <mergeCell ref="D40:D41"/>
    <mergeCell ref="C42:C43"/>
    <mergeCell ref="D42:D43"/>
    <mergeCell ref="E42:F43"/>
    <mergeCell ref="G42:H43"/>
  </mergeCells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M56"/>
  <sheetViews>
    <sheetView workbookViewId="0">
      <selection activeCell="I5" sqref="I5"/>
    </sheetView>
  </sheetViews>
  <sheetFormatPr defaultRowHeight="14.4" x14ac:dyDescent="0.15"/>
  <cols>
    <col min="1" max="2" width="4.6640625" style="221" customWidth="1"/>
    <col min="3" max="15" width="8.6640625" style="221" customWidth="1"/>
    <col min="16" max="16384" width="8.88671875" style="221"/>
  </cols>
  <sheetData>
    <row r="2" spans="3:13" x14ac:dyDescent="0.15">
      <c r="C2" s="221" t="s">
        <v>577</v>
      </c>
    </row>
    <row r="4" spans="3:13" x14ac:dyDescent="0.15">
      <c r="C4" s="221" t="s">
        <v>578</v>
      </c>
    </row>
    <row r="5" spans="3:13" x14ac:dyDescent="0.15">
      <c r="D5" s="221" t="s">
        <v>582</v>
      </c>
      <c r="F5" s="236" t="s">
        <v>640</v>
      </c>
      <c r="G5" s="236" t="s">
        <v>28</v>
      </c>
      <c r="H5" s="236" t="s">
        <v>641</v>
      </c>
      <c r="I5" s="236" t="s">
        <v>642</v>
      </c>
    </row>
    <row r="6" spans="3:13" x14ac:dyDescent="0.25">
      <c r="C6" s="222"/>
      <c r="E6" s="225" t="s">
        <v>580</v>
      </c>
      <c r="F6" s="236">
        <v>24000</v>
      </c>
      <c r="G6" s="221">
        <v>200</v>
      </c>
      <c r="H6" s="221">
        <f>1600+500-250</f>
        <v>1850</v>
      </c>
      <c r="I6" s="226">
        <f>F6*G6/1000*H6/1000</f>
        <v>8880</v>
      </c>
      <c r="K6" s="223"/>
      <c r="L6" s="223"/>
      <c r="M6" s="223"/>
    </row>
    <row r="7" spans="3:13" x14ac:dyDescent="0.25">
      <c r="C7" s="222"/>
      <c r="E7" s="223" t="s">
        <v>636</v>
      </c>
      <c r="F7" s="223">
        <v>24000</v>
      </c>
      <c r="G7" s="223">
        <v>250</v>
      </c>
      <c r="H7" s="221">
        <v>1200</v>
      </c>
      <c r="I7" s="226">
        <f>F7*G7/1000*H7/1000</f>
        <v>7200</v>
      </c>
      <c r="K7" s="223"/>
      <c r="L7" s="223"/>
      <c r="M7" s="223"/>
    </row>
    <row r="8" spans="3:13" x14ac:dyDescent="0.25">
      <c r="C8" s="222"/>
      <c r="E8" s="221" t="s">
        <v>637</v>
      </c>
      <c r="F8" s="221">
        <v>18000</v>
      </c>
      <c r="G8" s="225">
        <v>420</v>
      </c>
      <c r="H8" s="221">
        <f>1200-200</f>
        <v>1000</v>
      </c>
      <c r="I8" s="226">
        <f>F8*G8/1000*H8/1000</f>
        <v>7560</v>
      </c>
      <c r="K8" s="225"/>
      <c r="L8" s="225"/>
      <c r="M8" s="225"/>
    </row>
    <row r="9" spans="3:13" ht="15.6" x14ac:dyDescent="0.25">
      <c r="C9" s="227"/>
      <c r="E9" s="222"/>
      <c r="F9" s="222"/>
      <c r="G9" s="228" t="s">
        <v>579</v>
      </c>
      <c r="I9" s="229">
        <f>SUM(I6:I8)</f>
        <v>23640</v>
      </c>
      <c r="K9" s="222" t="s">
        <v>629</v>
      </c>
      <c r="L9" s="230">
        <f>I9/1000</f>
        <v>23.64</v>
      </c>
      <c r="M9" s="222" t="s">
        <v>630</v>
      </c>
    </row>
    <row r="11" spans="3:13" x14ac:dyDescent="0.15">
      <c r="D11" s="221" t="s">
        <v>583</v>
      </c>
    </row>
    <row r="12" spans="3:13" x14ac:dyDescent="0.15">
      <c r="E12" s="231" t="s">
        <v>584</v>
      </c>
      <c r="F12" s="232">
        <v>1000</v>
      </c>
      <c r="G12" s="231" t="s">
        <v>587</v>
      </c>
      <c r="H12" s="232">
        <v>0.8</v>
      </c>
      <c r="I12" s="231" t="s">
        <v>585</v>
      </c>
      <c r="J12" s="232">
        <v>0.4</v>
      </c>
      <c r="K12" s="231" t="s">
        <v>586</v>
      </c>
      <c r="L12" s="232">
        <v>-0.4</v>
      </c>
    </row>
    <row r="13" spans="3:13" x14ac:dyDescent="0.15">
      <c r="E13" s="231" t="s">
        <v>588</v>
      </c>
      <c r="F13" s="232">
        <v>1.2</v>
      </c>
    </row>
    <row r="14" spans="3:13" x14ac:dyDescent="0.15">
      <c r="E14" s="231" t="s">
        <v>543</v>
      </c>
      <c r="F14" s="232">
        <v>1200</v>
      </c>
      <c r="G14" s="221" t="s">
        <v>591</v>
      </c>
    </row>
    <row r="16" spans="3:13" x14ac:dyDescent="0.15">
      <c r="E16" s="231" t="s">
        <v>590</v>
      </c>
      <c r="F16" s="221" t="s">
        <v>631</v>
      </c>
      <c r="H16" s="233">
        <f>[1]!answer(F16)</f>
        <v>1.92</v>
      </c>
    </row>
    <row r="17" spans="3:12" x14ac:dyDescent="0.15">
      <c r="H17" s="233"/>
    </row>
    <row r="18" spans="3:12" x14ac:dyDescent="0.15">
      <c r="D18" s="221" t="s">
        <v>592</v>
      </c>
      <c r="H18" s="233"/>
    </row>
    <row r="19" spans="3:12" x14ac:dyDescent="0.15">
      <c r="E19" s="231" t="s">
        <v>543</v>
      </c>
      <c r="F19" s="221" t="s">
        <v>632</v>
      </c>
      <c r="H19" s="233">
        <f>[1]!answer(F19)</f>
        <v>7.68</v>
      </c>
    </row>
    <row r="20" spans="3:12" x14ac:dyDescent="0.15">
      <c r="E20" s="231" t="s">
        <v>593</v>
      </c>
      <c r="F20" s="221" t="s">
        <v>633</v>
      </c>
      <c r="H20" s="233">
        <f>[1]!answer(F20)</f>
        <v>3.85</v>
      </c>
    </row>
    <row r="22" spans="3:12" x14ac:dyDescent="0.15">
      <c r="E22" s="221" t="s">
        <v>594</v>
      </c>
    </row>
    <row r="24" spans="3:12" x14ac:dyDescent="0.15">
      <c r="C24" s="234" t="s">
        <v>595</v>
      </c>
    </row>
    <row r="26" spans="3:12" x14ac:dyDescent="0.15">
      <c r="E26" s="231" t="s">
        <v>593</v>
      </c>
      <c r="F26" s="235">
        <f>+H19</f>
        <v>7.68</v>
      </c>
      <c r="G26" s="232" t="s">
        <v>596</v>
      </c>
    </row>
    <row r="27" spans="3:12" x14ac:dyDescent="0.15">
      <c r="E27" s="231" t="s">
        <v>575</v>
      </c>
      <c r="F27" s="236">
        <v>1600</v>
      </c>
      <c r="G27" s="221" t="s">
        <v>576</v>
      </c>
      <c r="I27" s="231"/>
      <c r="J27" s="237"/>
      <c r="K27" s="231"/>
      <c r="L27" s="232"/>
    </row>
    <row r="28" spans="3:12" x14ac:dyDescent="0.15">
      <c r="E28" s="231" t="s">
        <v>597</v>
      </c>
      <c r="F28" s="221" t="s">
        <v>634</v>
      </c>
      <c r="H28" s="235">
        <f>[1]!answer(F28)</f>
        <v>6.16</v>
      </c>
    </row>
    <row r="31" spans="3:12" x14ac:dyDescent="0.15">
      <c r="F31" s="221" t="s">
        <v>639</v>
      </c>
      <c r="H31" s="221">
        <f>[1]!answer(F31)</f>
        <v>8.1839999999999993</v>
      </c>
      <c r="I31" s="221">
        <f>H28/H31</f>
        <v>0.75268817204301086</v>
      </c>
    </row>
    <row r="32" spans="3:12" x14ac:dyDescent="0.15">
      <c r="F32" s="221" t="s">
        <v>543</v>
      </c>
      <c r="G32" s="221">
        <v>1.2</v>
      </c>
    </row>
    <row r="33" spans="2:12" x14ac:dyDescent="0.15">
      <c r="E33" s="221">
        <v>8.8800000000000008</v>
      </c>
      <c r="F33" s="221">
        <v>0.1</v>
      </c>
      <c r="G33" s="221">
        <f>E33*F33</f>
        <v>0.88800000000000012</v>
      </c>
      <c r="I33" s="221">
        <v>8.8800000000000008</v>
      </c>
      <c r="J33" s="221">
        <v>1.1000000000000001</v>
      </c>
      <c r="K33" s="221">
        <f>I33*J33</f>
        <v>9.7680000000000025</v>
      </c>
    </row>
    <row r="34" spans="2:12" x14ac:dyDescent="0.15">
      <c r="E34" s="221">
        <v>7.2</v>
      </c>
      <c r="F34" s="221">
        <v>0.6</v>
      </c>
      <c r="G34" s="221">
        <f>E34*F34</f>
        <v>4.32</v>
      </c>
      <c r="I34" s="221">
        <v>7.2</v>
      </c>
      <c r="J34" s="221">
        <v>0.6</v>
      </c>
      <c r="K34" s="221">
        <f>I34*J34</f>
        <v>4.32</v>
      </c>
    </row>
    <row r="35" spans="2:12" x14ac:dyDescent="0.15">
      <c r="E35" s="221">
        <v>7.56</v>
      </c>
      <c r="F35" s="221">
        <v>0.7</v>
      </c>
      <c r="G35" s="221">
        <f>E35*F35</f>
        <v>5.2919999999999998</v>
      </c>
      <c r="I35" s="221">
        <v>7.56</v>
      </c>
      <c r="J35" s="221">
        <v>0.5</v>
      </c>
      <c r="K35" s="221">
        <f>I35*J35</f>
        <v>3.78</v>
      </c>
    </row>
    <row r="36" spans="2:12" x14ac:dyDescent="0.15">
      <c r="G36" s="221">
        <f>SUM(G33:G35)</f>
        <v>10.5</v>
      </c>
      <c r="I36" s="221">
        <f>SUM(I33:I35)</f>
        <v>23.64</v>
      </c>
      <c r="K36" s="221">
        <f>SUM(K33:K35)</f>
        <v>17.868000000000002</v>
      </c>
    </row>
    <row r="37" spans="2:12" x14ac:dyDescent="0.15">
      <c r="F37" s="231" t="s">
        <v>638</v>
      </c>
      <c r="G37" s="221">
        <f>G36/L9</f>
        <v>0.44416243654822335</v>
      </c>
      <c r="K37" s="221">
        <f>K36/L9</f>
        <v>0.75583756345177677</v>
      </c>
    </row>
    <row r="38" spans="2:12" x14ac:dyDescent="0.15">
      <c r="F38" s="231"/>
      <c r="G38" s="221">
        <f>G32/2-G37</f>
        <v>0.15583756345177663</v>
      </c>
    </row>
    <row r="39" spans="2:12" x14ac:dyDescent="0.15">
      <c r="F39" s="231"/>
      <c r="G39" s="221">
        <f>G32/G38</f>
        <v>7.7003257328990236</v>
      </c>
    </row>
    <row r="40" spans="2:12" x14ac:dyDescent="0.15">
      <c r="F40" s="231"/>
    </row>
    <row r="41" spans="2:12" x14ac:dyDescent="0.15">
      <c r="B41" s="231"/>
      <c r="C41" s="221" t="s">
        <v>607</v>
      </c>
    </row>
    <row r="42" spans="2:12" x14ac:dyDescent="0.15">
      <c r="B42" s="238"/>
    </row>
    <row r="43" spans="2:12" x14ac:dyDescent="0.15">
      <c r="C43" s="231" t="s">
        <v>563</v>
      </c>
      <c r="D43" s="221" t="str">
        <f>VLOOKUP(K45,barφ!B16:D22,2)</f>
        <v>D13</v>
      </c>
      <c r="F43" s="231" t="s">
        <v>599</v>
      </c>
      <c r="G43" s="232">
        <f>VLOOKUP(K45,barφ!B16:E22,4)</f>
        <v>127</v>
      </c>
      <c r="H43" s="231" t="s">
        <v>600</v>
      </c>
      <c r="I43" s="239">
        <f>VLOOKUP(K45,barφ!B16:E22,3)</f>
        <v>14</v>
      </c>
    </row>
    <row r="44" spans="2:12" x14ac:dyDescent="0.15">
      <c r="C44" s="231" t="s">
        <v>553</v>
      </c>
      <c r="D44" s="236">
        <v>295</v>
      </c>
      <c r="E44" s="221" t="s">
        <v>554</v>
      </c>
      <c r="F44" s="240">
        <v>295</v>
      </c>
      <c r="G44" s="231" t="s">
        <v>542</v>
      </c>
      <c r="H44" s="237">
        <v>200</v>
      </c>
      <c r="I44" s="231" t="s">
        <v>598</v>
      </c>
      <c r="J44" s="237">
        <v>50</v>
      </c>
      <c r="L44" s="237"/>
    </row>
    <row r="45" spans="2:12" x14ac:dyDescent="0.15">
      <c r="D45" s="236"/>
      <c r="K45" s="221">
        <v>1313</v>
      </c>
    </row>
    <row r="46" spans="2:12" x14ac:dyDescent="0.15">
      <c r="C46" s="241"/>
      <c r="D46" s="231" t="s">
        <v>558</v>
      </c>
      <c r="E46" s="221" t="str">
        <f>CONCATENATE(H44,"-",J44,"-",I43,"/2=")</f>
        <v>200-50-14/2=</v>
      </c>
      <c r="G46" s="232">
        <f>[1]!answer(E46)</f>
        <v>143</v>
      </c>
      <c r="H46" s="231" t="s">
        <v>564</v>
      </c>
      <c r="I46" s="242">
        <f>ROUND(G46*7/8,0)</f>
        <v>125</v>
      </c>
    </row>
    <row r="47" spans="2:12" x14ac:dyDescent="0.15">
      <c r="D47" s="231" t="s">
        <v>601</v>
      </c>
      <c r="E47" s="221" t="str">
        <f>CONCATENATE(H28,"*1000*1000/(",D44,"*",I46,")=")</f>
        <v>6.16*1000*1000/(295*125)=</v>
      </c>
      <c r="I47" s="233">
        <f>[1]!answer(E47)</f>
        <v>167.05084745762713</v>
      </c>
    </row>
    <row r="48" spans="2:12" x14ac:dyDescent="0.15">
      <c r="D48" s="231" t="s">
        <v>603</v>
      </c>
      <c r="E48" s="235">
        <f>+I47/G43</f>
        <v>1.3153610036033632</v>
      </c>
      <c r="J48" s="233"/>
    </row>
    <row r="49" spans="2:11" x14ac:dyDescent="0.15">
      <c r="D49" s="238" t="s">
        <v>602</v>
      </c>
      <c r="E49" s="243" t="s">
        <v>635</v>
      </c>
      <c r="F49" s="236">
        <f>ROUND([1]!answer(E49),0)</f>
        <v>769</v>
      </c>
    </row>
    <row r="50" spans="2:11" x14ac:dyDescent="0.15">
      <c r="B50" s="238"/>
      <c r="C50" s="221" t="s">
        <v>568</v>
      </c>
    </row>
    <row r="52" spans="2:11" x14ac:dyDescent="0.15">
      <c r="C52" s="248"/>
      <c r="D52" s="248" t="s">
        <v>573</v>
      </c>
      <c r="E52" s="244" t="s">
        <v>605</v>
      </c>
      <c r="F52" s="245"/>
      <c r="G52" s="244" t="s">
        <v>606</v>
      </c>
      <c r="H52" s="245"/>
      <c r="I52" s="237"/>
      <c r="K52" s="237"/>
    </row>
    <row r="53" spans="2:11" x14ac:dyDescent="0.15">
      <c r="C53" s="248"/>
      <c r="D53" s="248"/>
      <c r="E53" s="246"/>
      <c r="F53" s="247"/>
      <c r="G53" s="246"/>
      <c r="H53" s="247"/>
    </row>
    <row r="54" spans="2:11" x14ac:dyDescent="0.15">
      <c r="C54" s="248" t="s">
        <v>623</v>
      </c>
      <c r="D54" s="249">
        <f>+H44</f>
        <v>200</v>
      </c>
      <c r="E54" s="244" t="str">
        <f>CONCATENATE(D43,"@",MIN(K47,F49))</f>
        <v>D13@769</v>
      </c>
      <c r="F54" s="245"/>
      <c r="G54" s="250" t="s">
        <v>604</v>
      </c>
      <c r="H54" s="251"/>
    </row>
    <row r="55" spans="2:11" x14ac:dyDescent="0.15">
      <c r="C55" s="248"/>
      <c r="D55" s="249"/>
      <c r="E55" s="246"/>
      <c r="F55" s="247"/>
      <c r="G55" s="252"/>
      <c r="H55" s="253"/>
    </row>
    <row r="56" spans="2:11" x14ac:dyDescent="0.15">
      <c r="D56" s="231"/>
    </row>
  </sheetData>
  <mergeCells count="8">
    <mergeCell ref="C52:C53"/>
    <mergeCell ref="D52:D53"/>
    <mergeCell ref="E52:F53"/>
    <mergeCell ref="G52:H53"/>
    <mergeCell ref="C54:C55"/>
    <mergeCell ref="D54:D55"/>
    <mergeCell ref="E54:F55"/>
    <mergeCell ref="G54:H55"/>
  </mergeCells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Q52"/>
  <sheetViews>
    <sheetView topLeftCell="A22" workbookViewId="0">
      <selection activeCell="I15" sqref="I15"/>
    </sheetView>
  </sheetViews>
  <sheetFormatPr defaultRowHeight="12" x14ac:dyDescent="0.15"/>
  <cols>
    <col min="1" max="2" width="4.6640625" customWidth="1"/>
    <col min="3" max="14" width="8.6640625" customWidth="1"/>
  </cols>
  <sheetData>
    <row r="2" spans="3:11" x14ac:dyDescent="0.15">
      <c r="C2" t="s">
        <v>625</v>
      </c>
    </row>
    <row r="4" spans="3:11" x14ac:dyDescent="0.15">
      <c r="C4" s="21" t="s">
        <v>543</v>
      </c>
      <c r="D4">
        <v>8.18</v>
      </c>
      <c r="E4" t="s">
        <v>537</v>
      </c>
    </row>
    <row r="5" spans="3:11" x14ac:dyDescent="0.15">
      <c r="C5" s="21" t="s">
        <v>538</v>
      </c>
      <c r="D5" s="209">
        <v>3100</v>
      </c>
      <c r="E5" t="s">
        <v>540</v>
      </c>
      <c r="F5" s="21" t="s">
        <v>539</v>
      </c>
      <c r="G5" s="209">
        <v>6840</v>
      </c>
      <c r="H5" t="s">
        <v>540</v>
      </c>
      <c r="J5" s="21" t="s">
        <v>541</v>
      </c>
      <c r="K5" s="214">
        <f>ROUND(G5/D5,3)</f>
        <v>2.206</v>
      </c>
    </row>
    <row r="6" spans="3:11" x14ac:dyDescent="0.15">
      <c r="C6" s="21" t="s">
        <v>542</v>
      </c>
      <c r="D6" s="209">
        <v>250</v>
      </c>
      <c r="F6" s="21"/>
      <c r="I6" s="209"/>
    </row>
    <row r="9" spans="3:11" x14ac:dyDescent="0.15">
      <c r="C9" s="21"/>
    </row>
    <row r="10" spans="3:11" x14ac:dyDescent="0.15">
      <c r="D10" s="21"/>
      <c r="H10" s="216"/>
    </row>
    <row r="11" spans="3:11" x14ac:dyDescent="0.15">
      <c r="C11" t="s">
        <v>626</v>
      </c>
    </row>
    <row r="13" spans="3:11" x14ac:dyDescent="0.15">
      <c r="C13" t="s">
        <v>548</v>
      </c>
    </row>
    <row r="14" spans="3:11" x14ac:dyDescent="0.15">
      <c r="C14" t="s">
        <v>557</v>
      </c>
      <c r="D14" s="21" t="s">
        <v>608</v>
      </c>
      <c r="E14" s="219">
        <f>ROUND(ABS([2]!Slab3F(D5,G5,1,3,1))/(D5^2)*10000,3)</f>
        <v>0.23300000000000001</v>
      </c>
      <c r="F14" s="21" t="s">
        <v>546</v>
      </c>
      <c r="G14" t="str">
        <f>CONCATENATE(E14,"*",D4,"*",D5/1000,"^2=")</f>
        <v>0.233*8.18*3.1^2=</v>
      </c>
      <c r="I14" s="220">
        <f>[1]!answer(G14)</f>
        <v>18.316083400000004</v>
      </c>
    </row>
    <row r="15" spans="3:11" x14ac:dyDescent="0.15">
      <c r="C15" t="s">
        <v>565</v>
      </c>
      <c r="D15" s="21" t="s">
        <v>609</v>
      </c>
      <c r="E15" s="219">
        <f>ROUND(ABS([2]!Slab3F(D5,G5,1,3,2))/(D5^2)*10000,3)</f>
        <v>2.5999999999999999E-2</v>
      </c>
      <c r="F15" s="21" t="s">
        <v>547</v>
      </c>
      <c r="G15" t="str">
        <f>CONCATENATE(E15,"*",D4,"*",D5/1000,"^2=")</f>
        <v>0.026*8.18*3.1^2=</v>
      </c>
      <c r="I15" s="220">
        <f>[1]!answer(G15)</f>
        <v>2.0438548000000001</v>
      </c>
    </row>
    <row r="16" spans="3:11" x14ac:dyDescent="0.15">
      <c r="G16" s="215"/>
      <c r="I16" s="209"/>
    </row>
    <row r="17" spans="2:17" x14ac:dyDescent="0.15">
      <c r="C17" t="s">
        <v>549</v>
      </c>
      <c r="G17" s="215"/>
      <c r="I17" s="209"/>
    </row>
    <row r="18" spans="2:17" x14ac:dyDescent="0.15">
      <c r="C18" t="s">
        <v>545</v>
      </c>
    </row>
    <row r="19" spans="2:17" x14ac:dyDescent="0.15">
      <c r="C19" t="s">
        <v>612</v>
      </c>
      <c r="D19" s="21" t="s">
        <v>610</v>
      </c>
      <c r="E19" s="219">
        <f>ROUND(ABS([2]!Slab3F(D5,G5,1,3,11))/(D5^2)*10000,3)</f>
        <v>0.307</v>
      </c>
      <c r="F19" s="21" t="s">
        <v>546</v>
      </c>
      <c r="G19" s="256" t="str">
        <f>CONCATENATE(E19,"*",D4,"*",D5/1000,"^2=")</f>
        <v>0.307*8.18*3.1^2=</v>
      </c>
      <c r="H19" s="256"/>
      <c r="I19" s="220">
        <f>[1]!answer(G19)</f>
        <v>24.133208600000003</v>
      </c>
    </row>
    <row r="20" spans="2:17" x14ac:dyDescent="0.15">
      <c r="C20" t="s">
        <v>613</v>
      </c>
      <c r="D20" s="21"/>
      <c r="E20" s="219"/>
      <c r="F20" s="21" t="s">
        <v>614</v>
      </c>
      <c r="G20" s="256" t="s">
        <v>615</v>
      </c>
      <c r="H20" s="256"/>
      <c r="I20" s="220">
        <f>[1]!answer(G20)</f>
        <v>4.5520000000000005</v>
      </c>
      <c r="J20" s="21" t="s">
        <v>619</v>
      </c>
      <c r="K20" s="220">
        <f>+I19</f>
        <v>24.133208600000003</v>
      </c>
    </row>
    <row r="21" spans="2:17" x14ac:dyDescent="0.15">
      <c r="C21" t="s">
        <v>616</v>
      </c>
      <c r="D21" s="21"/>
      <c r="E21" s="219"/>
      <c r="F21" s="21" t="s">
        <v>617</v>
      </c>
      <c r="G21" s="256" t="s">
        <v>618</v>
      </c>
      <c r="H21" s="256"/>
      <c r="I21" s="220">
        <f>[1]!answer(G21)</f>
        <v>13.072285714285712</v>
      </c>
      <c r="J21" s="21" t="s">
        <v>620</v>
      </c>
      <c r="K21" s="220">
        <f>+I19+I21</f>
        <v>37.205494314285716</v>
      </c>
    </row>
    <row r="22" spans="2:17" x14ac:dyDescent="0.15">
      <c r="D22" s="21"/>
      <c r="E22" s="219"/>
      <c r="F22" s="21"/>
      <c r="I22" s="220"/>
    </row>
    <row r="23" spans="2:17" x14ac:dyDescent="0.15">
      <c r="C23" t="s">
        <v>565</v>
      </c>
      <c r="D23" s="21" t="s">
        <v>611</v>
      </c>
      <c r="E23" s="219">
        <f>ROUND(ABS([2]!Slab3F(D5,G5,1,3,12))/(D5^2)*10000,3)</f>
        <v>9.1999999999999998E-2</v>
      </c>
      <c r="F23" s="21" t="s">
        <v>547</v>
      </c>
      <c r="G23" t="str">
        <f>CONCATENATE(E23,"*",D4,"*",D5/1000,"^2=")</f>
        <v>0.092*8.18*3.1^2=</v>
      </c>
      <c r="I23" s="220">
        <f>[1]!answer(G23)</f>
        <v>7.2321016000000009</v>
      </c>
    </row>
    <row r="25" spans="2:17" x14ac:dyDescent="0.15">
      <c r="B25" s="217"/>
      <c r="C25" t="s">
        <v>627</v>
      </c>
    </row>
    <row r="26" spans="2:17" x14ac:dyDescent="0.15">
      <c r="C26" s="21" t="s">
        <v>553</v>
      </c>
      <c r="D26">
        <v>200</v>
      </c>
      <c r="E26" t="s">
        <v>554</v>
      </c>
      <c r="F26" s="210">
        <v>295</v>
      </c>
      <c r="G26" s="21" t="s">
        <v>555</v>
      </c>
      <c r="H26" s="211">
        <v>50</v>
      </c>
      <c r="I26" t="s">
        <v>556</v>
      </c>
      <c r="J26" s="212">
        <v>50</v>
      </c>
    </row>
    <row r="28" spans="2:17" x14ac:dyDescent="0.15">
      <c r="C28" t="s">
        <v>548</v>
      </c>
      <c r="D28" t="s">
        <v>557</v>
      </c>
      <c r="E28" s="21" t="s">
        <v>563</v>
      </c>
      <c r="F28" t="str">
        <f>VLOOKUP(L28,barφ!B16:D22,2)</f>
        <v>D13</v>
      </c>
      <c r="G28">
        <f>VLOOKUP(L28,barφ!B16:E22,4)</f>
        <v>127</v>
      </c>
      <c r="I28" s="213">
        <f>VLOOKUP(L28,barφ!B16:E22,3)</f>
        <v>14</v>
      </c>
      <c r="L28">
        <v>1313</v>
      </c>
    </row>
    <row r="29" spans="2:17" x14ac:dyDescent="0.15">
      <c r="D29" s="21" t="s">
        <v>558</v>
      </c>
      <c r="E29" t="str">
        <f>CONCATENATE(D26,"-",I28,"-",I28,"/2=")</f>
        <v>200-14-14/2=</v>
      </c>
      <c r="G29" s="214">
        <f>[1]!answer(E29)</f>
        <v>179</v>
      </c>
      <c r="H29" s="21" t="s">
        <v>564</v>
      </c>
      <c r="I29" s="214">
        <f>G29*7/8</f>
        <v>156.625</v>
      </c>
      <c r="P29">
        <f>+(Q29^2+P30^2)^0.5</f>
        <v>1343.5028842544402</v>
      </c>
      <c r="Q29">
        <v>950</v>
      </c>
    </row>
    <row r="30" spans="2:17" x14ac:dyDescent="0.15">
      <c r="D30" s="21" t="s">
        <v>566</v>
      </c>
      <c r="E30" t="str">
        <f>CONCATENATE("1000/(",ABS(ROUND(I14,3)),"x1000x1000/(",D26,"x",G28,"x",I29,"))=")</f>
        <v>1000/(18.316x1000x1000/(200x127x156.625))=</v>
      </c>
      <c r="J30" s="218">
        <f>[1]!answer(E30)</f>
        <v>217.20217296352914</v>
      </c>
      <c r="K30">
        <v>200</v>
      </c>
      <c r="P30">
        <v>950</v>
      </c>
    </row>
    <row r="31" spans="2:17" x14ac:dyDescent="0.15">
      <c r="C31" t="s">
        <v>567</v>
      </c>
      <c r="J31" s="218"/>
    </row>
    <row r="32" spans="2:17" x14ac:dyDescent="0.15">
      <c r="C32" s="209" t="s">
        <v>621</v>
      </c>
      <c r="D32" t="s">
        <v>557</v>
      </c>
      <c r="E32" s="21" t="s">
        <v>563</v>
      </c>
      <c r="F32" t="str">
        <f>VLOOKUP(L32,barφ!B16:D22,2)</f>
        <v>D13</v>
      </c>
      <c r="G32">
        <f>VLOOKUP(L32,barφ!B16:E22,4)</f>
        <v>127</v>
      </c>
      <c r="I32" s="213">
        <f>VLOOKUP(L32,barφ!B16:E22,3)</f>
        <v>14</v>
      </c>
      <c r="J32" s="218"/>
      <c r="L32">
        <v>1313</v>
      </c>
    </row>
    <row r="33" spans="2:12" x14ac:dyDescent="0.15">
      <c r="D33" s="21" t="s">
        <v>558</v>
      </c>
      <c r="E33" t="str">
        <f>CONCATENATE(D26,"-",I32,"/2=")</f>
        <v>200-14/2=</v>
      </c>
      <c r="G33" s="214">
        <f>[1]!answer(E33)</f>
        <v>193</v>
      </c>
      <c r="H33" s="21" t="s">
        <v>564</v>
      </c>
      <c r="I33" s="214">
        <f>G33*7/8</f>
        <v>168.875</v>
      </c>
      <c r="J33" s="218"/>
    </row>
    <row r="34" spans="2:12" x14ac:dyDescent="0.15">
      <c r="D34" s="21" t="s">
        <v>566</v>
      </c>
      <c r="E34" t="str">
        <f>CONCATENATE("1000/(",ABS(ROUND(I19,3)),"x1000x1000/(",D26,"x",G32,"x",I33,"))=")</f>
        <v>1000/(24.133x1000x1000/(200x127x168.875))=</v>
      </c>
      <c r="J34" s="218">
        <f>[1]!answer(E34)</f>
        <v>177.74105995939172</v>
      </c>
      <c r="K34">
        <v>150</v>
      </c>
    </row>
    <row r="35" spans="2:12" x14ac:dyDescent="0.15">
      <c r="C35" s="209" t="s">
        <v>622</v>
      </c>
      <c r="D35" t="s">
        <v>557</v>
      </c>
      <c r="E35" s="21" t="s">
        <v>563</v>
      </c>
      <c r="F35" t="str">
        <f>VLOOKUP(L35,barφ!B16:D22,2)</f>
        <v>D13</v>
      </c>
      <c r="G35">
        <f>VLOOKUP(L35,barφ!B16:E22,4)</f>
        <v>127</v>
      </c>
      <c r="I35" s="213">
        <f>VLOOKUP(L35,barφ!B16:E22,3)</f>
        <v>14</v>
      </c>
      <c r="J35" s="218"/>
      <c r="L35">
        <v>1313</v>
      </c>
    </row>
    <row r="36" spans="2:12" x14ac:dyDescent="0.15">
      <c r="D36" s="21" t="s">
        <v>558</v>
      </c>
      <c r="E36" s="214">
        <f>+G33</f>
        <v>193</v>
      </c>
      <c r="G36" s="214"/>
      <c r="H36" s="21" t="s">
        <v>564</v>
      </c>
      <c r="I36" s="214">
        <f>E36*7/8</f>
        <v>168.875</v>
      </c>
      <c r="J36" s="218"/>
    </row>
    <row r="37" spans="2:12" x14ac:dyDescent="0.15">
      <c r="D37" s="21" t="s">
        <v>566</v>
      </c>
      <c r="E37" t="str">
        <f>CONCATENATE("1000/(",ABS(ROUND(K21,3)),"x1000x1000/(",295,"x",G35,"x",I36,"))=")</f>
        <v>1000/(37.205x1000x1000/(295x127x168.875))=</v>
      </c>
      <c r="J37" s="218">
        <f>[1]!answer(E37)</f>
        <v>170.05515051740358</v>
      </c>
      <c r="K37">
        <v>150</v>
      </c>
    </row>
    <row r="38" spans="2:12" x14ac:dyDescent="0.15">
      <c r="D38" s="21"/>
      <c r="G38" s="214"/>
      <c r="J38" s="218"/>
    </row>
    <row r="39" spans="2:12" x14ac:dyDescent="0.15">
      <c r="C39" t="s">
        <v>548</v>
      </c>
      <c r="D39" t="s">
        <v>565</v>
      </c>
      <c r="E39" s="21" t="s">
        <v>563</v>
      </c>
      <c r="F39" t="str">
        <f>VLOOKUP(L39,barφ!B16:D22,2)</f>
        <v>D10D13</v>
      </c>
      <c r="G39">
        <f>VLOOKUP(L39,barφ!B16:E22,4)</f>
        <v>99</v>
      </c>
      <c r="I39" s="213">
        <f>VLOOKUP(L39,barφ!B16:E22,3)</f>
        <v>14</v>
      </c>
      <c r="J39" s="218"/>
      <c r="L39">
        <v>1013</v>
      </c>
    </row>
    <row r="40" spans="2:12" x14ac:dyDescent="0.15">
      <c r="D40" s="21" t="s">
        <v>558</v>
      </c>
      <c r="E40" t="str">
        <f>CONCATENATE(D26,"-",I39,"-",I39,"/2=")</f>
        <v>200-14-14/2=</v>
      </c>
      <c r="G40" s="214">
        <f>[1]!answer(E40)</f>
        <v>179</v>
      </c>
      <c r="H40" s="21" t="s">
        <v>564</v>
      </c>
      <c r="I40" s="214">
        <f>G40*7/8</f>
        <v>156.625</v>
      </c>
      <c r="J40" s="218"/>
    </row>
    <row r="41" spans="2:12" x14ac:dyDescent="0.15">
      <c r="D41" s="21" t="s">
        <v>566</v>
      </c>
      <c r="E41" t="str">
        <f>CONCATENATE("1000/(",ABS(ROUND(I15,3)),"x1000x1000/(",D26,"x",G39,"x",I40,"))=")</f>
        <v>1000/(2.044x1000x1000/(200x99x156.625))=</v>
      </c>
      <c r="J41" s="218">
        <f>[1]!answer(E41)</f>
        <v>1517.208904109589</v>
      </c>
      <c r="K41">
        <v>200</v>
      </c>
    </row>
    <row r="42" spans="2:12" x14ac:dyDescent="0.15">
      <c r="J42" s="218"/>
    </row>
    <row r="43" spans="2:12" x14ac:dyDescent="0.15">
      <c r="C43" t="s">
        <v>567</v>
      </c>
      <c r="D43" t="s">
        <v>565</v>
      </c>
      <c r="E43" s="21" t="s">
        <v>563</v>
      </c>
      <c r="F43" t="str">
        <f>VLOOKUP(L43,barφ!B16:D22,2)</f>
        <v>D13</v>
      </c>
      <c r="G43">
        <f>VLOOKUP(L43,barφ!B16:E22,4)</f>
        <v>127</v>
      </c>
      <c r="I43" s="213">
        <f>VLOOKUP(L43,barφ!B16:E22,3)</f>
        <v>14</v>
      </c>
      <c r="J43" s="218"/>
      <c r="L43">
        <f>+L32</f>
        <v>1313</v>
      </c>
    </row>
    <row r="44" spans="2:12" x14ac:dyDescent="0.15">
      <c r="D44" s="21" t="s">
        <v>558</v>
      </c>
      <c r="E44" t="str">
        <f>CONCATENATE(D6,"-",J26,"-",I43,"/2=")</f>
        <v>250-50-14/2=</v>
      </c>
      <c r="G44" s="214">
        <f>[1]!answer(E44)</f>
        <v>193</v>
      </c>
      <c r="H44" s="21" t="s">
        <v>564</v>
      </c>
      <c r="I44" s="214">
        <f>G44*7/8</f>
        <v>168.875</v>
      </c>
      <c r="J44" s="218"/>
    </row>
    <row r="45" spans="2:12" x14ac:dyDescent="0.15">
      <c r="D45" s="21" t="s">
        <v>566</v>
      </c>
      <c r="E45" t="str">
        <f>CONCATENATE("1000/(",ABS(ROUND(I23,3)),"x1000x1000/(",D26,"x",G43,"x",I44,"))=")</f>
        <v>1000/(7.232x1000x1000/(200x127x168.875))=</v>
      </c>
      <c r="J45" s="218">
        <f>[1]!answer(E45)</f>
        <v>593.11739491150445</v>
      </c>
      <c r="K45">
        <v>150</v>
      </c>
    </row>
    <row r="47" spans="2:12" x14ac:dyDescent="0.15">
      <c r="B47" s="217"/>
      <c r="C47" t="s">
        <v>628</v>
      </c>
    </row>
    <row r="49" spans="3:9" x14ac:dyDescent="0.15">
      <c r="C49" s="254" t="s">
        <v>574</v>
      </c>
      <c r="D49" s="254" t="s">
        <v>573</v>
      </c>
      <c r="E49" s="254" t="s">
        <v>174</v>
      </c>
      <c r="F49" s="254" t="s">
        <v>571</v>
      </c>
      <c r="G49" s="254"/>
      <c r="H49" s="254" t="s">
        <v>572</v>
      </c>
      <c r="I49" s="254"/>
    </row>
    <row r="50" spans="3:9" x14ac:dyDescent="0.15">
      <c r="C50" s="254"/>
      <c r="D50" s="254"/>
      <c r="E50" s="254"/>
      <c r="F50" s="55" t="s">
        <v>557</v>
      </c>
      <c r="G50" s="55" t="s">
        <v>565</v>
      </c>
      <c r="H50" s="55" t="s">
        <v>557</v>
      </c>
      <c r="I50" s="55" t="s">
        <v>565</v>
      </c>
    </row>
    <row r="51" spans="3:9" x14ac:dyDescent="0.15">
      <c r="C51" s="254" t="s">
        <v>624</v>
      </c>
      <c r="D51" s="255">
        <f>+D6</f>
        <v>250</v>
      </c>
      <c r="E51" s="55" t="s">
        <v>569</v>
      </c>
      <c r="F51" s="254" t="str">
        <f>CONCATENATE(F28,"@",MIN(K30,K41))</f>
        <v>D13@200</v>
      </c>
      <c r="G51" s="254"/>
      <c r="H51" s="254" t="str">
        <f>CONCATENATE(F32,"@",MIN(K34,K44))</f>
        <v>D13@150</v>
      </c>
      <c r="I51" s="254"/>
    </row>
    <row r="52" spans="3:9" x14ac:dyDescent="0.15">
      <c r="C52" s="254"/>
      <c r="D52" s="255"/>
      <c r="E52" s="55" t="s">
        <v>570</v>
      </c>
      <c r="F52" s="254" t="str">
        <f>CONCATENATE(F28,"@",MIN(K30,K42))</f>
        <v>D13@200</v>
      </c>
      <c r="G52" s="254"/>
      <c r="H52" s="254" t="str">
        <f>CONCATENATE(F32,"@",MIN(K34,K45))</f>
        <v>D13@150</v>
      </c>
      <c r="I52" s="254"/>
    </row>
  </sheetData>
  <mergeCells count="14">
    <mergeCell ref="F51:G51"/>
    <mergeCell ref="G19:H19"/>
    <mergeCell ref="G20:H20"/>
    <mergeCell ref="G21:H21"/>
    <mergeCell ref="F52:G52"/>
    <mergeCell ref="H51:I51"/>
    <mergeCell ref="H52:I52"/>
    <mergeCell ref="F49:G49"/>
    <mergeCell ref="H49:I49"/>
    <mergeCell ref="C49:C50"/>
    <mergeCell ref="D49:D50"/>
    <mergeCell ref="E49:E50"/>
    <mergeCell ref="C51:C52"/>
    <mergeCell ref="D51:D52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5:O53"/>
  <sheetViews>
    <sheetView workbookViewId="0">
      <selection activeCell="O21" sqref="O21"/>
    </sheetView>
  </sheetViews>
  <sheetFormatPr defaultRowHeight="12" x14ac:dyDescent="0.15"/>
  <cols>
    <col min="2" max="13" width="8.6640625" customWidth="1"/>
  </cols>
  <sheetData>
    <row r="5" spans="2:10" x14ac:dyDescent="0.15">
      <c r="B5" s="21" t="s">
        <v>536</v>
      </c>
      <c r="C5">
        <v>45</v>
      </c>
      <c r="D5" t="s">
        <v>537</v>
      </c>
    </row>
    <row r="6" spans="2:10" x14ac:dyDescent="0.15">
      <c r="B6" s="21" t="s">
        <v>538</v>
      </c>
      <c r="C6">
        <v>3700</v>
      </c>
      <c r="D6" t="s">
        <v>540</v>
      </c>
      <c r="E6" s="21" t="s">
        <v>539</v>
      </c>
      <c r="F6">
        <v>4300</v>
      </c>
      <c r="G6" t="s">
        <v>540</v>
      </c>
      <c r="I6" t="s">
        <v>541</v>
      </c>
      <c r="J6">
        <f>ROUND(F6/C6,3)</f>
        <v>1.1619999999999999</v>
      </c>
    </row>
    <row r="11" spans="2:10" x14ac:dyDescent="0.15">
      <c r="B11" s="21" t="s">
        <v>542</v>
      </c>
      <c r="C11" t="str">
        <f>CONCATENATE("0.02x((",J6,"-","0.7)/(",J6,"-0.6))x(1+",C5,"/10+",C6,"/10000)x",C6,"=")</f>
        <v>0.02x((1.162-0.7)/(1.162-0.6))x(1+45/10+3700/10000)x3700=</v>
      </c>
      <c r="I11">
        <f>[1]!answer(C11)</f>
        <v>357.08818505338087</v>
      </c>
    </row>
    <row r="16" spans="2:10" x14ac:dyDescent="0.15">
      <c r="E16">
        <v>21</v>
      </c>
      <c r="H16">
        <f>+J6^4/(1+J6^4)</f>
        <v>0.64578684737409531</v>
      </c>
    </row>
    <row r="17" spans="2:15" x14ac:dyDescent="0.15">
      <c r="B17" s="21" t="s">
        <v>542</v>
      </c>
      <c r="C17" s="209">
        <v>350</v>
      </c>
      <c r="E17">
        <f>3.35*10^4*(23/24)^2*(E16/60)^(1/3)</f>
        <v>21682.066750049999</v>
      </c>
    </row>
    <row r="19" spans="2:15" x14ac:dyDescent="0.15">
      <c r="B19" s="21" t="s">
        <v>543</v>
      </c>
      <c r="C19" t="str">
        <f>CONCATENATE(C5,"+",24,"x",C17,"/1000=")</f>
        <v>45+24x350/1000=</v>
      </c>
      <c r="E19" s="209">
        <f>[1]!answer(C19)</f>
        <v>53.4</v>
      </c>
      <c r="H19">
        <f>1/32*H16*(E19/1000)*(C6^4)/(E17*C17^3)</f>
        <v>0.21726139332708655</v>
      </c>
      <c r="I19">
        <f>+H19*16</f>
        <v>3.4761822932333848</v>
      </c>
    </row>
    <row r="20" spans="2:15" x14ac:dyDescent="0.15">
      <c r="I20">
        <f>+C6/I19</f>
        <v>1064.3860672100802</v>
      </c>
    </row>
    <row r="21" spans="2:15" x14ac:dyDescent="0.15">
      <c r="I21">
        <v>1.7500000000000002E-2</v>
      </c>
      <c r="J21">
        <f>+(E19/1000)*C6^4/(E17*C17^3)</f>
        <v>10.765726516011503</v>
      </c>
      <c r="K21">
        <f>+I21*J21</f>
        <v>0.18840021403020132</v>
      </c>
      <c r="O21">
        <f>200*16</f>
        <v>3200</v>
      </c>
    </row>
    <row r="22" spans="2:15" x14ac:dyDescent="0.15">
      <c r="I22">
        <v>1.7999999999999999E-2</v>
      </c>
      <c r="J22">
        <f>+J21</f>
        <v>10.765726516011503</v>
      </c>
      <c r="K22">
        <f>+I22*J22</f>
        <v>0.19378307728820704</v>
      </c>
    </row>
    <row r="23" spans="2:15" x14ac:dyDescent="0.15">
      <c r="I23">
        <v>1.8749999999999999E-2</v>
      </c>
      <c r="J23">
        <f>+J22</f>
        <v>10.765726516011503</v>
      </c>
      <c r="K23">
        <f>+I23*J23</f>
        <v>0.20185737217521568</v>
      </c>
    </row>
    <row r="24" spans="2:15" x14ac:dyDescent="0.15">
      <c r="C24" s="21" t="s">
        <v>544</v>
      </c>
      <c r="D24" t="str">
        <f>CONCATENATE(F6,"^4/(",C6,"^4+",F6,"^4)x",E19,"=")</f>
        <v>4300^4/(3700^4+4300^4)x53.4=</v>
      </c>
      <c r="G24">
        <f>[1]!answer(D24)</f>
        <v>34.491835271063728</v>
      </c>
      <c r="I24">
        <v>0.02</v>
      </c>
      <c r="J24">
        <f>+J23</f>
        <v>10.765726516011503</v>
      </c>
      <c r="K24">
        <f>+I24*J24</f>
        <v>0.21531453032023007</v>
      </c>
    </row>
    <row r="25" spans="2:15" x14ac:dyDescent="0.15">
      <c r="I25">
        <v>4.0170000000000003</v>
      </c>
      <c r="J25">
        <f>+J24</f>
        <v>10.765726516011503</v>
      </c>
      <c r="K25">
        <f>+I25*J25</f>
        <v>43.245923414818208</v>
      </c>
    </row>
    <row r="26" spans="2:15" x14ac:dyDescent="0.15">
      <c r="B26" t="s">
        <v>548</v>
      </c>
    </row>
    <row r="28" spans="2:15" x14ac:dyDescent="0.15">
      <c r="B28" t="s">
        <v>545</v>
      </c>
      <c r="C28" t="s">
        <v>546</v>
      </c>
      <c r="D28" t="str">
        <f>CONCATENATE("-1/12x",ROUND(G24,3),"x",C6/1000,"^2=")</f>
        <v>-1/12x34.492x3.7^2=</v>
      </c>
      <c r="F28" s="215">
        <f>[1]!answer(D28)</f>
        <v>-39.349623333333334</v>
      </c>
    </row>
    <row r="29" spans="2:15" x14ac:dyDescent="0.15">
      <c r="C29" t="s">
        <v>547</v>
      </c>
      <c r="D29" t="str">
        <f>CONCATENATE("1/18x",ROUND(G24,3),"x",C6/1000,"^2=")</f>
        <v>1/18x34.492x3.7^2=</v>
      </c>
      <c r="F29" s="215">
        <f>[1]!answer(D29)</f>
        <v>26.233082222222222</v>
      </c>
    </row>
    <row r="30" spans="2:15" x14ac:dyDescent="0.15">
      <c r="F30" s="215"/>
    </row>
    <row r="31" spans="2:15" x14ac:dyDescent="0.15">
      <c r="B31" t="s">
        <v>549</v>
      </c>
      <c r="F31" s="215"/>
    </row>
    <row r="32" spans="2:15" x14ac:dyDescent="0.15">
      <c r="C32" t="s">
        <v>550</v>
      </c>
      <c r="D32" t="str">
        <f>CONCATENATE("-1/24x",ROUND(E19,3),"x",C6/1000,"^2=")</f>
        <v>-1/24x53.4x3.7^2=</v>
      </c>
      <c r="F32" s="215">
        <f>[1]!answer(D32)</f>
        <v>-30.460249999999998</v>
      </c>
    </row>
    <row r="33" spans="2:12" x14ac:dyDescent="0.15">
      <c r="C33" t="s">
        <v>551</v>
      </c>
      <c r="D33" t="str">
        <f>CONCATENATE("1/36x",ROUND(E19,3),"x",C6/1000,"^2=")</f>
        <v>1/36x53.4x3.7^2=</v>
      </c>
      <c r="F33" s="215">
        <f>[1]!answer(D33)</f>
        <v>20.306833333333334</v>
      </c>
    </row>
    <row r="36" spans="2:12" x14ac:dyDescent="0.15">
      <c r="B36" t="s">
        <v>552</v>
      </c>
    </row>
    <row r="37" spans="2:12" x14ac:dyDescent="0.15">
      <c r="B37" s="21" t="s">
        <v>553</v>
      </c>
      <c r="C37">
        <v>200</v>
      </c>
      <c r="D37" t="s">
        <v>554</v>
      </c>
      <c r="E37" s="210">
        <v>295</v>
      </c>
      <c r="F37" s="21" t="s">
        <v>555</v>
      </c>
      <c r="G37" s="211">
        <v>30</v>
      </c>
      <c r="H37" t="s">
        <v>556</v>
      </c>
      <c r="I37" s="212">
        <v>50</v>
      </c>
    </row>
    <row r="39" spans="2:12" x14ac:dyDescent="0.15">
      <c r="B39" t="s">
        <v>548</v>
      </c>
      <c r="C39" t="s">
        <v>557</v>
      </c>
      <c r="D39" s="21" t="s">
        <v>563</v>
      </c>
      <c r="E39" t="str">
        <f>VLOOKUP(L39,barφ!B16:D22,2)</f>
        <v>D13</v>
      </c>
      <c r="F39">
        <f>VLOOKUP(L39,barφ!B16:E22,4)</f>
        <v>127</v>
      </c>
      <c r="H39" s="213">
        <f>VLOOKUP(L39,barφ!B16:E22,3)</f>
        <v>14</v>
      </c>
      <c r="L39">
        <v>1313</v>
      </c>
    </row>
    <row r="40" spans="2:12" x14ac:dyDescent="0.15">
      <c r="C40" s="21" t="s">
        <v>558</v>
      </c>
      <c r="D40" t="str">
        <f>CONCATENATE(C17,"-",G37,"-",H39,"/2=")</f>
        <v>350-30-14/2=</v>
      </c>
      <c r="F40" s="214">
        <f>[1]!answer(D40)</f>
        <v>313</v>
      </c>
      <c r="G40" s="21" t="s">
        <v>564</v>
      </c>
      <c r="H40" s="214">
        <f>F40*7/8</f>
        <v>273.875</v>
      </c>
    </row>
    <row r="41" spans="2:12" x14ac:dyDescent="0.15">
      <c r="C41" s="21" t="s">
        <v>566</v>
      </c>
      <c r="D41" t="str">
        <f>CONCATENATE("1000/(",ABS(ROUND(F28,3)),"x1000x1000/(",C37,"x",F39,"x",H40,"))=")</f>
        <v>1000/(39.35x1000x1000/(200x127x273.875))=</v>
      </c>
      <c r="I41" s="216">
        <f>[1]!answer(D41)</f>
        <v>176.78335451080051</v>
      </c>
      <c r="J41">
        <v>150</v>
      </c>
    </row>
    <row r="42" spans="2:12" x14ac:dyDescent="0.15">
      <c r="I42" s="216"/>
    </row>
    <row r="43" spans="2:12" x14ac:dyDescent="0.15">
      <c r="B43" t="s">
        <v>567</v>
      </c>
      <c r="C43" t="s">
        <v>557</v>
      </c>
      <c r="D43" s="21" t="s">
        <v>563</v>
      </c>
      <c r="E43" t="str">
        <f>VLOOKUP(L43,barφ!B16:D22,2)</f>
        <v>D10</v>
      </c>
      <c r="F43">
        <f>VLOOKUP(L43,barφ!B16:E22,4)</f>
        <v>71</v>
      </c>
      <c r="H43" s="213">
        <f>VLOOKUP(L43,barφ!B16:E22,3)</f>
        <v>11</v>
      </c>
      <c r="I43" s="216"/>
      <c r="L43">
        <v>1010</v>
      </c>
    </row>
    <row r="44" spans="2:12" x14ac:dyDescent="0.15">
      <c r="C44" s="21" t="s">
        <v>558</v>
      </c>
      <c r="D44" t="str">
        <f>CONCATENATE(C17,"-",H39,"-",H43,"/2=")</f>
        <v>350-14-11/2=</v>
      </c>
      <c r="F44" s="214">
        <f>[1]!answer(D44)</f>
        <v>330.5</v>
      </c>
      <c r="G44" s="21" t="s">
        <v>564</v>
      </c>
      <c r="H44" s="214">
        <f>F44*7/8</f>
        <v>289.1875</v>
      </c>
      <c r="I44" s="216"/>
    </row>
    <row r="45" spans="2:12" x14ac:dyDescent="0.15">
      <c r="C45" s="21" t="s">
        <v>566</v>
      </c>
      <c r="D45" t="str">
        <f>CONCATENATE("1000/(",ABS(ROUND(F32,3)),"x1000x1000/(",C37,"x",F43,"x",H44,"))=")</f>
        <v>1000/(30.46x1000x1000/(200x71x289.1875))=</v>
      </c>
      <c r="I45" s="216">
        <f>[1]!answer(D45)</f>
        <v>134.81492120814184</v>
      </c>
      <c r="J45">
        <v>100</v>
      </c>
    </row>
    <row r="46" spans="2:12" x14ac:dyDescent="0.15">
      <c r="C46" s="21"/>
      <c r="F46" s="214"/>
      <c r="I46" s="216"/>
    </row>
    <row r="47" spans="2:12" x14ac:dyDescent="0.15">
      <c r="B47" t="s">
        <v>548</v>
      </c>
      <c r="C47" t="s">
        <v>565</v>
      </c>
      <c r="D47" s="21" t="s">
        <v>563</v>
      </c>
      <c r="E47" t="str">
        <f>VLOOKUP(L47,barφ!B16:D22,2)</f>
        <v>D13</v>
      </c>
      <c r="F47">
        <f>VLOOKUP(L47,barφ!B16:E22,4)</f>
        <v>127</v>
      </c>
      <c r="H47" s="213">
        <f>VLOOKUP(L47,barφ!B16:E22,3)</f>
        <v>14</v>
      </c>
      <c r="I47" s="216"/>
      <c r="L47">
        <v>1313</v>
      </c>
    </row>
    <row r="48" spans="2:12" x14ac:dyDescent="0.15">
      <c r="C48" s="21" t="s">
        <v>558</v>
      </c>
      <c r="D48" t="str">
        <f>CONCATENATE(C17,"-",I37,"-",H47,"/2=")</f>
        <v>350-50-14/2=</v>
      </c>
      <c r="F48" s="214">
        <f>[1]!answer(D48)</f>
        <v>293</v>
      </c>
      <c r="G48" s="21" t="s">
        <v>564</v>
      </c>
      <c r="H48" s="214">
        <f>F48*7/8</f>
        <v>256.375</v>
      </c>
      <c r="I48" s="216"/>
    </row>
    <row r="49" spans="2:12" x14ac:dyDescent="0.15">
      <c r="C49" s="21" t="s">
        <v>566</v>
      </c>
      <c r="D49" t="str">
        <f>CONCATENATE("1000/(",ABS(ROUND(F29,3)),"x1000x1000/(",C37,"x",F47,"x",H48,"))=")</f>
        <v>1000/(26.233x1000x1000/(200x127x256.375))=</v>
      </c>
      <c r="I49" s="216">
        <f>[1]!answer(D49)</f>
        <v>248.23409446117489</v>
      </c>
      <c r="J49">
        <v>200</v>
      </c>
    </row>
    <row r="50" spans="2:12" x14ac:dyDescent="0.15">
      <c r="I50" s="216"/>
    </row>
    <row r="51" spans="2:12" x14ac:dyDescent="0.15">
      <c r="B51" t="s">
        <v>567</v>
      </c>
      <c r="C51" t="s">
        <v>565</v>
      </c>
      <c r="D51" s="21" t="s">
        <v>563</v>
      </c>
      <c r="E51" t="str">
        <f>VLOOKUP(L51,barφ!B16:D22,2)</f>
        <v>D10D13</v>
      </c>
      <c r="F51">
        <f>VLOOKUP(L51,barφ!B16:E22,4)</f>
        <v>99</v>
      </c>
      <c r="H51" s="213">
        <f>VLOOKUP(L51,barφ!B16:E22,3)</f>
        <v>14</v>
      </c>
      <c r="I51" s="216"/>
      <c r="L51">
        <v>1013</v>
      </c>
    </row>
    <row r="52" spans="2:12" x14ac:dyDescent="0.15">
      <c r="C52" s="21" t="s">
        <v>558</v>
      </c>
      <c r="D52" t="str">
        <f>CONCATENATE(C17,"-",I37,"-",H47,"-",H51,"/2=")</f>
        <v>350-50-14-14/2=</v>
      </c>
      <c r="F52" s="214">
        <f>[1]!answer(D52)</f>
        <v>279</v>
      </c>
      <c r="G52" s="21" t="s">
        <v>564</v>
      </c>
      <c r="H52" s="214">
        <f>F52*7/8</f>
        <v>244.125</v>
      </c>
      <c r="I52" s="216"/>
    </row>
    <row r="53" spans="2:12" x14ac:dyDescent="0.15">
      <c r="C53" s="21" t="s">
        <v>566</v>
      </c>
      <c r="D53" t="str">
        <f>CONCATENATE("1000/(",ABS(ROUND(F33,3)),"x1000x1000/(",C37,"x",F51,"x",H52,"))=")</f>
        <v>1000/(20.307x1000x1000/(200x99x244.125))=</v>
      </c>
      <c r="I53" s="216">
        <f>[1]!answer(D53)</f>
        <v>238.02998965873834</v>
      </c>
      <c r="J53">
        <v>200</v>
      </c>
    </row>
  </sheetData>
  <phoneticPr fontId="3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3:E22"/>
  <sheetViews>
    <sheetView workbookViewId="0">
      <selection activeCell="E23" sqref="E23"/>
    </sheetView>
  </sheetViews>
  <sheetFormatPr defaultRowHeight="12" x14ac:dyDescent="0.15"/>
  <sheetData>
    <row r="3" spans="1:5" x14ac:dyDescent="0.15">
      <c r="A3" s="21"/>
      <c r="B3" t="s">
        <v>438</v>
      </c>
      <c r="C3">
        <v>11</v>
      </c>
    </row>
    <row r="4" spans="1:5" x14ac:dyDescent="0.15">
      <c r="A4" s="21"/>
      <c r="B4" t="s">
        <v>439</v>
      </c>
      <c r="C4">
        <v>14</v>
      </c>
    </row>
    <row r="5" spans="1:5" x14ac:dyDescent="0.15">
      <c r="A5" s="21"/>
      <c r="B5" t="s">
        <v>440</v>
      </c>
      <c r="C5">
        <v>18</v>
      </c>
    </row>
    <row r="6" spans="1:5" x14ac:dyDescent="0.15">
      <c r="A6" s="21"/>
      <c r="B6" t="s">
        <v>441</v>
      </c>
      <c r="C6">
        <v>21</v>
      </c>
    </row>
    <row r="7" spans="1:5" x14ac:dyDescent="0.15">
      <c r="A7" s="21"/>
      <c r="B7" t="s">
        <v>442</v>
      </c>
      <c r="C7">
        <v>25</v>
      </c>
    </row>
    <row r="8" spans="1:5" x14ac:dyDescent="0.15">
      <c r="A8" s="21"/>
      <c r="B8" t="s">
        <v>443</v>
      </c>
      <c r="C8">
        <v>28</v>
      </c>
    </row>
    <row r="9" spans="1:5" x14ac:dyDescent="0.15">
      <c r="A9" s="21"/>
      <c r="B9" t="s">
        <v>444</v>
      </c>
      <c r="C9">
        <v>33</v>
      </c>
    </row>
    <row r="10" spans="1:5" x14ac:dyDescent="0.15">
      <c r="A10" s="21"/>
      <c r="B10" t="s">
        <v>445</v>
      </c>
      <c r="C10">
        <v>36</v>
      </c>
    </row>
    <row r="11" spans="1:5" x14ac:dyDescent="0.15">
      <c r="A11" s="21"/>
      <c r="B11" t="s">
        <v>446</v>
      </c>
      <c r="C11">
        <v>40</v>
      </c>
    </row>
    <row r="12" spans="1:5" x14ac:dyDescent="0.15">
      <c r="A12" s="21"/>
      <c r="B12" t="s">
        <v>447</v>
      </c>
      <c r="C12">
        <v>43</v>
      </c>
    </row>
    <row r="16" spans="1:5" x14ac:dyDescent="0.15">
      <c r="B16">
        <v>1010</v>
      </c>
      <c r="C16" t="s">
        <v>438</v>
      </c>
      <c r="D16">
        <v>11</v>
      </c>
      <c r="E16">
        <v>71</v>
      </c>
    </row>
    <row r="17" spans="2:5" x14ac:dyDescent="0.15">
      <c r="B17">
        <v>1013</v>
      </c>
      <c r="C17" t="s">
        <v>560</v>
      </c>
      <c r="D17">
        <v>14</v>
      </c>
      <c r="E17">
        <f>+E16/2+E18/2</f>
        <v>99</v>
      </c>
    </row>
    <row r="18" spans="2:5" x14ac:dyDescent="0.15">
      <c r="B18">
        <v>1313</v>
      </c>
      <c r="C18" t="s">
        <v>439</v>
      </c>
      <c r="D18">
        <v>14</v>
      </c>
      <c r="E18">
        <v>127</v>
      </c>
    </row>
    <row r="19" spans="2:5" x14ac:dyDescent="0.15">
      <c r="B19">
        <v>1316</v>
      </c>
      <c r="C19" t="s">
        <v>561</v>
      </c>
      <c r="D19">
        <v>18</v>
      </c>
      <c r="E19">
        <f>+E18/2+E20/2</f>
        <v>163</v>
      </c>
    </row>
    <row r="20" spans="2:5" x14ac:dyDescent="0.15">
      <c r="B20">
        <v>1616</v>
      </c>
      <c r="C20" t="s">
        <v>440</v>
      </c>
      <c r="D20">
        <v>18</v>
      </c>
      <c r="E20">
        <v>199</v>
      </c>
    </row>
    <row r="21" spans="2:5" x14ac:dyDescent="0.15">
      <c r="B21">
        <v>1619</v>
      </c>
      <c r="C21" t="s">
        <v>562</v>
      </c>
      <c r="D21">
        <v>21</v>
      </c>
      <c r="E21">
        <f>+E20/2+E22/2</f>
        <v>243</v>
      </c>
    </row>
    <row r="22" spans="2:5" x14ac:dyDescent="0.15">
      <c r="B22">
        <v>1919</v>
      </c>
      <c r="C22" t="s">
        <v>559</v>
      </c>
      <c r="D22">
        <v>21</v>
      </c>
      <c r="E22">
        <v>287</v>
      </c>
    </row>
  </sheetData>
  <phoneticPr fontId="3"/>
  <pageMargins left="0.75" right="0.75" top="1" bottom="1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61"/>
  <sheetViews>
    <sheetView workbookViewId="0">
      <selection activeCell="D12" sqref="D12"/>
    </sheetView>
  </sheetViews>
  <sheetFormatPr defaultColWidth="9.109375" defaultRowHeight="10.8" x14ac:dyDescent="0.15"/>
  <cols>
    <col min="1" max="1" width="2.6640625" style="4" customWidth="1"/>
    <col min="2" max="14" width="8.33203125" style="4" customWidth="1"/>
    <col min="15" max="16384" width="9.109375" style="4"/>
  </cols>
  <sheetData>
    <row r="2" spans="2:17" x14ac:dyDescent="0.15">
      <c r="B2" s="4" t="s">
        <v>476</v>
      </c>
    </row>
    <row r="3" spans="2:17" x14ac:dyDescent="0.15">
      <c r="H3" s="15"/>
      <c r="I3" s="15"/>
      <c r="J3" s="15"/>
      <c r="O3" s="5"/>
      <c r="Q3" s="5"/>
    </row>
    <row r="4" spans="2:17" x14ac:dyDescent="0.15">
      <c r="B4" s="75" t="s">
        <v>479</v>
      </c>
      <c r="C4" s="64" t="s">
        <v>480</v>
      </c>
      <c r="D4" s="64" t="s">
        <v>481</v>
      </c>
      <c r="E4" s="64" t="s">
        <v>482</v>
      </c>
      <c r="F4" s="64" t="s">
        <v>483</v>
      </c>
      <c r="G4" s="64" t="s">
        <v>484</v>
      </c>
      <c r="H4" s="64" t="s">
        <v>485</v>
      </c>
      <c r="I4" s="91" t="s">
        <v>486</v>
      </c>
      <c r="J4" s="64"/>
      <c r="K4" s="65" t="s">
        <v>487</v>
      </c>
      <c r="O4" s="5"/>
      <c r="Q4" s="5"/>
    </row>
    <row r="5" spans="2:17" ht="12.6" x14ac:dyDescent="0.15">
      <c r="B5" s="92" t="s">
        <v>488</v>
      </c>
      <c r="C5" s="93" t="s">
        <v>488</v>
      </c>
      <c r="D5" s="93" t="s">
        <v>488</v>
      </c>
      <c r="E5" s="93" t="s">
        <v>488</v>
      </c>
      <c r="F5" s="93" t="s">
        <v>489</v>
      </c>
      <c r="G5" s="93" t="s">
        <v>489</v>
      </c>
      <c r="H5" s="93" t="s">
        <v>489</v>
      </c>
      <c r="I5" s="93" t="s">
        <v>489</v>
      </c>
      <c r="J5" s="93"/>
      <c r="K5" s="95" t="s">
        <v>490</v>
      </c>
      <c r="O5" s="5"/>
      <c r="Q5" s="5"/>
    </row>
    <row r="6" spans="2:17" x14ac:dyDescent="0.15">
      <c r="B6" s="78">
        <v>345</v>
      </c>
      <c r="C6" s="79">
        <v>21</v>
      </c>
      <c r="D6" s="97">
        <v>195</v>
      </c>
      <c r="E6" s="79">
        <f>C6/30*1.5</f>
        <v>1.0499999999999998</v>
      </c>
      <c r="F6" s="97">
        <v>350</v>
      </c>
      <c r="G6" s="97">
        <v>800</v>
      </c>
      <c r="H6" s="208">
        <f>G6-G12</f>
        <v>725</v>
      </c>
      <c r="I6" s="70">
        <f>H6*7/8</f>
        <v>634.375</v>
      </c>
      <c r="J6" s="98">
        <v>4.7</v>
      </c>
      <c r="K6" s="72">
        <f>B6*F9*I6/1000/1000</f>
        <v>221.92341376394035</v>
      </c>
      <c r="O6" s="5"/>
      <c r="Q6" s="5"/>
    </row>
    <row r="7" spans="2:17" ht="12" x14ac:dyDescent="0.15">
      <c r="B7" s="263" t="s">
        <v>2</v>
      </c>
      <c r="C7" s="264"/>
      <c r="D7" s="264" t="s">
        <v>3</v>
      </c>
      <c r="E7" s="264"/>
      <c r="F7" s="182" t="s">
        <v>68</v>
      </c>
      <c r="G7" s="257" t="s">
        <v>437</v>
      </c>
      <c r="H7" s="258"/>
      <c r="I7" s="259"/>
      <c r="J7" s="175" t="s">
        <v>491</v>
      </c>
      <c r="K7" s="186" t="s">
        <v>492</v>
      </c>
      <c r="O7" s="5"/>
      <c r="Q7" s="5"/>
    </row>
    <row r="8" spans="2:17" ht="12.6" x14ac:dyDescent="0.15">
      <c r="B8" s="83" t="s">
        <v>493</v>
      </c>
      <c r="C8" s="84" t="s">
        <v>494</v>
      </c>
      <c r="D8" s="84" t="s">
        <v>493</v>
      </c>
      <c r="E8" s="84" t="s">
        <v>495</v>
      </c>
      <c r="F8" s="151" t="s">
        <v>496</v>
      </c>
      <c r="G8" s="172" t="s">
        <v>493</v>
      </c>
      <c r="H8" s="198" t="s">
        <v>497</v>
      </c>
      <c r="I8" s="173" t="s">
        <v>498</v>
      </c>
      <c r="J8" s="144" t="s">
        <v>499</v>
      </c>
      <c r="K8" s="95" t="s">
        <v>500</v>
      </c>
      <c r="O8" s="5"/>
      <c r="Q8" s="5"/>
    </row>
    <row r="9" spans="2:17" ht="12" x14ac:dyDescent="0.15">
      <c r="B9" s="78" t="s">
        <v>533</v>
      </c>
      <c r="C9" s="70">
        <f>[2]!Bar(B9,11)*100</f>
        <v>1014.0000343322754</v>
      </c>
      <c r="D9" s="79" t="s">
        <v>535</v>
      </c>
      <c r="E9" s="131">
        <f>IF(D9="-",0,[2]!Bar(D9,11)*100)</f>
        <v>0</v>
      </c>
      <c r="F9" s="183">
        <f>+C9+E9</f>
        <v>1014.0000343322754</v>
      </c>
      <c r="G9" s="184" t="s">
        <v>534</v>
      </c>
      <c r="H9" s="96">
        <v>200</v>
      </c>
      <c r="I9" s="185">
        <f>[2]!Bar(G9,11)*100</f>
        <v>141.99999570846558</v>
      </c>
      <c r="J9" s="176">
        <f>I9/H9/F6</f>
        <v>2.0285713672637939E-3</v>
      </c>
      <c r="K9" s="187">
        <f>F6*I6*(E15*E6+0.5*D6*(J9-0.002))/1000</f>
        <v>756.29038929780938</v>
      </c>
      <c r="O9" s="5"/>
      <c r="Q9" s="5"/>
    </row>
    <row r="10" spans="2:17" x14ac:dyDescent="0.15">
      <c r="B10" s="177" t="s">
        <v>501</v>
      </c>
      <c r="C10" s="174" t="s">
        <v>436</v>
      </c>
      <c r="D10" s="174" t="s">
        <v>451</v>
      </c>
      <c r="E10" s="265" t="s">
        <v>448</v>
      </c>
      <c r="F10" s="266"/>
      <c r="G10" s="178" t="s">
        <v>253</v>
      </c>
      <c r="H10" s="136"/>
      <c r="I10" s="133"/>
      <c r="J10" s="133"/>
      <c r="K10" s="133"/>
      <c r="L10" s="137"/>
      <c r="O10" s="5"/>
      <c r="Q10" s="5"/>
    </row>
    <row r="11" spans="2:17" x14ac:dyDescent="0.15">
      <c r="B11" s="179" t="s">
        <v>159</v>
      </c>
      <c r="C11" s="76" t="s">
        <v>159</v>
      </c>
      <c r="D11" s="76" t="s">
        <v>159</v>
      </c>
      <c r="E11" s="144" t="s">
        <v>449</v>
      </c>
      <c r="F11" s="84" t="s">
        <v>450</v>
      </c>
      <c r="G11" s="77" t="s">
        <v>502</v>
      </c>
      <c r="H11" s="136"/>
      <c r="I11" s="133"/>
      <c r="J11" s="133"/>
      <c r="K11" s="133"/>
      <c r="L11" s="137"/>
      <c r="O11" s="5"/>
      <c r="Q11" s="5"/>
    </row>
    <row r="12" spans="2:17" x14ac:dyDescent="0.15">
      <c r="B12" s="180">
        <v>50</v>
      </c>
      <c r="C12" s="158">
        <f>VLOOKUP(RIGHT(B9,3),barφ!B3:C12,2)</f>
        <v>28</v>
      </c>
      <c r="D12" s="158">
        <f>VLOOKUP(RIGHT(G9,3),barφ!B3:C12,2)</f>
        <v>11</v>
      </c>
      <c r="E12" s="197">
        <f>B12+D12+C12/2</f>
        <v>75</v>
      </c>
      <c r="F12" s="82">
        <f>IF(D9="-",0,RIGHT(D9,2)*1.5+C12+E12)</f>
        <v>0</v>
      </c>
      <c r="G12" s="181">
        <f>+E12</f>
        <v>75</v>
      </c>
      <c r="H12" s="136"/>
      <c r="I12" s="133"/>
      <c r="J12" s="133"/>
      <c r="K12" s="133"/>
      <c r="L12" s="137"/>
      <c r="O12" s="5"/>
      <c r="Q12" s="5"/>
    </row>
    <row r="13" spans="2:17" x14ac:dyDescent="0.15">
      <c r="B13" s="75" t="s">
        <v>202</v>
      </c>
      <c r="C13" s="64" t="s">
        <v>503</v>
      </c>
      <c r="D13" s="64" t="s">
        <v>504</v>
      </c>
      <c r="E13" s="64" t="s">
        <v>505</v>
      </c>
      <c r="F13" s="191" t="s">
        <v>506</v>
      </c>
      <c r="G13" s="191" t="s">
        <v>193</v>
      </c>
      <c r="H13" s="191" t="s">
        <v>507</v>
      </c>
      <c r="I13" s="192" t="s">
        <v>508</v>
      </c>
      <c r="J13" s="133"/>
      <c r="K13" s="133"/>
      <c r="L13" s="137"/>
      <c r="O13" s="5"/>
      <c r="Q13" s="5"/>
    </row>
    <row r="14" spans="2:17" x14ac:dyDescent="0.15">
      <c r="B14" s="193" t="s">
        <v>502</v>
      </c>
      <c r="C14" s="194" t="s">
        <v>502</v>
      </c>
      <c r="D14" s="194" t="s">
        <v>502</v>
      </c>
      <c r="E14" s="73" t="s">
        <v>509</v>
      </c>
      <c r="F14" s="194" t="s">
        <v>502</v>
      </c>
      <c r="G14" s="194" t="s">
        <v>502</v>
      </c>
      <c r="H14" s="194"/>
      <c r="I14" s="195"/>
      <c r="J14" s="133"/>
      <c r="K14" s="133"/>
      <c r="L14" s="137"/>
      <c r="O14" s="5"/>
      <c r="Q14" s="5"/>
    </row>
    <row r="15" spans="2:17" x14ac:dyDescent="0.15">
      <c r="B15" s="188">
        <f>+K6</f>
        <v>221.92341376394035</v>
      </c>
      <c r="C15" s="189">
        <f>+K6*2/J6</f>
        <v>94.435495218698023</v>
      </c>
      <c r="D15" s="97">
        <f>+H6</f>
        <v>725</v>
      </c>
      <c r="E15" s="189">
        <f>B15*1000/C15/D15</f>
        <v>3.2413793103448274</v>
      </c>
      <c r="F15" s="97">
        <v>107</v>
      </c>
      <c r="G15" s="97">
        <f>+G6</f>
        <v>800</v>
      </c>
      <c r="H15" s="69">
        <f>F15/G15</f>
        <v>0.13375000000000001</v>
      </c>
      <c r="I15" s="190">
        <f>+E15*E6*(1-H15)</f>
        <v>2.9482370689655166</v>
      </c>
      <c r="J15" s="139"/>
      <c r="K15" s="133"/>
      <c r="L15" s="137"/>
      <c r="O15" s="5"/>
      <c r="Q15" s="5"/>
    </row>
    <row r="16" spans="2:17" ht="12" x14ac:dyDescent="0.15">
      <c r="B16" s="260" t="s">
        <v>474</v>
      </c>
      <c r="C16" s="261"/>
      <c r="D16" s="262" t="s">
        <v>475</v>
      </c>
      <c r="E16" s="262"/>
      <c r="F16" s="64" t="s">
        <v>323</v>
      </c>
      <c r="G16" s="64" t="s">
        <v>287</v>
      </c>
      <c r="H16" s="191" t="s">
        <v>510</v>
      </c>
      <c r="I16" s="196" t="s">
        <v>511</v>
      </c>
      <c r="L16" s="137"/>
      <c r="O16" s="5"/>
      <c r="Q16" s="5"/>
    </row>
    <row r="17" spans="2:17" ht="12.6" x14ac:dyDescent="0.15">
      <c r="B17" s="66" t="s">
        <v>163</v>
      </c>
      <c r="C17" s="67" t="s">
        <v>512</v>
      </c>
      <c r="D17" s="67" t="s">
        <v>163</v>
      </c>
      <c r="E17" s="67" t="s">
        <v>513</v>
      </c>
      <c r="F17" s="73" t="s">
        <v>159</v>
      </c>
      <c r="G17" s="73" t="s">
        <v>159</v>
      </c>
      <c r="H17" s="203"/>
      <c r="I17" s="204"/>
      <c r="L17" s="137"/>
      <c r="O17" s="5"/>
      <c r="Q17" s="5"/>
    </row>
    <row r="18" spans="2:17" x14ac:dyDescent="0.15">
      <c r="B18" s="78" t="s">
        <v>534</v>
      </c>
      <c r="C18" s="70">
        <f>[2]!Bar(B18,11)*100</f>
        <v>141.99999570846558</v>
      </c>
      <c r="D18" s="79"/>
      <c r="E18" s="70" t="str">
        <f>IF(D18="","-",[2]!Bar(D18,11)*100*2^0.5)</f>
        <v>-</v>
      </c>
      <c r="F18" s="205">
        <f>+F6</f>
        <v>350</v>
      </c>
      <c r="G18" s="96">
        <v>200</v>
      </c>
      <c r="H18" s="206">
        <f>IF(D18="",C18/F6/G18,(C18+E18*2^0.5)/F6/G18)</f>
        <v>2.0285713672637939E-3</v>
      </c>
      <c r="I18" s="207">
        <f>0.5*D6*(H18-0.002)</f>
        <v>2.7857083082198988E-3</v>
      </c>
      <c r="L18" s="137"/>
      <c r="O18" s="5"/>
      <c r="Q18" s="5"/>
    </row>
    <row r="19" spans="2:17" x14ac:dyDescent="0.15">
      <c r="B19" s="201"/>
      <c r="C19" s="202" t="s">
        <v>470</v>
      </c>
      <c r="D19" s="64" t="s">
        <v>471</v>
      </c>
      <c r="E19" s="65" t="s">
        <v>175</v>
      </c>
      <c r="L19" s="137"/>
      <c r="O19" s="5"/>
      <c r="Q19" s="5"/>
    </row>
    <row r="20" spans="2:17" x14ac:dyDescent="0.15">
      <c r="B20" s="193" t="s">
        <v>514</v>
      </c>
      <c r="C20" s="73" t="s">
        <v>500</v>
      </c>
      <c r="D20" s="73" t="s">
        <v>500</v>
      </c>
      <c r="E20" s="74"/>
      <c r="J20" s="139"/>
      <c r="K20" s="133"/>
      <c r="L20" s="137"/>
      <c r="O20" s="5"/>
      <c r="Q20" s="5"/>
    </row>
    <row r="21" spans="2:17" x14ac:dyDescent="0.15">
      <c r="B21" s="199">
        <f>+I15+I18</f>
        <v>2.9510227772737365</v>
      </c>
      <c r="C21" s="98">
        <f>F6*I6*B21/1000</f>
        <v>655.21927601655932</v>
      </c>
      <c r="D21" s="71">
        <f>+C15/C21</f>
        <v>0.14412807845462616</v>
      </c>
      <c r="E21" s="200" t="str">
        <f>IF(D21&lt;1,"OK","NG")</f>
        <v>OK</v>
      </c>
      <c r="G21" s="4" t="s">
        <v>478</v>
      </c>
      <c r="K21" s="133"/>
      <c r="L21" s="137"/>
      <c r="O21" s="5"/>
      <c r="Q21" s="5"/>
    </row>
    <row r="22" spans="2:17" x14ac:dyDescent="0.15">
      <c r="L22" s="137"/>
    </row>
    <row r="24" spans="2:17" ht="12" x14ac:dyDescent="0.15">
      <c r="C24" s="21" t="s">
        <v>515</v>
      </c>
      <c r="D24" s="4" t="s">
        <v>391</v>
      </c>
      <c r="E24"/>
      <c r="F24"/>
      <c r="G24"/>
      <c r="H24"/>
      <c r="I24" s="132" t="s">
        <v>516</v>
      </c>
    </row>
    <row r="25" spans="2:17" ht="12" x14ac:dyDescent="0.15">
      <c r="C25" s="21"/>
      <c r="D25" s="4" t="s">
        <v>388</v>
      </c>
      <c r="E25"/>
      <c r="F25"/>
      <c r="G25"/>
      <c r="H25"/>
    </row>
    <row r="26" spans="2:17" ht="12" x14ac:dyDescent="0.15">
      <c r="C26" s="21" t="s">
        <v>517</v>
      </c>
      <c r="D26" s="4" t="s">
        <v>390</v>
      </c>
      <c r="E26"/>
      <c r="F26"/>
      <c r="G26"/>
      <c r="H26"/>
    </row>
    <row r="27" spans="2:17" ht="12.6" x14ac:dyDescent="0.15">
      <c r="C27" s="21" t="s">
        <v>518</v>
      </c>
      <c r="D27" s="4" t="s">
        <v>393</v>
      </c>
      <c r="E27"/>
      <c r="F27"/>
      <c r="G27"/>
      <c r="H27"/>
    </row>
    <row r="28" spans="2:17" ht="12" x14ac:dyDescent="0.15">
      <c r="C28" s="21" t="s">
        <v>519</v>
      </c>
      <c r="D28" s="4" t="s">
        <v>395</v>
      </c>
      <c r="E28"/>
      <c r="F28"/>
      <c r="G28"/>
      <c r="H28"/>
    </row>
    <row r="29" spans="2:17" ht="12" x14ac:dyDescent="0.15">
      <c r="C29" s="21" t="s">
        <v>520</v>
      </c>
      <c r="D29" s="4" t="s">
        <v>396</v>
      </c>
      <c r="E29"/>
      <c r="F29"/>
      <c r="G29"/>
      <c r="H29"/>
    </row>
    <row r="30" spans="2:17" ht="12" x14ac:dyDescent="0.15">
      <c r="C30" s="21" t="s">
        <v>65</v>
      </c>
      <c r="D30" s="4" t="s">
        <v>397</v>
      </c>
      <c r="E30"/>
      <c r="F30"/>
      <c r="G30"/>
      <c r="H30"/>
    </row>
    <row r="31" spans="2:17" ht="12" x14ac:dyDescent="0.15">
      <c r="C31" s="21" t="s">
        <v>521</v>
      </c>
      <c r="D31" t="s">
        <v>399</v>
      </c>
      <c r="E31"/>
      <c r="F31"/>
      <c r="G31"/>
      <c r="H31"/>
    </row>
    <row r="32" spans="2:17" ht="12" x14ac:dyDescent="0.15">
      <c r="C32" s="21" t="s">
        <v>522</v>
      </c>
      <c r="D32" s="4" t="s">
        <v>401</v>
      </c>
      <c r="E32"/>
      <c r="F32"/>
      <c r="G32"/>
      <c r="H32"/>
    </row>
    <row r="33" spans="3:10" ht="12" x14ac:dyDescent="0.15">
      <c r="C33" s="21"/>
      <c r="D33" s="4" t="s">
        <v>523</v>
      </c>
      <c r="E33"/>
      <c r="F33"/>
      <c r="G33"/>
      <c r="H33"/>
    </row>
    <row r="34" spans="3:10" ht="12" x14ac:dyDescent="0.15">
      <c r="C34" s="21" t="s">
        <v>524</v>
      </c>
      <c r="D34" s="4" t="s">
        <v>404</v>
      </c>
      <c r="E34"/>
      <c r="F34"/>
      <c r="G34"/>
      <c r="H34"/>
    </row>
    <row r="35" spans="3:10" ht="12" x14ac:dyDescent="0.15">
      <c r="C35" s="21"/>
      <c r="D35" s="4" t="s">
        <v>525</v>
      </c>
      <c r="E35"/>
      <c r="F35"/>
      <c r="G35"/>
      <c r="H35"/>
    </row>
    <row r="36" spans="3:10" ht="12" x14ac:dyDescent="0.15">
      <c r="C36" s="21" t="s">
        <v>526</v>
      </c>
      <c r="D36" s="4" t="s">
        <v>407</v>
      </c>
      <c r="E36"/>
      <c r="F36"/>
      <c r="G36"/>
      <c r="H36"/>
    </row>
    <row r="37" spans="3:10" x14ac:dyDescent="0.15">
      <c r="C37" s="12" t="s">
        <v>527</v>
      </c>
      <c r="D37" s="4" t="s">
        <v>408</v>
      </c>
    </row>
    <row r="38" spans="3:10" x14ac:dyDescent="0.15">
      <c r="C38" s="12" t="s">
        <v>528</v>
      </c>
      <c r="D38" s="4" t="s">
        <v>11</v>
      </c>
    </row>
    <row r="39" spans="3:10" x14ac:dyDescent="0.15">
      <c r="C39" s="12"/>
    </row>
    <row r="40" spans="3:10" x14ac:dyDescent="0.15">
      <c r="C40" s="12"/>
    </row>
    <row r="41" spans="3:10" x14ac:dyDescent="0.15">
      <c r="C41" s="12"/>
    </row>
    <row r="42" spans="3:10" ht="12" x14ac:dyDescent="0.15">
      <c r="C42" s="21" t="s">
        <v>529</v>
      </c>
      <c r="D42" t="s">
        <v>153</v>
      </c>
      <c r="E42"/>
      <c r="F42"/>
      <c r="G42"/>
      <c r="H42"/>
      <c r="J42" s="5"/>
    </row>
    <row r="43" spans="3:10" ht="12" x14ac:dyDescent="0.15">
      <c r="C43" s="21" t="s">
        <v>371</v>
      </c>
      <c r="D43" t="s">
        <v>156</v>
      </c>
    </row>
    <row r="44" spans="3:10" x14ac:dyDescent="0.15">
      <c r="C44" s="12" t="s">
        <v>372</v>
      </c>
      <c r="D44" s="4" t="s">
        <v>62</v>
      </c>
    </row>
    <row r="45" spans="3:10" x14ac:dyDescent="0.15">
      <c r="C45" s="12" t="s">
        <v>530</v>
      </c>
      <c r="D45" s="4" t="s">
        <v>63</v>
      </c>
      <c r="I45" s="4" t="s">
        <v>87</v>
      </c>
    </row>
    <row r="46" spans="3:10" x14ac:dyDescent="0.15">
      <c r="C46" s="12" t="s">
        <v>88</v>
      </c>
      <c r="D46" s="4" t="s">
        <v>89</v>
      </c>
    </row>
    <row r="47" spans="3:10" x14ac:dyDescent="0.15">
      <c r="C47" s="12" t="s">
        <v>374</v>
      </c>
      <c r="D47" s="4" t="s">
        <v>262</v>
      </c>
    </row>
    <row r="48" spans="3:10" x14ac:dyDescent="0.15">
      <c r="C48" s="12" t="s">
        <v>375</v>
      </c>
      <c r="D48" s="4" t="s">
        <v>263</v>
      </c>
    </row>
    <row r="49" spans="3:7" x14ac:dyDescent="0.15">
      <c r="C49" s="12" t="s">
        <v>376</v>
      </c>
      <c r="D49" s="4" t="s">
        <v>266</v>
      </c>
    </row>
    <row r="50" spans="3:7" x14ac:dyDescent="0.15">
      <c r="C50" s="12" t="s">
        <v>377</v>
      </c>
      <c r="D50" s="4" t="s">
        <v>267</v>
      </c>
    </row>
    <row r="51" spans="3:7" x14ac:dyDescent="0.15">
      <c r="C51" s="12" t="s">
        <v>378</v>
      </c>
      <c r="D51" s="4" t="s">
        <v>269</v>
      </c>
    </row>
    <row r="52" spans="3:7" x14ac:dyDescent="0.15">
      <c r="C52" s="12" t="s">
        <v>380</v>
      </c>
      <c r="D52" s="4" t="s">
        <v>270</v>
      </c>
    </row>
    <row r="53" spans="3:7" x14ac:dyDescent="0.15">
      <c r="C53" s="12" t="s">
        <v>382</v>
      </c>
      <c r="D53" s="4" t="s">
        <v>274</v>
      </c>
      <c r="G53" s="4" t="s">
        <v>531</v>
      </c>
    </row>
    <row r="54" spans="3:7" x14ac:dyDescent="0.15">
      <c r="C54" s="12" t="s">
        <v>275</v>
      </c>
      <c r="D54" s="4" t="s">
        <v>276</v>
      </c>
      <c r="G54" s="4" t="s">
        <v>532</v>
      </c>
    </row>
    <row r="55" spans="3:7" x14ac:dyDescent="0.15">
      <c r="C55" s="12" t="s">
        <v>383</v>
      </c>
      <c r="D55" s="4" t="s">
        <v>278</v>
      </c>
    </row>
    <row r="56" spans="3:7" x14ac:dyDescent="0.15">
      <c r="C56" s="12" t="s">
        <v>384</v>
      </c>
      <c r="D56" s="4" t="s">
        <v>11</v>
      </c>
      <c r="F56" s="13" t="s">
        <v>385</v>
      </c>
    </row>
    <row r="57" spans="3:7" x14ac:dyDescent="0.15">
      <c r="C57" s="12" t="s">
        <v>386</v>
      </c>
      <c r="D57" s="4" t="s">
        <v>282</v>
      </c>
    </row>
    <row r="58" spans="3:7" x14ac:dyDescent="0.15">
      <c r="C58" s="12" t="s">
        <v>169</v>
      </c>
      <c r="D58" s="4" t="s">
        <v>284</v>
      </c>
    </row>
    <row r="59" spans="3:7" x14ac:dyDescent="0.15">
      <c r="C59" s="12"/>
    </row>
    <row r="60" spans="3:7" ht="12" x14ac:dyDescent="0.15">
      <c r="C60" s="12"/>
      <c r="D60"/>
    </row>
    <row r="61" spans="3:7" x14ac:dyDescent="0.15">
      <c r="C61" s="12"/>
    </row>
  </sheetData>
  <mergeCells count="6">
    <mergeCell ref="G7:I7"/>
    <mergeCell ref="B16:C16"/>
    <mergeCell ref="D16:E16"/>
    <mergeCell ref="B7:C7"/>
    <mergeCell ref="D7:E7"/>
    <mergeCell ref="E10:F10"/>
  </mergeCells>
  <phoneticPr fontId="3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Q61"/>
  <sheetViews>
    <sheetView topLeftCell="A25" workbookViewId="0">
      <selection activeCell="O33" sqref="O33"/>
    </sheetView>
  </sheetViews>
  <sheetFormatPr defaultColWidth="9.109375" defaultRowHeight="10.8" x14ac:dyDescent="0.15"/>
  <cols>
    <col min="1" max="1" width="2.6640625" style="4" customWidth="1"/>
    <col min="2" max="14" width="8.33203125" style="4" customWidth="1"/>
    <col min="15" max="16384" width="9.109375" style="4"/>
  </cols>
  <sheetData>
    <row r="2" spans="2:17" x14ac:dyDescent="0.15">
      <c r="B2" s="4" t="s">
        <v>476</v>
      </c>
    </row>
    <row r="3" spans="2:17" x14ac:dyDescent="0.15">
      <c r="H3" s="15"/>
      <c r="I3" s="15"/>
      <c r="J3" s="15"/>
      <c r="O3" s="5"/>
      <c r="Q3" s="5"/>
    </row>
    <row r="4" spans="2:17" x14ac:dyDescent="0.15">
      <c r="B4" s="75" t="s">
        <v>293</v>
      </c>
      <c r="C4" s="64" t="s">
        <v>409</v>
      </c>
      <c r="D4" s="64" t="s">
        <v>432</v>
      </c>
      <c r="E4" s="64" t="s">
        <v>431</v>
      </c>
      <c r="F4" s="64" t="s">
        <v>430</v>
      </c>
      <c r="G4" s="64" t="s">
        <v>288</v>
      </c>
      <c r="H4" s="64" t="s">
        <v>347</v>
      </c>
      <c r="I4" s="91" t="s">
        <v>348</v>
      </c>
      <c r="J4" s="64"/>
      <c r="K4" s="65" t="s">
        <v>349</v>
      </c>
      <c r="O4" s="5"/>
      <c r="Q4" s="5"/>
    </row>
    <row r="5" spans="2:17" ht="12.6" x14ac:dyDescent="0.15">
      <c r="B5" s="92" t="s">
        <v>350</v>
      </c>
      <c r="C5" s="93" t="s">
        <v>350</v>
      </c>
      <c r="D5" s="93" t="s">
        <v>350</v>
      </c>
      <c r="E5" s="93" t="s">
        <v>350</v>
      </c>
      <c r="F5" s="93" t="s">
        <v>351</v>
      </c>
      <c r="G5" s="93" t="s">
        <v>351</v>
      </c>
      <c r="H5" s="93" t="s">
        <v>351</v>
      </c>
      <c r="I5" s="93" t="s">
        <v>351</v>
      </c>
      <c r="J5" s="93"/>
      <c r="K5" s="95" t="s">
        <v>353</v>
      </c>
      <c r="O5" s="5"/>
      <c r="Q5" s="5"/>
    </row>
    <row r="6" spans="2:17" x14ac:dyDescent="0.15">
      <c r="B6" s="78">
        <v>295</v>
      </c>
      <c r="C6" s="79">
        <v>21</v>
      </c>
      <c r="D6" s="97">
        <v>195</v>
      </c>
      <c r="E6" s="79">
        <f>C6/30</f>
        <v>0.7</v>
      </c>
      <c r="F6" s="97">
        <v>350</v>
      </c>
      <c r="G6" s="97">
        <v>1350</v>
      </c>
      <c r="H6" s="70">
        <f>G6-G12</f>
        <v>1254.1666666666667</v>
      </c>
      <c r="I6" s="70">
        <f>H6*7/8</f>
        <v>1097.3958333333335</v>
      </c>
      <c r="J6" s="98"/>
      <c r="K6" s="72">
        <f>B6*F9*I6/1000/1000</f>
        <v>751.70514964610345</v>
      </c>
      <c r="O6" s="5"/>
      <c r="Q6" s="5"/>
    </row>
    <row r="7" spans="2:17" ht="12" x14ac:dyDescent="0.15">
      <c r="B7" s="263" t="s">
        <v>2</v>
      </c>
      <c r="C7" s="264"/>
      <c r="D7" s="264" t="s">
        <v>3</v>
      </c>
      <c r="E7" s="264"/>
      <c r="F7" s="182" t="s">
        <v>68</v>
      </c>
      <c r="G7" s="257" t="s">
        <v>437</v>
      </c>
      <c r="H7" s="258"/>
      <c r="I7" s="259"/>
      <c r="J7" s="175" t="s">
        <v>456</v>
      </c>
      <c r="K7" s="186" t="s">
        <v>453</v>
      </c>
      <c r="O7" s="5"/>
      <c r="Q7" s="5"/>
    </row>
    <row r="8" spans="2:17" ht="12.6" x14ac:dyDescent="0.15">
      <c r="B8" s="83" t="s">
        <v>235</v>
      </c>
      <c r="C8" s="84" t="s">
        <v>236</v>
      </c>
      <c r="D8" s="84" t="s">
        <v>235</v>
      </c>
      <c r="E8" s="84" t="s">
        <v>237</v>
      </c>
      <c r="F8" s="151" t="s">
        <v>238</v>
      </c>
      <c r="G8" s="172" t="s">
        <v>235</v>
      </c>
      <c r="H8" s="198" t="s">
        <v>454</v>
      </c>
      <c r="I8" s="173" t="s">
        <v>455</v>
      </c>
      <c r="J8" s="144" t="s">
        <v>457</v>
      </c>
      <c r="K8" s="95" t="s">
        <v>458</v>
      </c>
      <c r="O8" s="5"/>
      <c r="Q8" s="5"/>
    </row>
    <row r="9" spans="2:17" ht="12" x14ac:dyDescent="0.15">
      <c r="B9" s="78" t="s">
        <v>123</v>
      </c>
      <c r="C9" s="70">
        <f>[2]!Bar(B9,11)*100</f>
        <v>1547.9999542236328</v>
      </c>
      <c r="D9" s="79" t="s">
        <v>452</v>
      </c>
      <c r="E9" s="131">
        <f>IF(D9="-",0,[2]!Bar(D9,11)*100)</f>
        <v>773.99997711181641</v>
      </c>
      <c r="F9" s="183">
        <f>+C9+E9</f>
        <v>2321.9999313354492</v>
      </c>
      <c r="G9" s="184" t="s">
        <v>435</v>
      </c>
      <c r="H9" s="96">
        <v>200</v>
      </c>
      <c r="I9" s="185">
        <f>[2]!Bar(G9,11)*100</f>
        <v>253.99999618530273</v>
      </c>
      <c r="J9" s="176">
        <f>I9/H9/F6</f>
        <v>3.6285713740757532E-3</v>
      </c>
      <c r="K9" s="187">
        <f>F6*I6*(E15*E6+0.5*D6*(J9-0.002))/1000</f>
        <v>334.36506497469315</v>
      </c>
      <c r="O9" s="5"/>
      <c r="Q9" s="5"/>
    </row>
    <row r="10" spans="2:17" x14ac:dyDescent="0.15">
      <c r="B10" s="177" t="s">
        <v>459</v>
      </c>
      <c r="C10" s="174" t="s">
        <v>436</v>
      </c>
      <c r="D10" s="174" t="s">
        <v>451</v>
      </c>
      <c r="E10" s="265" t="s">
        <v>448</v>
      </c>
      <c r="F10" s="266"/>
      <c r="G10" s="178" t="s">
        <v>354</v>
      </c>
      <c r="H10" s="136"/>
      <c r="I10" s="133"/>
      <c r="J10" s="133"/>
      <c r="K10" s="133"/>
      <c r="L10" s="137"/>
      <c r="O10" s="5"/>
      <c r="Q10" s="5"/>
    </row>
    <row r="11" spans="2:17" x14ac:dyDescent="0.15">
      <c r="B11" s="179" t="s">
        <v>208</v>
      </c>
      <c r="C11" s="76" t="s">
        <v>208</v>
      </c>
      <c r="D11" s="76" t="s">
        <v>208</v>
      </c>
      <c r="E11" s="144" t="s">
        <v>449</v>
      </c>
      <c r="F11" s="84" t="s">
        <v>450</v>
      </c>
      <c r="G11" s="77" t="s">
        <v>208</v>
      </c>
      <c r="H11" s="136"/>
      <c r="I11" s="133"/>
      <c r="J11" s="133"/>
      <c r="K11" s="133"/>
      <c r="L11" s="137"/>
      <c r="O11" s="5"/>
      <c r="Q11" s="5"/>
    </row>
    <row r="12" spans="2:17" x14ac:dyDescent="0.15">
      <c r="B12" s="180">
        <v>50</v>
      </c>
      <c r="C12" s="158">
        <f>VLOOKUP(RIGHT(B9,3),barφ!B3:C12,2)</f>
        <v>25</v>
      </c>
      <c r="D12" s="158">
        <f>VLOOKUP(RIGHT(G9,3),barφ!B3:C12,2)</f>
        <v>14</v>
      </c>
      <c r="E12" s="197">
        <f>B12+D12+C12/2</f>
        <v>76.5</v>
      </c>
      <c r="F12" s="82">
        <f>RIGHT(D9,2)*1.5+C12+E12</f>
        <v>134.5</v>
      </c>
      <c r="G12" s="181">
        <f>(LEFT(B9,1)*E12+LEFT(D9,1)*F12)/(LEFT(B9,1)+LEFT(D9,1))</f>
        <v>95.833333333333329</v>
      </c>
      <c r="H12" s="136"/>
      <c r="I12" s="133"/>
      <c r="J12" s="133"/>
      <c r="K12" s="133"/>
      <c r="L12" s="137"/>
      <c r="O12" s="5"/>
      <c r="Q12" s="5"/>
    </row>
    <row r="13" spans="2:17" x14ac:dyDescent="0.15">
      <c r="B13" s="75" t="s">
        <v>460</v>
      </c>
      <c r="C13" s="64" t="s">
        <v>461</v>
      </c>
      <c r="D13" s="64" t="s">
        <v>462</v>
      </c>
      <c r="E13" s="64" t="s">
        <v>463</v>
      </c>
      <c r="F13" s="191" t="s">
        <v>464</v>
      </c>
      <c r="G13" s="191" t="s">
        <v>465</v>
      </c>
      <c r="H13" s="191" t="s">
        <v>466</v>
      </c>
      <c r="I13" s="192" t="s">
        <v>467</v>
      </c>
      <c r="J13" s="133"/>
      <c r="K13" s="133"/>
      <c r="L13" s="137"/>
      <c r="O13" s="5"/>
      <c r="Q13" s="5"/>
    </row>
    <row r="14" spans="2:17" x14ac:dyDescent="0.15">
      <c r="B14" s="193" t="s">
        <v>469</v>
      </c>
      <c r="C14" s="194" t="s">
        <v>469</v>
      </c>
      <c r="D14" s="194" t="s">
        <v>469</v>
      </c>
      <c r="E14" s="73" t="s">
        <v>468</v>
      </c>
      <c r="F14" s="194" t="s">
        <v>469</v>
      </c>
      <c r="G14" s="194" t="s">
        <v>469</v>
      </c>
      <c r="H14" s="194"/>
      <c r="I14" s="195"/>
      <c r="J14" s="133"/>
      <c r="K14" s="133"/>
      <c r="L14" s="137"/>
      <c r="O14" s="5"/>
      <c r="Q14" s="5"/>
    </row>
    <row r="15" spans="2:17" x14ac:dyDescent="0.15">
      <c r="B15" s="188">
        <v>278</v>
      </c>
      <c r="C15" s="97">
        <v>218</v>
      </c>
      <c r="D15" s="97">
        <f>+H6</f>
        <v>1254.1666666666667</v>
      </c>
      <c r="E15" s="189">
        <f>B15*1000/C15/D15</f>
        <v>1.016794172330763</v>
      </c>
      <c r="F15" s="97">
        <v>107</v>
      </c>
      <c r="G15" s="97">
        <f>+G6</f>
        <v>1350</v>
      </c>
      <c r="H15" s="69">
        <f>F15/G15</f>
        <v>7.9259259259259265E-2</v>
      </c>
      <c r="I15" s="190">
        <f>+E15*E6*(1-H15)</f>
        <v>0.65534267358888654</v>
      </c>
      <c r="J15" s="139"/>
      <c r="K15" s="133"/>
      <c r="L15" s="137"/>
      <c r="O15" s="5"/>
      <c r="Q15" s="5"/>
    </row>
    <row r="16" spans="2:17" ht="12" x14ac:dyDescent="0.15">
      <c r="B16" s="260" t="s">
        <v>474</v>
      </c>
      <c r="C16" s="261"/>
      <c r="D16" s="262" t="s">
        <v>475</v>
      </c>
      <c r="E16" s="262"/>
      <c r="F16" s="64" t="s">
        <v>430</v>
      </c>
      <c r="G16" s="64" t="s">
        <v>328</v>
      </c>
      <c r="H16" s="191" t="s">
        <v>477</v>
      </c>
      <c r="I16" s="196" t="s">
        <v>433</v>
      </c>
      <c r="L16" s="137"/>
      <c r="O16" s="5"/>
      <c r="Q16" s="5"/>
    </row>
    <row r="17" spans="2:17" ht="12.6" x14ac:dyDescent="0.15">
      <c r="B17" s="66" t="s">
        <v>235</v>
      </c>
      <c r="C17" s="67" t="s">
        <v>472</v>
      </c>
      <c r="D17" s="67" t="s">
        <v>235</v>
      </c>
      <c r="E17" s="67" t="s">
        <v>473</v>
      </c>
      <c r="F17" s="73" t="s">
        <v>351</v>
      </c>
      <c r="G17" s="73" t="s">
        <v>351</v>
      </c>
      <c r="H17" s="203"/>
      <c r="I17" s="204"/>
      <c r="L17" s="137"/>
      <c r="O17" s="5"/>
      <c r="Q17" s="5"/>
    </row>
    <row r="18" spans="2:17" x14ac:dyDescent="0.15">
      <c r="B18" s="78" t="s">
        <v>410</v>
      </c>
      <c r="C18" s="70">
        <f>[2]!Bar(B18,11)*100</f>
        <v>253.99999618530273</v>
      </c>
      <c r="D18" s="79"/>
      <c r="E18" s="70" t="str">
        <f>IF(D18="","-",[2]!Bar(D18,11)*100*2^0.5)</f>
        <v>-</v>
      </c>
      <c r="F18" s="205">
        <f>+F6</f>
        <v>350</v>
      </c>
      <c r="G18" s="96">
        <v>200</v>
      </c>
      <c r="H18" s="206">
        <f>IF(D18="",C18/F6/G18,(C18+E18*2^0.5)/F6/G18)</f>
        <v>3.6285713740757536E-3</v>
      </c>
      <c r="I18" s="207">
        <f>0.5*D6*(H18-0.002)</f>
        <v>0.15878570897238597</v>
      </c>
      <c r="L18" s="137"/>
      <c r="O18" s="5"/>
      <c r="Q18" s="5"/>
    </row>
    <row r="19" spans="2:17" x14ac:dyDescent="0.15">
      <c r="B19" s="201"/>
      <c r="C19" s="202" t="s">
        <v>470</v>
      </c>
      <c r="D19" s="64" t="s">
        <v>471</v>
      </c>
      <c r="E19" s="65" t="s">
        <v>175</v>
      </c>
      <c r="L19" s="137"/>
      <c r="O19" s="5"/>
      <c r="Q19" s="5"/>
    </row>
    <row r="20" spans="2:17" x14ac:dyDescent="0.15">
      <c r="B20" s="193" t="s">
        <v>434</v>
      </c>
      <c r="C20" s="73" t="s">
        <v>458</v>
      </c>
      <c r="D20" s="73" t="s">
        <v>458</v>
      </c>
      <c r="E20" s="74"/>
      <c r="J20" s="139"/>
      <c r="K20" s="133"/>
      <c r="L20" s="137"/>
      <c r="O20" s="5"/>
      <c r="Q20" s="5"/>
    </row>
    <row r="21" spans="2:17" x14ac:dyDescent="0.15">
      <c r="B21" s="199">
        <f>+I15+I18</f>
        <v>0.81412838256127251</v>
      </c>
      <c r="C21" s="98">
        <f>F6*I6*B21/1000</f>
        <v>312.69738318740133</v>
      </c>
      <c r="D21" s="71">
        <f>+C15/C21</f>
        <v>0.6971596556960995</v>
      </c>
      <c r="E21" s="200" t="str">
        <f>IF(D21&lt;1,"OK","NG")</f>
        <v>OK</v>
      </c>
      <c r="G21" s="4" t="s">
        <v>478</v>
      </c>
      <c r="K21" s="133"/>
      <c r="L21" s="137"/>
      <c r="O21" s="5"/>
      <c r="Q21" s="5"/>
    </row>
    <row r="22" spans="2:17" x14ac:dyDescent="0.15">
      <c r="L22" s="137"/>
    </row>
    <row r="24" spans="2:17" ht="12" x14ac:dyDescent="0.15">
      <c r="C24" s="21" t="s">
        <v>387</v>
      </c>
      <c r="D24" s="4" t="s">
        <v>391</v>
      </c>
      <c r="E24"/>
      <c r="F24"/>
      <c r="G24"/>
      <c r="H24"/>
      <c r="I24" s="132" t="s">
        <v>129</v>
      </c>
    </row>
    <row r="25" spans="2:17" ht="12" x14ac:dyDescent="0.15">
      <c r="C25" s="21"/>
      <c r="D25" s="4" t="s">
        <v>388</v>
      </c>
      <c r="E25"/>
      <c r="F25"/>
      <c r="G25"/>
      <c r="H25"/>
    </row>
    <row r="26" spans="2:17" ht="12" x14ac:dyDescent="0.15">
      <c r="C26" s="21" t="s">
        <v>389</v>
      </c>
      <c r="D26" s="4" t="s">
        <v>390</v>
      </c>
      <c r="E26"/>
      <c r="F26"/>
      <c r="G26"/>
      <c r="H26"/>
    </row>
    <row r="27" spans="2:17" ht="12.6" x14ac:dyDescent="0.15">
      <c r="C27" s="21" t="s">
        <v>392</v>
      </c>
      <c r="D27" s="4" t="s">
        <v>393</v>
      </c>
      <c r="E27"/>
      <c r="F27"/>
      <c r="G27"/>
      <c r="H27"/>
    </row>
    <row r="28" spans="2:17" ht="12" x14ac:dyDescent="0.15">
      <c r="C28" s="21" t="s">
        <v>394</v>
      </c>
      <c r="D28" s="4" t="s">
        <v>395</v>
      </c>
      <c r="E28"/>
      <c r="F28"/>
      <c r="G28"/>
      <c r="H28"/>
    </row>
    <row r="29" spans="2:17" ht="12" x14ac:dyDescent="0.15">
      <c r="C29" s="21" t="s">
        <v>9</v>
      </c>
      <c r="D29" s="4" t="s">
        <v>396</v>
      </c>
      <c r="E29"/>
      <c r="F29"/>
      <c r="G29"/>
      <c r="H29"/>
    </row>
    <row r="30" spans="2:17" ht="12" x14ac:dyDescent="0.15">
      <c r="C30" s="21" t="s">
        <v>65</v>
      </c>
      <c r="D30" s="4" t="s">
        <v>397</v>
      </c>
      <c r="E30"/>
      <c r="F30"/>
      <c r="G30"/>
      <c r="H30"/>
    </row>
    <row r="31" spans="2:17" ht="12" x14ac:dyDescent="0.15">
      <c r="C31" s="21" t="s">
        <v>398</v>
      </c>
      <c r="D31" t="s">
        <v>399</v>
      </c>
      <c r="E31"/>
      <c r="F31"/>
      <c r="G31"/>
      <c r="H31"/>
    </row>
    <row r="32" spans="2:17" ht="12" x14ac:dyDescent="0.15">
      <c r="C32" s="21" t="s">
        <v>400</v>
      </c>
      <c r="D32" s="4" t="s">
        <v>401</v>
      </c>
      <c r="E32"/>
      <c r="F32"/>
      <c r="G32"/>
      <c r="H32"/>
    </row>
    <row r="33" spans="3:10" ht="12" x14ac:dyDescent="0.15">
      <c r="C33" s="21"/>
      <c r="D33" s="4" t="s">
        <v>402</v>
      </c>
      <c r="E33"/>
      <c r="F33"/>
      <c r="G33"/>
      <c r="H33"/>
    </row>
    <row r="34" spans="3:10" ht="12" x14ac:dyDescent="0.15">
      <c r="C34" s="21" t="s">
        <v>403</v>
      </c>
      <c r="D34" s="4" t="s">
        <v>404</v>
      </c>
      <c r="E34"/>
      <c r="F34"/>
      <c r="G34"/>
      <c r="H34"/>
    </row>
    <row r="35" spans="3:10" ht="12" x14ac:dyDescent="0.15">
      <c r="C35" s="21"/>
      <c r="D35" s="4" t="s">
        <v>405</v>
      </c>
      <c r="E35"/>
      <c r="F35"/>
      <c r="G35"/>
      <c r="H35"/>
    </row>
    <row r="36" spans="3:10" ht="12" x14ac:dyDescent="0.15">
      <c r="C36" s="21" t="s">
        <v>406</v>
      </c>
      <c r="D36" s="4" t="s">
        <v>407</v>
      </c>
      <c r="E36"/>
      <c r="F36"/>
      <c r="G36"/>
      <c r="H36"/>
    </row>
    <row r="37" spans="3:10" x14ac:dyDescent="0.15">
      <c r="C37" s="12" t="s">
        <v>164</v>
      </c>
      <c r="D37" s="4" t="s">
        <v>408</v>
      </c>
    </row>
    <row r="38" spans="3:10" x14ac:dyDescent="0.15">
      <c r="C38" s="12" t="s">
        <v>384</v>
      </c>
      <c r="D38" s="4" t="s">
        <v>11</v>
      </c>
    </row>
    <row r="39" spans="3:10" x14ac:dyDescent="0.15">
      <c r="C39" s="12"/>
    </row>
    <row r="40" spans="3:10" x14ac:dyDescent="0.15">
      <c r="C40" s="12"/>
    </row>
    <row r="41" spans="3:10" x14ac:dyDescent="0.15">
      <c r="C41" s="12"/>
    </row>
    <row r="42" spans="3:10" ht="12" x14ac:dyDescent="0.15">
      <c r="C42" s="21" t="s">
        <v>370</v>
      </c>
      <c r="D42" t="s">
        <v>153</v>
      </c>
      <c r="E42"/>
      <c r="F42"/>
      <c r="G42"/>
      <c r="H42"/>
      <c r="J42" s="5"/>
    </row>
    <row r="43" spans="3:10" ht="12" x14ac:dyDescent="0.15">
      <c r="C43" s="21" t="s">
        <v>371</v>
      </c>
      <c r="D43" t="s">
        <v>156</v>
      </c>
    </row>
    <row r="44" spans="3:10" x14ac:dyDescent="0.15">
      <c r="C44" s="12" t="s">
        <v>372</v>
      </c>
      <c r="D44" s="4" t="s">
        <v>62</v>
      </c>
    </row>
    <row r="45" spans="3:10" x14ac:dyDescent="0.15">
      <c r="C45" s="12" t="s">
        <v>373</v>
      </c>
      <c r="D45" s="4" t="s">
        <v>63</v>
      </c>
      <c r="I45" s="4" t="s">
        <v>87</v>
      </c>
    </row>
    <row r="46" spans="3:10" x14ac:dyDescent="0.15">
      <c r="C46" s="12" t="s">
        <v>88</v>
      </c>
      <c r="D46" s="4" t="s">
        <v>89</v>
      </c>
    </row>
    <row r="47" spans="3:10" x14ac:dyDescent="0.15">
      <c r="C47" s="12" t="s">
        <v>374</v>
      </c>
      <c r="D47" s="4" t="s">
        <v>262</v>
      </c>
    </row>
    <row r="48" spans="3:10" x14ac:dyDescent="0.15">
      <c r="C48" s="12" t="s">
        <v>375</v>
      </c>
      <c r="D48" s="4" t="s">
        <v>263</v>
      </c>
    </row>
    <row r="49" spans="3:7" x14ac:dyDescent="0.15">
      <c r="C49" s="12" t="s">
        <v>376</v>
      </c>
      <c r="D49" s="4" t="s">
        <v>266</v>
      </c>
    </row>
    <row r="50" spans="3:7" x14ac:dyDescent="0.15">
      <c r="C50" s="12" t="s">
        <v>377</v>
      </c>
      <c r="D50" s="4" t="s">
        <v>267</v>
      </c>
    </row>
    <row r="51" spans="3:7" x14ac:dyDescent="0.15">
      <c r="C51" s="12" t="s">
        <v>378</v>
      </c>
      <c r="D51" s="4" t="s">
        <v>269</v>
      </c>
    </row>
    <row r="52" spans="3:7" x14ac:dyDescent="0.15">
      <c r="C52" s="12" t="s">
        <v>380</v>
      </c>
      <c r="D52" s="4" t="s">
        <v>270</v>
      </c>
    </row>
    <row r="53" spans="3:7" x14ac:dyDescent="0.15">
      <c r="C53" s="12" t="s">
        <v>382</v>
      </c>
      <c r="D53" s="4" t="s">
        <v>274</v>
      </c>
      <c r="G53" s="4" t="s">
        <v>379</v>
      </c>
    </row>
    <row r="54" spans="3:7" x14ac:dyDescent="0.15">
      <c r="C54" s="12" t="s">
        <v>275</v>
      </c>
      <c r="D54" s="4" t="s">
        <v>276</v>
      </c>
      <c r="G54" s="4" t="s">
        <v>381</v>
      </c>
    </row>
    <row r="55" spans="3:7" x14ac:dyDescent="0.15">
      <c r="C55" s="12" t="s">
        <v>383</v>
      </c>
      <c r="D55" s="4" t="s">
        <v>278</v>
      </c>
    </row>
    <row r="56" spans="3:7" x14ac:dyDescent="0.15">
      <c r="C56" s="12" t="s">
        <v>384</v>
      </c>
      <c r="D56" s="4" t="s">
        <v>11</v>
      </c>
      <c r="F56" s="13" t="s">
        <v>385</v>
      </c>
    </row>
    <row r="57" spans="3:7" x14ac:dyDescent="0.15">
      <c r="C57" s="12" t="s">
        <v>386</v>
      </c>
      <c r="D57" s="4" t="s">
        <v>282</v>
      </c>
    </row>
    <row r="58" spans="3:7" x14ac:dyDescent="0.15">
      <c r="C58" s="12" t="s">
        <v>169</v>
      </c>
      <c r="D58" s="4" t="s">
        <v>284</v>
      </c>
    </row>
    <row r="59" spans="3:7" x14ac:dyDescent="0.15">
      <c r="C59" s="12"/>
    </row>
    <row r="60" spans="3:7" ht="12" x14ac:dyDescent="0.15">
      <c r="C60" s="12"/>
      <c r="D60"/>
    </row>
    <row r="61" spans="3:7" x14ac:dyDescent="0.15">
      <c r="C61" s="12"/>
    </row>
  </sheetData>
  <mergeCells count="6">
    <mergeCell ref="G7:I7"/>
    <mergeCell ref="B16:C16"/>
    <mergeCell ref="D16:E16"/>
    <mergeCell ref="B7:C7"/>
    <mergeCell ref="D7:E7"/>
    <mergeCell ref="E10:F10"/>
  </mergeCells>
  <phoneticPr fontId="3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85"/>
  <sheetViews>
    <sheetView workbookViewId="0">
      <selection activeCell="G31" sqref="G31"/>
    </sheetView>
  </sheetViews>
  <sheetFormatPr defaultColWidth="9.109375" defaultRowHeight="10.8" x14ac:dyDescent="0.15"/>
  <cols>
    <col min="1" max="1" width="2.6640625" style="4" customWidth="1"/>
    <col min="2" max="11" width="9.6640625" style="4" customWidth="1"/>
    <col min="12" max="16384" width="9.109375" style="4"/>
  </cols>
  <sheetData>
    <row r="1" spans="2:17" x14ac:dyDescent="0.15">
      <c r="J1" s="137"/>
      <c r="K1" s="137"/>
      <c r="L1" s="137"/>
      <c r="M1" s="137"/>
      <c r="N1" s="137"/>
      <c r="O1" s="137"/>
    </row>
    <row r="2" spans="2:17" x14ac:dyDescent="0.15">
      <c r="B2" s="4" t="s">
        <v>284</v>
      </c>
      <c r="J2" s="137"/>
      <c r="K2" s="137"/>
      <c r="L2" s="137"/>
      <c r="M2" s="137"/>
      <c r="N2" s="137"/>
      <c r="O2" s="137"/>
    </row>
    <row r="3" spans="2:17" x14ac:dyDescent="0.15">
      <c r="H3" s="15"/>
      <c r="I3" s="15"/>
      <c r="J3" s="146"/>
      <c r="K3" s="137"/>
      <c r="L3" s="137"/>
      <c r="M3" s="137"/>
      <c r="N3" s="137"/>
      <c r="O3" s="149"/>
      <c r="Q3" s="5"/>
    </row>
    <row r="4" spans="2:17" x14ac:dyDescent="0.15">
      <c r="B4" s="2" t="s">
        <v>428</v>
      </c>
      <c r="C4" s="8"/>
      <c r="D4" s="2"/>
      <c r="E4" s="274"/>
      <c r="J4" s="137"/>
      <c r="K4" s="137"/>
      <c r="L4" s="137"/>
      <c r="M4" s="137"/>
      <c r="N4" s="137"/>
      <c r="O4" s="149"/>
      <c r="Q4" s="5"/>
    </row>
    <row r="5" spans="2:17" ht="12.6" x14ac:dyDescent="0.15">
      <c r="B5" s="6" t="s">
        <v>350</v>
      </c>
      <c r="C5" s="9"/>
      <c r="D5" s="6"/>
      <c r="E5" s="275"/>
      <c r="J5" s="137"/>
      <c r="K5" s="137"/>
      <c r="L5" s="137"/>
      <c r="M5" s="137"/>
      <c r="N5" s="137"/>
      <c r="O5" s="149"/>
      <c r="Q5" s="5"/>
    </row>
    <row r="6" spans="2:17" x14ac:dyDescent="0.15">
      <c r="B6" s="160">
        <v>36</v>
      </c>
      <c r="C6" s="170">
        <v>295</v>
      </c>
      <c r="D6" s="160"/>
      <c r="E6" s="160"/>
      <c r="J6" s="137"/>
      <c r="K6" s="137"/>
      <c r="L6" s="137"/>
      <c r="M6" s="137"/>
      <c r="N6" s="137"/>
      <c r="O6" s="149"/>
      <c r="Q6" s="5"/>
    </row>
    <row r="7" spans="2:17" x14ac:dyDescent="0.15">
      <c r="B7" s="64" t="s">
        <v>423</v>
      </c>
      <c r="C7" s="64" t="s">
        <v>288</v>
      </c>
      <c r="D7" s="16" t="s">
        <v>429</v>
      </c>
      <c r="E7" s="64" t="s">
        <v>347</v>
      </c>
      <c r="F7" s="157" t="s">
        <v>348</v>
      </c>
      <c r="G7" s="138"/>
      <c r="H7" s="133"/>
      <c r="I7" s="133"/>
      <c r="J7" s="139"/>
      <c r="K7" s="147"/>
      <c r="L7" s="137"/>
      <c r="M7" s="137"/>
      <c r="N7" s="137"/>
      <c r="O7" s="149"/>
      <c r="Q7" s="5"/>
    </row>
    <row r="8" spans="2:17" x14ac:dyDescent="0.15">
      <c r="B8" s="93" t="s">
        <v>351</v>
      </c>
      <c r="C8" s="93" t="s">
        <v>351</v>
      </c>
      <c r="D8" s="93" t="s">
        <v>351</v>
      </c>
      <c r="E8" s="93" t="s">
        <v>351</v>
      </c>
      <c r="F8" s="155" t="s">
        <v>351</v>
      </c>
      <c r="G8" s="138"/>
      <c r="H8" s="133"/>
      <c r="I8" s="133"/>
      <c r="J8" s="139"/>
      <c r="K8" s="147"/>
      <c r="L8" s="137"/>
      <c r="M8" s="137"/>
      <c r="N8" s="137"/>
      <c r="O8" s="149"/>
      <c r="Q8" s="5"/>
    </row>
    <row r="9" spans="2:17" x14ac:dyDescent="0.15">
      <c r="B9" s="154">
        <v>650</v>
      </c>
      <c r="C9" s="154">
        <v>2300</v>
      </c>
      <c r="D9" s="153">
        <v>206</v>
      </c>
      <c r="E9" s="158">
        <f>C9-D9</f>
        <v>2094</v>
      </c>
      <c r="F9" s="159">
        <f>E9*7/8</f>
        <v>1832.25</v>
      </c>
      <c r="G9" s="138"/>
      <c r="H9" s="133"/>
      <c r="I9" s="133"/>
      <c r="J9" s="139"/>
      <c r="K9" s="147"/>
      <c r="L9" s="137"/>
      <c r="M9" s="137"/>
      <c r="N9" s="137"/>
      <c r="O9" s="149"/>
      <c r="Q9" s="5"/>
    </row>
    <row r="10" spans="2:17" x14ac:dyDescent="0.15">
      <c r="B10" s="137"/>
      <c r="C10" s="137"/>
      <c r="D10" s="137"/>
      <c r="E10" s="137"/>
      <c r="F10" s="137"/>
      <c r="G10" s="137"/>
      <c r="H10" s="137"/>
      <c r="I10" s="137"/>
      <c r="J10" s="139"/>
      <c r="K10" s="147"/>
      <c r="L10" s="137"/>
      <c r="M10" s="137"/>
      <c r="N10" s="137"/>
      <c r="O10" s="149"/>
      <c r="Q10" s="5"/>
    </row>
    <row r="11" spans="2:17" x14ac:dyDescent="0.15">
      <c r="B11" s="136"/>
      <c r="F11" s="6" t="s">
        <v>418</v>
      </c>
      <c r="G11" s="6" t="s">
        <v>417</v>
      </c>
      <c r="H11" s="171" t="s">
        <v>419</v>
      </c>
      <c r="I11" s="133"/>
      <c r="J11" s="139"/>
      <c r="K11" s="147"/>
      <c r="L11" s="137"/>
      <c r="M11" s="137"/>
      <c r="N11" s="137"/>
      <c r="O11" s="149"/>
      <c r="Q11" s="5"/>
    </row>
    <row r="12" spans="2:17" ht="12.6" x14ac:dyDescent="0.15">
      <c r="B12" s="136"/>
      <c r="F12" s="1" t="s">
        <v>353</v>
      </c>
      <c r="G12" s="1" t="s">
        <v>350</v>
      </c>
      <c r="H12" s="167"/>
      <c r="I12" s="133"/>
      <c r="J12" s="139"/>
      <c r="K12" s="147"/>
      <c r="L12" s="137"/>
      <c r="M12" s="137"/>
      <c r="N12" s="137"/>
      <c r="O12" s="149"/>
      <c r="Q12" s="5"/>
    </row>
    <row r="13" spans="2:17" x14ac:dyDescent="0.15">
      <c r="B13" s="136"/>
      <c r="F13" s="161">
        <v>1.57</v>
      </c>
      <c r="G13" s="162">
        <v>0.85</v>
      </c>
      <c r="H13" s="156">
        <f>G13*F13</f>
        <v>1.3345</v>
      </c>
      <c r="I13" s="133"/>
      <c r="J13" s="139"/>
      <c r="K13" s="147"/>
      <c r="L13" s="137"/>
      <c r="M13" s="137"/>
      <c r="N13" s="137"/>
      <c r="O13" s="149"/>
      <c r="Q13" s="5"/>
    </row>
    <row r="14" spans="2:17" x14ac:dyDescent="0.15">
      <c r="B14" s="1"/>
      <c r="C14" s="1"/>
      <c r="D14" s="1"/>
      <c r="E14" s="1"/>
      <c r="F14" s="163"/>
      <c r="G14" s="163"/>
      <c r="H14" s="168"/>
      <c r="I14" s="148"/>
      <c r="J14" s="139"/>
      <c r="K14" s="147"/>
      <c r="L14" s="137"/>
      <c r="M14" s="137"/>
      <c r="N14" s="137"/>
      <c r="O14" s="149"/>
      <c r="Q14" s="5"/>
    </row>
    <row r="15" spans="2:17" ht="12.6" x14ac:dyDescent="0.15">
      <c r="B15" s="1" t="s">
        <v>427</v>
      </c>
      <c r="C15" s="1" t="s">
        <v>423</v>
      </c>
      <c r="D15" s="1" t="s">
        <v>235</v>
      </c>
      <c r="E15" s="1" t="s">
        <v>236</v>
      </c>
      <c r="F15" s="1" t="s">
        <v>424</v>
      </c>
      <c r="G15" s="1" t="s">
        <v>421</v>
      </c>
      <c r="H15" s="168"/>
      <c r="I15" s="148"/>
      <c r="J15" s="148"/>
      <c r="K15" s="148"/>
      <c r="L15" s="137"/>
      <c r="M15" s="137"/>
      <c r="N15" s="137"/>
      <c r="O15" s="137"/>
    </row>
    <row r="16" spans="2:17" ht="12" x14ac:dyDescent="0.15">
      <c r="B16" s="7">
        <v>195</v>
      </c>
      <c r="C16" s="164">
        <f>+B9</f>
        <v>650</v>
      </c>
      <c r="D16" s="160" t="s">
        <v>410</v>
      </c>
      <c r="E16" s="7">
        <f>[2]!Bar(D16,11)*100</f>
        <v>253.99999618530273</v>
      </c>
      <c r="F16" s="160">
        <v>150</v>
      </c>
      <c r="G16" s="165">
        <f>E16/C16/F16</f>
        <v>2.6051281660031049E-3</v>
      </c>
      <c r="H16" s="169">
        <f>0.5*B16*(G16-0.002)</f>
        <v>5.8999996185302724E-2</v>
      </c>
      <c r="I16" s="144"/>
      <c r="J16" s="148"/>
      <c r="K16" s="148"/>
      <c r="L16" s="148"/>
      <c r="M16" s="148"/>
      <c r="N16" s="137"/>
      <c r="O16" s="137"/>
    </row>
    <row r="17" spans="1:15" x14ac:dyDescent="0.15">
      <c r="C17" s="5"/>
      <c r="D17" s="136"/>
      <c r="E17" s="10"/>
      <c r="F17" s="10"/>
      <c r="G17" s="1" t="s">
        <v>416</v>
      </c>
      <c r="H17" s="1"/>
      <c r="I17" s="6"/>
      <c r="J17" s="136"/>
      <c r="K17" s="133"/>
      <c r="L17" s="145"/>
      <c r="M17" s="133"/>
      <c r="N17" s="137"/>
      <c r="O17" s="137"/>
    </row>
    <row r="18" spans="1:15" x14ac:dyDescent="0.15">
      <c r="C18" s="5"/>
      <c r="D18" s="136"/>
      <c r="E18" s="7" t="s">
        <v>423</v>
      </c>
      <c r="F18" s="160" t="s">
        <v>425</v>
      </c>
      <c r="G18" s="1" t="s">
        <v>352</v>
      </c>
      <c r="H18" s="1"/>
      <c r="I18" s="10"/>
      <c r="J18" s="136"/>
      <c r="K18" s="133"/>
      <c r="L18" s="145"/>
      <c r="M18" s="133"/>
      <c r="N18" s="137"/>
      <c r="O18" s="137"/>
    </row>
    <row r="19" spans="1:15" ht="12" x14ac:dyDescent="0.15">
      <c r="C19" s="5"/>
      <c r="D19" s="136"/>
      <c r="E19" s="7">
        <f>B9</f>
        <v>650</v>
      </c>
      <c r="F19" s="7">
        <f>+F9</f>
        <v>1832.25</v>
      </c>
      <c r="G19" s="166">
        <f>+E19*F19</f>
        <v>1190962.5</v>
      </c>
      <c r="H19" s="165">
        <f>+H16+H13</f>
        <v>1.3934999961853027</v>
      </c>
      <c r="I19" s="7">
        <f>E19*F19*H19/1000</f>
        <v>1659.6062392068386</v>
      </c>
      <c r="J19" s="136"/>
      <c r="K19" s="133"/>
      <c r="L19" s="145"/>
      <c r="M19" s="133"/>
      <c r="N19" s="137"/>
      <c r="O19" s="137"/>
    </row>
    <row r="20" spans="1:15" x14ac:dyDescent="0.15">
      <c r="J20" s="136"/>
      <c r="K20" s="133"/>
      <c r="L20" s="145"/>
      <c r="M20" s="133"/>
      <c r="N20" s="137"/>
      <c r="O20" s="137"/>
    </row>
    <row r="21" spans="1:15" x14ac:dyDescent="0.15">
      <c r="C21" s="5"/>
      <c r="D21" s="136"/>
      <c r="J21" s="136"/>
      <c r="K21" s="133"/>
      <c r="L21" s="145"/>
      <c r="M21" s="133"/>
      <c r="N21" s="137"/>
      <c r="O21" s="137"/>
    </row>
    <row r="22" spans="1:15" ht="12" x14ac:dyDescent="0.15">
      <c r="C22" s="5"/>
      <c r="D22" s="136"/>
      <c r="E22" s="133"/>
      <c r="F22" s="138"/>
      <c r="G22" s="142"/>
      <c r="H22" s="143"/>
      <c r="I22" s="144"/>
      <c r="J22" s="136"/>
      <c r="K22" s="133"/>
      <c r="L22" s="145"/>
      <c r="M22" s="133"/>
    </row>
    <row r="23" spans="1:15" x14ac:dyDescent="0.15">
      <c r="A23" s="137"/>
      <c r="J23" s="136"/>
      <c r="K23" s="133"/>
      <c r="L23" s="145"/>
      <c r="M23" s="133"/>
    </row>
    <row r="24" spans="1:15" ht="11.25" customHeight="1" x14ac:dyDescent="0.15">
      <c r="A24" s="137"/>
      <c r="J24" s="136"/>
      <c r="K24" s="133"/>
      <c r="L24" s="145"/>
      <c r="M24" s="133"/>
    </row>
    <row r="25" spans="1:15" x14ac:dyDescent="0.15">
      <c r="A25" s="137"/>
      <c r="J25" s="136"/>
      <c r="K25" s="133"/>
      <c r="L25" s="145"/>
      <c r="M25" s="133"/>
    </row>
    <row r="26" spans="1:15" x14ac:dyDescent="0.15">
      <c r="A26" s="137"/>
      <c r="J26" s="136"/>
      <c r="K26" s="133"/>
      <c r="L26" s="145"/>
      <c r="M26" s="133"/>
    </row>
    <row r="27" spans="1:15" x14ac:dyDescent="0.15">
      <c r="A27" s="137"/>
      <c r="J27" s="136"/>
      <c r="K27" s="133"/>
      <c r="L27" s="145"/>
      <c r="M27" s="133"/>
    </row>
    <row r="28" spans="1:15" x14ac:dyDescent="0.15">
      <c r="A28" s="137"/>
      <c r="J28" s="136"/>
      <c r="K28" s="133"/>
      <c r="L28" s="145"/>
      <c r="M28" s="133"/>
    </row>
    <row r="29" spans="1:15" x14ac:dyDescent="0.15">
      <c r="A29" s="137"/>
      <c r="J29" s="136"/>
      <c r="K29" s="133"/>
      <c r="L29" s="145"/>
      <c r="M29" s="133"/>
    </row>
    <row r="30" spans="1:15" x14ac:dyDescent="0.15">
      <c r="A30" s="137"/>
      <c r="J30" s="136"/>
      <c r="K30" s="133"/>
      <c r="L30" s="145"/>
      <c r="M30" s="133"/>
    </row>
    <row r="31" spans="1:15" x14ac:dyDescent="0.15">
      <c r="A31" s="137"/>
      <c r="J31" s="136"/>
      <c r="K31" s="133"/>
      <c r="L31" s="145"/>
      <c r="M31" s="133"/>
    </row>
    <row r="32" spans="1:15" x14ac:dyDescent="0.15">
      <c r="A32" s="137"/>
      <c r="J32" s="136"/>
      <c r="K32" s="133"/>
      <c r="L32" s="145"/>
      <c r="M32" s="133"/>
    </row>
    <row r="33" spans="1:13" x14ac:dyDescent="0.15">
      <c r="A33" s="137"/>
      <c r="J33" s="136"/>
      <c r="K33" s="133"/>
      <c r="L33" s="145"/>
      <c r="M33" s="133"/>
    </row>
    <row r="34" spans="1:13" x14ac:dyDescent="0.15">
      <c r="A34" s="137"/>
      <c r="J34" s="136"/>
      <c r="K34" s="133"/>
      <c r="L34" s="145"/>
      <c r="M34" s="133"/>
    </row>
    <row r="35" spans="1:13" x14ac:dyDescent="0.15">
      <c r="A35" s="137"/>
      <c r="J35" s="136"/>
      <c r="K35" s="133"/>
      <c r="L35" s="145"/>
      <c r="M35" s="133"/>
    </row>
    <row r="36" spans="1:13" x14ac:dyDescent="0.15">
      <c r="A36" s="137"/>
      <c r="J36" s="136"/>
      <c r="K36" s="133"/>
      <c r="L36" s="145"/>
      <c r="M36" s="133"/>
    </row>
    <row r="37" spans="1:13" x14ac:dyDescent="0.15">
      <c r="A37" s="137"/>
      <c r="B37" s="75" t="s">
        <v>293</v>
      </c>
      <c r="D37" s="264" t="s">
        <v>345</v>
      </c>
      <c r="E37" s="90"/>
      <c r="J37" s="136"/>
      <c r="K37" s="133"/>
      <c r="L37" s="145"/>
      <c r="M37" s="133"/>
    </row>
    <row r="38" spans="1:13" ht="12.6" x14ac:dyDescent="0.15">
      <c r="A38" s="137"/>
      <c r="B38" s="92" t="s">
        <v>350</v>
      </c>
      <c r="D38" s="280"/>
      <c r="E38" s="94"/>
      <c r="J38" s="136"/>
      <c r="K38" s="133"/>
      <c r="L38" s="145"/>
      <c r="M38" s="133"/>
    </row>
    <row r="39" spans="1:13" x14ac:dyDescent="0.15">
      <c r="A39" s="137"/>
      <c r="B39" s="78">
        <v>220</v>
      </c>
      <c r="D39" s="79">
        <v>15</v>
      </c>
      <c r="E39" s="96"/>
      <c r="J39" s="136"/>
      <c r="K39" s="133"/>
      <c r="L39" s="145"/>
      <c r="M39" s="133"/>
    </row>
    <row r="40" spans="1:13" x14ac:dyDescent="0.15">
      <c r="A40" s="137"/>
      <c r="B40" s="64" t="s">
        <v>346</v>
      </c>
      <c r="C40" s="64" t="s">
        <v>288</v>
      </c>
      <c r="D40" s="64" t="s">
        <v>347</v>
      </c>
      <c r="E40" s="91" t="s">
        <v>348</v>
      </c>
      <c r="F40" s="64" t="s">
        <v>416</v>
      </c>
      <c r="G40" s="138"/>
      <c r="H40" s="133"/>
      <c r="I40" s="133"/>
      <c r="J40" s="136"/>
      <c r="K40" s="133"/>
      <c r="L40" s="145"/>
      <c r="M40" s="133"/>
    </row>
    <row r="41" spans="1:13" x14ac:dyDescent="0.15">
      <c r="A41" s="137"/>
      <c r="B41" s="93" t="s">
        <v>351</v>
      </c>
      <c r="C41" s="93" t="s">
        <v>351</v>
      </c>
      <c r="D41" s="93" t="s">
        <v>351</v>
      </c>
      <c r="E41" s="93" t="s">
        <v>351</v>
      </c>
      <c r="F41" s="93" t="s">
        <v>352</v>
      </c>
      <c r="G41" s="138"/>
      <c r="H41" s="133"/>
      <c r="I41" s="133"/>
      <c r="J41" s="136"/>
      <c r="K41" s="133"/>
      <c r="L41" s="145"/>
      <c r="M41" s="133"/>
    </row>
    <row r="42" spans="1:13" x14ac:dyDescent="0.15">
      <c r="A42" s="137"/>
      <c r="B42" s="97">
        <v>650</v>
      </c>
      <c r="C42" s="97">
        <v>2300</v>
      </c>
      <c r="D42" s="70">
        <f>C42-206</f>
        <v>2094</v>
      </c>
      <c r="E42" s="70">
        <f>D42*7/8</f>
        <v>1832.25</v>
      </c>
      <c r="F42" s="98">
        <f>B42*E42</f>
        <v>1190962.5</v>
      </c>
      <c r="G42" s="138"/>
      <c r="H42" s="133"/>
      <c r="I42" s="133"/>
      <c r="J42" s="136"/>
      <c r="K42" s="133"/>
      <c r="L42" s="145"/>
      <c r="M42" s="133"/>
    </row>
    <row r="43" spans="1:13" x14ac:dyDescent="0.15">
      <c r="B43" s="135"/>
      <c r="C43" s="136"/>
      <c r="D43" s="136"/>
      <c r="E43" s="137"/>
      <c r="F43" s="138"/>
      <c r="G43" s="138"/>
      <c r="H43" s="133"/>
      <c r="I43" s="133"/>
      <c r="J43" s="136"/>
      <c r="K43" s="133"/>
      <c r="L43" s="145"/>
      <c r="M43" s="133"/>
    </row>
    <row r="44" spans="1:13" x14ac:dyDescent="0.15">
      <c r="B44" s="135"/>
      <c r="C44" s="136"/>
      <c r="D44" s="136"/>
      <c r="E44" s="137"/>
      <c r="F44" s="138"/>
      <c r="G44" s="138"/>
      <c r="H44" s="133"/>
      <c r="I44" s="133"/>
      <c r="J44" s="136"/>
      <c r="K44" s="133"/>
      <c r="L44" s="145"/>
      <c r="M44" s="133"/>
    </row>
    <row r="45" spans="1:13" x14ac:dyDescent="0.15">
      <c r="B45" s="135"/>
      <c r="F45" s="65" t="s">
        <v>418</v>
      </c>
      <c r="G45" s="64" t="s">
        <v>417</v>
      </c>
      <c r="H45" s="65" t="s">
        <v>419</v>
      </c>
      <c r="I45" s="133"/>
      <c r="J45" s="136"/>
      <c r="K45" s="133"/>
      <c r="L45" s="145"/>
      <c r="M45" s="133"/>
    </row>
    <row r="46" spans="1:13" ht="12.6" x14ac:dyDescent="0.15">
      <c r="B46" s="135"/>
      <c r="F46" s="95" t="s">
        <v>353</v>
      </c>
      <c r="G46" s="93" t="s">
        <v>350</v>
      </c>
      <c r="I46" s="133"/>
      <c r="J46" s="136"/>
      <c r="K46" s="133"/>
      <c r="L46" s="145"/>
      <c r="M46" s="133"/>
    </row>
    <row r="47" spans="1:13" x14ac:dyDescent="0.15">
      <c r="B47" s="135"/>
      <c r="F47" s="134">
        <v>1.57</v>
      </c>
      <c r="G47" s="79">
        <v>1.28</v>
      </c>
      <c r="H47" s="4">
        <f>G47*F47</f>
        <v>2.0096000000000003</v>
      </c>
      <c r="I47" s="133"/>
      <c r="J47" s="136"/>
      <c r="K47" s="133"/>
      <c r="L47" s="145"/>
      <c r="M47" s="133"/>
    </row>
    <row r="48" spans="1:13" x14ac:dyDescent="0.15">
      <c r="B48" s="276" t="s">
        <v>2</v>
      </c>
      <c r="C48" s="277"/>
      <c r="D48" s="277" t="s">
        <v>3</v>
      </c>
      <c r="E48" s="277"/>
      <c r="F48" s="85" t="s">
        <v>68</v>
      </c>
      <c r="G48" s="85" t="s">
        <v>69</v>
      </c>
      <c r="H48" s="85"/>
      <c r="I48" s="150"/>
      <c r="J48" s="136"/>
      <c r="K48" s="133"/>
      <c r="L48" s="145"/>
      <c r="M48" s="133"/>
    </row>
    <row r="49" spans="2:13" ht="12.6" x14ac:dyDescent="0.15">
      <c r="C49" s="4" t="s">
        <v>423</v>
      </c>
      <c r="D49" s="83" t="s">
        <v>235</v>
      </c>
      <c r="E49" s="84" t="s">
        <v>236</v>
      </c>
      <c r="F49" s="84" t="s">
        <v>424</v>
      </c>
      <c r="G49" s="67" t="s">
        <v>421</v>
      </c>
      <c r="H49" s="76"/>
      <c r="I49" s="151"/>
      <c r="J49" s="136"/>
      <c r="K49" s="133"/>
      <c r="L49" s="145"/>
      <c r="M49" s="133"/>
    </row>
    <row r="50" spans="2:13" ht="12" x14ac:dyDescent="0.15">
      <c r="B50" s="4">
        <v>295</v>
      </c>
      <c r="C50" s="5">
        <f>+B42</f>
        <v>650</v>
      </c>
      <c r="D50" s="78" t="s">
        <v>426</v>
      </c>
      <c r="E50" s="70">
        <f>[2]!Bar(D50,11)*100</f>
        <v>380.9999942779541</v>
      </c>
      <c r="F50" s="79">
        <v>150</v>
      </c>
      <c r="G50" s="140">
        <f>E50/C50/F50</f>
        <v>3.9076922490046571E-3</v>
      </c>
      <c r="H50" s="141">
        <f>0.5*B50*(G50-0.002)</f>
        <v>0.28138460672818694</v>
      </c>
      <c r="I50" s="152"/>
      <c r="J50" s="136"/>
      <c r="K50" s="133"/>
      <c r="L50" s="145"/>
      <c r="M50" s="133"/>
    </row>
    <row r="51" spans="2:13" ht="12" x14ac:dyDescent="0.15">
      <c r="C51" s="5"/>
      <c r="D51" s="136"/>
      <c r="E51" s="133"/>
      <c r="F51" s="136"/>
      <c r="G51" s="142"/>
      <c r="H51" s="143"/>
      <c r="I51" s="144"/>
      <c r="J51" s="136"/>
      <c r="K51" s="133"/>
      <c r="L51" s="145"/>
      <c r="M51" s="133"/>
    </row>
    <row r="52" spans="2:13" x14ac:dyDescent="0.15">
      <c r="C52" s="5"/>
      <c r="D52" s="136"/>
      <c r="F52" s="133" t="s">
        <v>423</v>
      </c>
      <c r="G52" s="136" t="s">
        <v>425</v>
      </c>
      <c r="I52" s="144"/>
      <c r="J52" s="136"/>
      <c r="K52" s="133"/>
      <c r="L52" s="145"/>
      <c r="M52" s="133"/>
    </row>
    <row r="53" spans="2:13" ht="12" x14ac:dyDescent="0.15">
      <c r="C53" s="5"/>
      <c r="D53" s="136"/>
      <c r="F53" s="133">
        <f>B42</f>
        <v>650</v>
      </c>
      <c r="G53" s="138">
        <f>+E42</f>
        <v>1832.25</v>
      </c>
      <c r="H53" s="142">
        <f>+H50+H47</f>
        <v>2.2909846067281872</v>
      </c>
      <c r="I53" s="143">
        <f>F53*G53*H53/1000</f>
        <v>2728.4767546905186</v>
      </c>
      <c r="J53" s="136"/>
      <c r="K53" s="133"/>
      <c r="L53" s="145"/>
      <c r="M53" s="133"/>
    </row>
    <row r="54" spans="2:13" ht="12" x14ac:dyDescent="0.15">
      <c r="C54" s="5"/>
      <c r="D54" s="136"/>
      <c r="E54" s="133"/>
      <c r="F54" s="136"/>
      <c r="G54" s="142"/>
      <c r="H54" s="143"/>
      <c r="I54" s="144"/>
      <c r="J54" s="136"/>
      <c r="K54" s="133"/>
      <c r="L54" s="145"/>
      <c r="M54" s="133"/>
    </row>
    <row r="55" spans="2:13" ht="12" x14ac:dyDescent="0.15">
      <c r="C55" s="5"/>
      <c r="D55" s="136"/>
      <c r="E55" s="133"/>
      <c r="F55" s="136"/>
      <c r="G55" s="142"/>
      <c r="H55" s="143"/>
      <c r="I55" s="144"/>
      <c r="J55" s="136"/>
      <c r="K55" s="133"/>
      <c r="L55" s="145"/>
      <c r="M55" s="133"/>
    </row>
    <row r="56" spans="2:13" x14ac:dyDescent="0.15">
      <c r="B56" s="271" t="s">
        <v>116</v>
      </c>
      <c r="C56" s="272"/>
      <c r="D56" s="272"/>
      <c r="E56" s="272"/>
      <c r="F56" s="272"/>
      <c r="G56" s="272"/>
      <c r="H56" s="272"/>
      <c r="I56" s="272"/>
      <c r="J56" s="272"/>
      <c r="K56" s="273"/>
    </row>
    <row r="57" spans="2:13" x14ac:dyDescent="0.15">
      <c r="B57" s="276" t="s">
        <v>2</v>
      </c>
      <c r="C57" s="277"/>
      <c r="D57" s="278" t="s">
        <v>3</v>
      </c>
      <c r="E57" s="279"/>
      <c r="F57" s="85" t="s">
        <v>355</v>
      </c>
      <c r="G57" s="85" t="s">
        <v>356</v>
      </c>
      <c r="H57" s="85" t="s">
        <v>258</v>
      </c>
      <c r="I57" s="85" t="s">
        <v>259</v>
      </c>
      <c r="J57" s="85" t="s">
        <v>357</v>
      </c>
      <c r="K57" s="86" t="s">
        <v>358</v>
      </c>
    </row>
    <row r="58" spans="2:13" ht="12.6" x14ac:dyDescent="0.15">
      <c r="B58" s="66" t="s">
        <v>235</v>
      </c>
      <c r="C58" s="67" t="s">
        <v>359</v>
      </c>
      <c r="D58" s="67" t="s">
        <v>420</v>
      </c>
      <c r="E58" s="67" t="s">
        <v>421</v>
      </c>
      <c r="F58" s="76" t="s">
        <v>238</v>
      </c>
      <c r="G58" s="76" t="s">
        <v>208</v>
      </c>
      <c r="H58" s="76" t="s">
        <v>208</v>
      </c>
      <c r="I58" s="76" t="s">
        <v>208</v>
      </c>
      <c r="J58" s="76" t="s">
        <v>208</v>
      </c>
      <c r="K58" s="77" t="s">
        <v>208</v>
      </c>
    </row>
    <row r="59" spans="2:13" ht="12" x14ac:dyDescent="0.15">
      <c r="B59" s="78" t="s">
        <v>413</v>
      </c>
      <c r="C59" s="70">
        <f>[2]!Bar(B59,11)*100</f>
        <v>860.99996566772461</v>
      </c>
      <c r="D59" s="79">
        <v>100</v>
      </c>
      <c r="E59" s="131" t="s">
        <v>422</v>
      </c>
      <c r="F59" s="70" t="e">
        <f>+C59+E59</f>
        <v>#VALUE!</v>
      </c>
      <c r="G59" s="81">
        <v>50</v>
      </c>
      <c r="H59" s="79">
        <v>13</v>
      </c>
      <c r="I59" s="70">
        <f>[2]!Bar(B59,1)*10/2</f>
        <v>9.4999998807907104</v>
      </c>
      <c r="J59" s="82" t="e">
        <f>(MAX(25,[2]!Bar(B59,1)*10*1.5)+[2]!Bar(B59,1)*10)*E59/F59</f>
        <v>#VALUE!</v>
      </c>
      <c r="K59" s="72">
        <f>IF(E59=0,0,MAX(25,[2]!Bar(B59,1)*10*1.5))+G59+H59+I59</f>
        <v>100.99999952316284</v>
      </c>
    </row>
    <row r="60" spans="2:13" x14ac:dyDescent="0.15">
      <c r="B60" s="267" t="s">
        <v>360</v>
      </c>
      <c r="C60" s="269" t="s">
        <v>361</v>
      </c>
      <c r="D60" s="64" t="s">
        <v>362</v>
      </c>
      <c r="E60" s="64" t="s">
        <v>363</v>
      </c>
      <c r="F60" s="64" t="s">
        <v>364</v>
      </c>
      <c r="G60" s="64" t="s">
        <v>365</v>
      </c>
      <c r="H60" s="64" t="s">
        <v>366</v>
      </c>
      <c r="I60" s="64" t="s">
        <v>367</v>
      </c>
      <c r="J60" s="64"/>
      <c r="K60" s="65" t="s">
        <v>368</v>
      </c>
    </row>
    <row r="61" spans="2:13" ht="12.6" x14ac:dyDescent="0.15">
      <c r="B61" s="268"/>
      <c r="C61" s="270"/>
      <c r="D61" s="73" t="s">
        <v>208</v>
      </c>
      <c r="E61" s="73" t="s">
        <v>369</v>
      </c>
      <c r="F61" s="73" t="s">
        <v>369</v>
      </c>
      <c r="G61" s="73" t="s">
        <v>242</v>
      </c>
      <c r="H61" s="73" t="s">
        <v>242</v>
      </c>
      <c r="I61" s="73" t="s">
        <v>242</v>
      </c>
      <c r="J61" s="73"/>
      <c r="K61" s="74" t="s">
        <v>243</v>
      </c>
    </row>
    <row r="62" spans="2:13" x14ac:dyDescent="0.15">
      <c r="B62" s="68" t="e">
        <f>F59/H16</f>
        <v>#VALUE!</v>
      </c>
      <c r="C62" s="69" t="str">
        <f>[2]!RcGMa($B9/10, $C9/10, $M17/10, $K59/10, $H16/100, $F59/100, $G13*10, $D6*10, $E6, 3)</f>
        <v/>
      </c>
      <c r="D62" s="70" t="e">
        <f>E9*C62</f>
        <v>#VALUE!</v>
      </c>
      <c r="E62" s="69">
        <f>H16/(B9*E9)*100</f>
        <v>4.3347289828302639E-6</v>
      </c>
      <c r="F62" s="69" t="e">
        <f>[2]!RcGMa($B9/10, $C9/10, $M17/10, $K59/10, $H16/100, $F59/100, $G13*10, $D6*10, $E6, 4)*100</f>
        <v>#VALUE!</v>
      </c>
      <c r="G62" s="71" t="e">
        <f>[2]!RcGMa($B9/10, $C9/10, $M17/10, $K59/10, $H16/100, $F59/100, $G13*10, $D6*10, $E6, 1)*10/100</f>
        <v>#VALUE!</v>
      </c>
      <c r="H62" s="71" t="e">
        <f>[2]!RcGMa($B9/10, $C9/10, $M17/10, $K59/10, $H16/100, $F59/100, $G13*10, $D6*10, $E6, 2)*10/100</f>
        <v>#VALUE!</v>
      </c>
      <c r="I62" s="71" t="e">
        <f>MIN(G62:H62)</f>
        <v>#VALUE!</v>
      </c>
      <c r="J62" s="70" t="e">
        <f>#REF!*I62/1000/1000</f>
        <v>#REF!</v>
      </c>
      <c r="K62" s="72" t="e">
        <f>[2]!RcGMa($B9/10, $C9/10, $M17/10, $K59/10, $H16/100, $F59/100, $G13*10, $D6*10, $E6, 11)*10</f>
        <v>#VALUE!</v>
      </c>
    </row>
    <row r="64" spans="2:13" ht="12" x14ac:dyDescent="0.15">
      <c r="C64" s="21" t="s">
        <v>414</v>
      </c>
      <c r="D64" t="s">
        <v>154</v>
      </c>
      <c r="E64"/>
      <c r="F64"/>
      <c r="G64"/>
      <c r="H64"/>
    </row>
    <row r="65" spans="3:10" ht="12" x14ac:dyDescent="0.15">
      <c r="C65" s="21" t="s">
        <v>370</v>
      </c>
      <c r="D65" t="s">
        <v>153</v>
      </c>
      <c r="E65"/>
      <c r="F65"/>
      <c r="G65"/>
      <c r="H65"/>
      <c r="J65" s="5"/>
    </row>
    <row r="66" spans="3:10" ht="12" x14ac:dyDescent="0.15">
      <c r="C66" s="21" t="s">
        <v>371</v>
      </c>
      <c r="D66" t="s">
        <v>156</v>
      </c>
    </row>
    <row r="67" spans="3:10" x14ac:dyDescent="0.15">
      <c r="C67" s="12" t="s">
        <v>372</v>
      </c>
      <c r="D67" s="4" t="s">
        <v>62</v>
      </c>
    </row>
    <row r="68" spans="3:10" x14ac:dyDescent="0.15">
      <c r="C68" s="12" t="s">
        <v>415</v>
      </c>
      <c r="D68" s="4" t="s">
        <v>63</v>
      </c>
      <c r="I68" s="4" t="s">
        <v>87</v>
      </c>
    </row>
    <row r="69" spans="3:10" x14ac:dyDescent="0.15">
      <c r="C69" s="12" t="s">
        <v>88</v>
      </c>
      <c r="D69" s="4" t="s">
        <v>89</v>
      </c>
    </row>
    <row r="70" spans="3:10" x14ac:dyDescent="0.15">
      <c r="C70" s="12" t="s">
        <v>374</v>
      </c>
      <c r="D70" s="4" t="s">
        <v>262</v>
      </c>
    </row>
    <row r="71" spans="3:10" x14ac:dyDescent="0.15">
      <c r="C71" s="12" t="s">
        <v>375</v>
      </c>
      <c r="D71" s="4" t="s">
        <v>263</v>
      </c>
    </row>
    <row r="72" spans="3:10" x14ac:dyDescent="0.15">
      <c r="C72" s="12" t="s">
        <v>376</v>
      </c>
      <c r="D72" s="4" t="s">
        <v>266</v>
      </c>
    </row>
    <row r="73" spans="3:10" x14ac:dyDescent="0.15">
      <c r="C73" s="12" t="s">
        <v>377</v>
      </c>
      <c r="D73" s="4" t="s">
        <v>267</v>
      </c>
    </row>
    <row r="74" spans="3:10" x14ac:dyDescent="0.15">
      <c r="C74" s="12" t="s">
        <v>378</v>
      </c>
      <c r="D74" s="4" t="s">
        <v>269</v>
      </c>
      <c r="I74" s="4" t="s">
        <v>379</v>
      </c>
    </row>
    <row r="75" spans="3:10" x14ac:dyDescent="0.15">
      <c r="C75" s="12" t="s">
        <v>380</v>
      </c>
      <c r="D75" s="4" t="s">
        <v>270</v>
      </c>
      <c r="I75" s="4" t="s">
        <v>381</v>
      </c>
    </row>
    <row r="76" spans="3:10" x14ac:dyDescent="0.15">
      <c r="C76" s="12" t="s">
        <v>382</v>
      </c>
      <c r="D76" s="4" t="s">
        <v>274</v>
      </c>
    </row>
    <row r="77" spans="3:10" x14ac:dyDescent="0.15">
      <c r="C77" s="12" t="s">
        <v>275</v>
      </c>
      <c r="D77" s="4" t="s">
        <v>276</v>
      </c>
    </row>
    <row r="78" spans="3:10" x14ac:dyDescent="0.15">
      <c r="C78" s="12" t="s">
        <v>383</v>
      </c>
      <c r="D78" s="4" t="s">
        <v>278</v>
      </c>
    </row>
    <row r="79" spans="3:10" x14ac:dyDescent="0.15">
      <c r="C79" s="12" t="s">
        <v>384</v>
      </c>
      <c r="D79" s="4" t="s">
        <v>11</v>
      </c>
      <c r="F79" s="13" t="s">
        <v>385</v>
      </c>
    </row>
    <row r="80" spans="3:10" x14ac:dyDescent="0.15">
      <c r="C80" s="12" t="s">
        <v>386</v>
      </c>
      <c r="D80" s="4" t="s">
        <v>282</v>
      </c>
    </row>
    <row r="81" spans="3:4" x14ac:dyDescent="0.15">
      <c r="C81" s="12" t="s">
        <v>169</v>
      </c>
      <c r="D81" s="4" t="s">
        <v>284</v>
      </c>
    </row>
    <row r="82" spans="3:4" x14ac:dyDescent="0.15">
      <c r="C82" s="12"/>
    </row>
    <row r="83" spans="3:4" x14ac:dyDescent="0.15">
      <c r="C83" s="12"/>
    </row>
    <row r="84" spans="3:4" x14ac:dyDescent="0.15">
      <c r="C84" s="12"/>
    </row>
    <row r="85" spans="3:4" x14ac:dyDescent="0.15">
      <c r="C85" s="12"/>
    </row>
  </sheetData>
  <mergeCells count="9">
    <mergeCell ref="B60:B61"/>
    <mergeCell ref="C60:C61"/>
    <mergeCell ref="B56:K56"/>
    <mergeCell ref="E4:E5"/>
    <mergeCell ref="B57:C57"/>
    <mergeCell ref="D57:E57"/>
    <mergeCell ref="D37:D38"/>
    <mergeCell ref="B48:C48"/>
    <mergeCell ref="D48:E48"/>
  </mergeCells>
  <phoneticPr fontId="3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Q40"/>
  <sheetViews>
    <sheetView workbookViewId="0">
      <selection activeCell="H59" sqref="H59"/>
    </sheetView>
  </sheetViews>
  <sheetFormatPr defaultColWidth="9.109375" defaultRowHeight="10.8" x14ac:dyDescent="0.15"/>
  <cols>
    <col min="1" max="1" width="2.6640625" style="4" customWidth="1"/>
    <col min="2" max="11" width="9.6640625" style="4" customWidth="1"/>
    <col min="12" max="16384" width="9.109375" style="4"/>
  </cols>
  <sheetData>
    <row r="2" spans="2:17" x14ac:dyDescent="0.15">
      <c r="B2" s="4" t="s">
        <v>284</v>
      </c>
    </row>
    <row r="3" spans="2:17" x14ac:dyDescent="0.15">
      <c r="H3" s="15"/>
      <c r="I3" s="15"/>
      <c r="J3" s="15"/>
      <c r="O3" s="5"/>
      <c r="Q3" s="5"/>
    </row>
    <row r="4" spans="2:17" ht="12.6" x14ac:dyDescent="0.15">
      <c r="B4" s="75" t="s">
        <v>239</v>
      </c>
      <c r="C4" s="64" t="s">
        <v>240</v>
      </c>
      <c r="D4" s="264" t="s">
        <v>241</v>
      </c>
      <c r="E4" s="90"/>
      <c r="F4" s="64" t="s">
        <v>244</v>
      </c>
      <c r="G4" s="64" t="s">
        <v>127</v>
      </c>
      <c r="H4" s="64" t="s">
        <v>245</v>
      </c>
      <c r="I4" s="91" t="s">
        <v>251</v>
      </c>
      <c r="J4" s="64" t="s">
        <v>250</v>
      </c>
      <c r="K4" s="65" t="s">
        <v>249</v>
      </c>
      <c r="O4" s="5"/>
      <c r="Q4" s="5"/>
    </row>
    <row r="5" spans="2:17" ht="12.6" x14ac:dyDescent="0.15">
      <c r="B5" s="92" t="s">
        <v>242</v>
      </c>
      <c r="C5" s="93" t="s">
        <v>242</v>
      </c>
      <c r="D5" s="280"/>
      <c r="E5" s="94"/>
      <c r="F5" s="93" t="s">
        <v>159</v>
      </c>
      <c r="G5" s="93" t="s">
        <v>159</v>
      </c>
      <c r="H5" s="93" t="s">
        <v>159</v>
      </c>
      <c r="I5" s="93" t="s">
        <v>159</v>
      </c>
      <c r="J5" s="93" t="s">
        <v>248</v>
      </c>
      <c r="K5" s="95" t="s">
        <v>243</v>
      </c>
      <c r="O5" s="5"/>
      <c r="Q5" s="5"/>
    </row>
    <row r="6" spans="2:17" x14ac:dyDescent="0.15">
      <c r="B6" s="78">
        <v>220</v>
      </c>
      <c r="C6" s="79">
        <v>7</v>
      </c>
      <c r="D6" s="79">
        <v>15</v>
      </c>
      <c r="E6" s="96"/>
      <c r="F6" s="97">
        <v>350</v>
      </c>
      <c r="G6" s="97">
        <v>750</v>
      </c>
      <c r="H6" s="70">
        <f>G6-K10</f>
        <v>653.75000041723251</v>
      </c>
      <c r="I6" s="70">
        <f>H6*7/8</f>
        <v>572.03125036507845</v>
      </c>
      <c r="J6" s="98">
        <f>F6*H6^2</f>
        <v>149586172.06593603</v>
      </c>
      <c r="K6" s="72">
        <f>B6*F10*I6/1000/1000</f>
        <v>216.70831024708718</v>
      </c>
      <c r="O6" s="5"/>
      <c r="Q6" s="5"/>
    </row>
    <row r="7" spans="2:17" ht="12" x14ac:dyDescent="0.15">
      <c r="B7" s="283" t="s">
        <v>117</v>
      </c>
      <c r="C7" s="284"/>
      <c r="D7" s="284"/>
      <c r="E7" s="284"/>
      <c r="F7" s="284"/>
      <c r="G7" s="284"/>
      <c r="H7" s="284"/>
      <c r="I7" s="284"/>
      <c r="J7" s="284"/>
      <c r="K7" s="285"/>
      <c r="O7" s="5"/>
      <c r="Q7" s="5"/>
    </row>
    <row r="8" spans="2:17" x14ac:dyDescent="0.15">
      <c r="B8" s="276" t="s">
        <v>2</v>
      </c>
      <c r="C8" s="277"/>
      <c r="D8" s="277" t="s">
        <v>3</v>
      </c>
      <c r="E8" s="277"/>
      <c r="F8" s="85" t="s">
        <v>68</v>
      </c>
      <c r="G8" s="85" t="s">
        <v>69</v>
      </c>
      <c r="H8" s="85" t="s">
        <v>55</v>
      </c>
      <c r="I8" s="85" t="s">
        <v>56</v>
      </c>
      <c r="J8" s="85" t="s">
        <v>252</v>
      </c>
      <c r="K8" s="86" t="s">
        <v>253</v>
      </c>
    </row>
    <row r="9" spans="2:17" ht="12.6" x14ac:dyDescent="0.15">
      <c r="B9" s="83" t="s">
        <v>235</v>
      </c>
      <c r="C9" s="84" t="s">
        <v>236</v>
      </c>
      <c r="D9" s="84" t="s">
        <v>235</v>
      </c>
      <c r="E9" s="84" t="s">
        <v>237</v>
      </c>
      <c r="F9" s="76" t="s">
        <v>238</v>
      </c>
      <c r="G9" s="76" t="s">
        <v>208</v>
      </c>
      <c r="H9" s="76" t="s">
        <v>208</v>
      </c>
      <c r="I9" s="76" t="s">
        <v>208</v>
      </c>
      <c r="J9" s="76" t="s">
        <v>208</v>
      </c>
      <c r="K9" s="77" t="s">
        <v>208</v>
      </c>
    </row>
    <row r="10" spans="2:17" ht="12" x14ac:dyDescent="0.15">
      <c r="B10" s="78" t="s">
        <v>411</v>
      </c>
      <c r="C10" s="70">
        <f>[2]!Bar(B10,11)*100</f>
        <v>860.99996566772461</v>
      </c>
      <c r="D10" s="79" t="s">
        <v>411</v>
      </c>
      <c r="E10" s="80">
        <f>[2]!Bar(D10,11)*100</f>
        <v>860.99996566772461</v>
      </c>
      <c r="F10" s="70">
        <f>+C10+E10</f>
        <v>1721.9999313354492</v>
      </c>
      <c r="G10" s="81">
        <v>50</v>
      </c>
      <c r="H10" s="79">
        <v>13</v>
      </c>
      <c r="I10" s="70">
        <f>[2]!Bar(B10,1)*10/2</f>
        <v>9.4999998807907104</v>
      </c>
      <c r="J10" s="82">
        <f>(MAX(25,[2]!Bar(B10,1)*10*1.5)+[2]!Bar(B10,1)*10)*E10/F10</f>
        <v>23.749999701976776</v>
      </c>
      <c r="K10" s="72">
        <f>G10+H10+I10+J10</f>
        <v>96.249999582767487</v>
      </c>
    </row>
    <row r="11" spans="2:17" ht="12" x14ac:dyDescent="0.15">
      <c r="B11" s="281" t="s">
        <v>116</v>
      </c>
      <c r="C11" s="258"/>
      <c r="D11" s="258"/>
      <c r="E11" s="258"/>
      <c r="F11" s="258"/>
      <c r="G11" s="258"/>
      <c r="H11" s="258"/>
      <c r="I11" s="258"/>
      <c r="J11" s="258"/>
      <c r="K11" s="282"/>
    </row>
    <row r="12" spans="2:17" x14ac:dyDescent="0.15">
      <c r="B12" s="276" t="s">
        <v>2</v>
      </c>
      <c r="C12" s="277"/>
      <c r="D12" s="277" t="s">
        <v>3</v>
      </c>
      <c r="E12" s="277"/>
      <c r="F12" s="85" t="s">
        <v>256</v>
      </c>
      <c r="G12" s="85" t="s">
        <v>257</v>
      </c>
      <c r="H12" s="85" t="s">
        <v>258</v>
      </c>
      <c r="I12" s="85" t="s">
        <v>259</v>
      </c>
      <c r="J12" s="85" t="s">
        <v>260</v>
      </c>
      <c r="K12" s="86" t="s">
        <v>119</v>
      </c>
    </row>
    <row r="13" spans="2:17" ht="12.6" x14ac:dyDescent="0.15">
      <c r="B13" s="66" t="s">
        <v>235</v>
      </c>
      <c r="C13" s="67" t="s">
        <v>254</v>
      </c>
      <c r="D13" s="67" t="s">
        <v>235</v>
      </c>
      <c r="E13" s="67" t="s">
        <v>255</v>
      </c>
      <c r="F13" s="76" t="s">
        <v>238</v>
      </c>
      <c r="G13" s="76" t="s">
        <v>208</v>
      </c>
      <c r="H13" s="76" t="s">
        <v>208</v>
      </c>
      <c r="I13" s="76" t="s">
        <v>208</v>
      </c>
      <c r="J13" s="76" t="s">
        <v>208</v>
      </c>
      <c r="K13" s="77" t="s">
        <v>208</v>
      </c>
    </row>
    <row r="14" spans="2:17" ht="12" x14ac:dyDescent="0.15">
      <c r="B14" s="78" t="s">
        <v>411</v>
      </c>
      <c r="C14" s="70">
        <f>[2]!Bar(B14,11)*100</f>
        <v>860.99996566772461</v>
      </c>
      <c r="D14" s="79" t="s">
        <v>412</v>
      </c>
      <c r="E14" s="80">
        <f>[2]!Bar(D14,11)*100</f>
        <v>0</v>
      </c>
      <c r="F14" s="70">
        <f>+C14+E14</f>
        <v>860.99996566772461</v>
      </c>
      <c r="G14" s="81">
        <v>50</v>
      </c>
      <c r="H14" s="79">
        <v>13</v>
      </c>
      <c r="I14" s="70">
        <f>[2]!Bar(B14,1)*10/2</f>
        <v>9.4999998807907104</v>
      </c>
      <c r="J14" s="82">
        <f>(MAX(25,[2]!Bar(B14,1)*10*1.5)+[2]!Bar(B14,1)*10)*E14/F14</f>
        <v>0</v>
      </c>
      <c r="K14" s="72">
        <f>IF(E14=0,0,MAX(25,[2]!Bar(B14,1)*10*1.5))+G14+H14+I14</f>
        <v>72.49999988079071</v>
      </c>
    </row>
    <row r="15" spans="2:17" x14ac:dyDescent="0.15">
      <c r="B15" s="267" t="s">
        <v>272</v>
      </c>
      <c r="C15" s="269" t="s">
        <v>246</v>
      </c>
      <c r="D15" s="64" t="s">
        <v>247</v>
      </c>
      <c r="E15" s="64" t="s">
        <v>4</v>
      </c>
      <c r="F15" s="64" t="s">
        <v>122</v>
      </c>
      <c r="G15" s="64" t="s">
        <v>285</v>
      </c>
      <c r="H15" s="64" t="s">
        <v>286</v>
      </c>
      <c r="I15" s="64" t="s">
        <v>287</v>
      </c>
      <c r="J15" s="64"/>
      <c r="K15" s="65" t="s">
        <v>172</v>
      </c>
    </row>
    <row r="16" spans="2:17" ht="12.6" x14ac:dyDescent="0.15">
      <c r="B16" s="268"/>
      <c r="C16" s="270"/>
      <c r="D16" s="73" t="s">
        <v>159</v>
      </c>
      <c r="E16" s="73" t="s">
        <v>49</v>
      </c>
      <c r="F16" s="73" t="s">
        <v>49</v>
      </c>
      <c r="G16" s="73" t="s">
        <v>242</v>
      </c>
      <c r="H16" s="73" t="s">
        <v>242</v>
      </c>
      <c r="I16" s="73" t="s">
        <v>242</v>
      </c>
      <c r="J16" s="73"/>
      <c r="K16" s="74" t="s">
        <v>243</v>
      </c>
    </row>
    <row r="17" spans="2:11" x14ac:dyDescent="0.15">
      <c r="B17" s="68">
        <f>F14/F10</f>
        <v>0.5</v>
      </c>
      <c r="C17" s="69">
        <f>[2]!RcGMa($F6/10, $G6/10, $K10/10, $K14/10, $F10/100, $F14/100, $C6*10, $B6*10, $D6, 3)</f>
        <v>0.34735706448554993</v>
      </c>
      <c r="D17" s="70">
        <f>H6*C17</f>
        <v>227.08468105235693</v>
      </c>
      <c r="E17" s="69">
        <f>F10/(F6*H6)*100</f>
        <v>0.75258123146088807</v>
      </c>
      <c r="F17" s="69">
        <f>[2]!RcGMa($F6/10, $G6/10, $K10/10, $K14/10, $F10/100, $F14/100, $C6*10, $B6*10, $D6, 4)*100</f>
        <v>0.60950997285544872</v>
      </c>
      <c r="G17" s="71">
        <f>[2]!RcGMa($F6/10, $G6/10, $K10/10, $K14/10, $F10/100, $F14/100, $C6*10, $B6*10, $D6, 1)*10/100</f>
        <v>1.3141179084777832</v>
      </c>
      <c r="H17" s="71">
        <f>[2]!RcGMa($F6/10, $G6/10, $K10/10, $K14/10, $F10/100, $F14/100, $C6*10, $B6*10, $D6, 2)*10/100</f>
        <v>1.4654405593872071</v>
      </c>
      <c r="I17" s="71">
        <f>MIN(G17:H17)</f>
        <v>1.3141179084777832</v>
      </c>
      <c r="J17" s="70">
        <f>J6*I17/1000/1000</f>
        <v>196.57386757248565</v>
      </c>
      <c r="K17" s="72">
        <f>[2]!RcGMa($F6/10, $G6/10, $K10/10, $K14/10, $F10/100, $F14/100, $C6*10, $B6*10, $D6, 11)*10</f>
        <v>196.57386779785156</v>
      </c>
    </row>
    <row r="19" spans="2:11" ht="12" x14ac:dyDescent="0.15">
      <c r="C19" s="21" t="s">
        <v>215</v>
      </c>
      <c r="D19" t="s">
        <v>154</v>
      </c>
      <c r="E19"/>
      <c r="F19"/>
      <c r="G19"/>
      <c r="H19"/>
    </row>
    <row r="20" spans="2:11" ht="12" x14ac:dyDescent="0.15">
      <c r="C20" s="21" t="s">
        <v>213</v>
      </c>
      <c r="D20" t="s">
        <v>153</v>
      </c>
      <c r="E20"/>
      <c r="F20"/>
      <c r="G20"/>
      <c r="H20"/>
      <c r="J20" s="5"/>
    </row>
    <row r="21" spans="2:11" ht="12" x14ac:dyDescent="0.15">
      <c r="C21" s="21" t="s">
        <v>219</v>
      </c>
      <c r="D21" t="s">
        <v>156</v>
      </c>
    </row>
    <row r="22" spans="2:11" x14ac:dyDescent="0.15">
      <c r="C22" s="12" t="s">
        <v>85</v>
      </c>
      <c r="D22" s="4" t="s">
        <v>62</v>
      </c>
    </row>
    <row r="23" spans="2:11" x14ac:dyDescent="0.15">
      <c r="C23" s="12" t="s">
        <v>234</v>
      </c>
      <c r="D23" s="4" t="s">
        <v>63</v>
      </c>
      <c r="I23" s="4" t="s">
        <v>87</v>
      </c>
    </row>
    <row r="24" spans="2:11" x14ac:dyDescent="0.15">
      <c r="C24" s="12" t="s">
        <v>88</v>
      </c>
      <c r="D24" s="4" t="s">
        <v>89</v>
      </c>
    </row>
    <row r="25" spans="2:11" x14ac:dyDescent="0.15">
      <c r="C25" s="12" t="s">
        <v>106</v>
      </c>
      <c r="D25" s="4" t="s">
        <v>262</v>
      </c>
    </row>
    <row r="26" spans="2:11" x14ac:dyDescent="0.15">
      <c r="C26" s="12" t="s">
        <v>261</v>
      </c>
      <c r="D26" s="4" t="s">
        <v>263</v>
      </c>
    </row>
    <row r="27" spans="2:11" x14ac:dyDescent="0.15">
      <c r="C27" s="12" t="s">
        <v>264</v>
      </c>
      <c r="D27" s="4" t="s">
        <v>266</v>
      </c>
    </row>
    <row r="28" spans="2:11" x14ac:dyDescent="0.15">
      <c r="C28" s="12" t="s">
        <v>265</v>
      </c>
      <c r="D28" s="4" t="s">
        <v>267</v>
      </c>
    </row>
    <row r="29" spans="2:11" x14ac:dyDescent="0.15">
      <c r="C29" s="12" t="s">
        <v>83</v>
      </c>
      <c r="D29" s="4" t="s">
        <v>269</v>
      </c>
      <c r="I29" s="4" t="s">
        <v>84</v>
      </c>
    </row>
    <row r="30" spans="2:11" x14ac:dyDescent="0.15">
      <c r="C30" s="12" t="s">
        <v>268</v>
      </c>
      <c r="D30" s="4" t="s">
        <v>270</v>
      </c>
      <c r="I30" s="4" t="s">
        <v>271</v>
      </c>
    </row>
    <row r="31" spans="2:11" x14ac:dyDescent="0.15">
      <c r="C31" s="12" t="s">
        <v>273</v>
      </c>
      <c r="D31" s="4" t="s">
        <v>274</v>
      </c>
    </row>
    <row r="32" spans="2:11" x14ac:dyDescent="0.15">
      <c r="C32" s="12" t="s">
        <v>275</v>
      </c>
      <c r="D32" s="4" t="s">
        <v>276</v>
      </c>
    </row>
    <row r="33" spans="3:6" x14ac:dyDescent="0.15">
      <c r="C33" s="12" t="s">
        <v>277</v>
      </c>
      <c r="D33" s="4" t="s">
        <v>278</v>
      </c>
    </row>
    <row r="34" spans="3:6" x14ac:dyDescent="0.15">
      <c r="C34" s="12" t="s">
        <v>279</v>
      </c>
      <c r="D34" s="4" t="s">
        <v>11</v>
      </c>
      <c r="F34" s="13" t="s">
        <v>280</v>
      </c>
    </row>
    <row r="35" spans="3:6" x14ac:dyDescent="0.15">
      <c r="C35" s="12" t="s">
        <v>281</v>
      </c>
      <c r="D35" s="4" t="s">
        <v>282</v>
      </c>
    </row>
    <row r="36" spans="3:6" x14ac:dyDescent="0.15">
      <c r="C36" s="12" t="s">
        <v>283</v>
      </c>
      <c r="D36" s="4" t="s">
        <v>284</v>
      </c>
    </row>
    <row r="37" spans="3:6" x14ac:dyDescent="0.15">
      <c r="C37" s="12"/>
    </row>
    <row r="38" spans="3:6" x14ac:dyDescent="0.15">
      <c r="C38" s="12"/>
    </row>
    <row r="39" spans="3:6" x14ac:dyDescent="0.15">
      <c r="C39" s="12"/>
    </row>
    <row r="40" spans="3:6" x14ac:dyDescent="0.15">
      <c r="C40" s="12"/>
    </row>
  </sheetData>
  <mergeCells count="9">
    <mergeCell ref="B15:B16"/>
    <mergeCell ref="C15:C16"/>
    <mergeCell ref="B11:K11"/>
    <mergeCell ref="D4:D5"/>
    <mergeCell ref="B12:C12"/>
    <mergeCell ref="D12:E12"/>
    <mergeCell ref="B8:C8"/>
    <mergeCell ref="D8:E8"/>
    <mergeCell ref="B7:K7"/>
  </mergeCells>
  <phoneticPr fontId="3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V58"/>
  <sheetViews>
    <sheetView topLeftCell="A19" workbookViewId="0">
      <selection activeCell="R17" sqref="R17"/>
    </sheetView>
  </sheetViews>
  <sheetFormatPr defaultRowHeight="12" x14ac:dyDescent="0.15"/>
  <cols>
    <col min="1" max="13" width="8.109375" customWidth="1"/>
    <col min="14" max="14" width="8.88671875" customWidth="1"/>
    <col min="15" max="15" width="11" customWidth="1"/>
    <col min="16" max="16" width="8.88671875" customWidth="1"/>
    <col min="17" max="24" width="8.109375" customWidth="1"/>
  </cols>
  <sheetData>
    <row r="1" spans="1:16" x14ac:dyDescent="0.15">
      <c r="A1" t="s">
        <v>311</v>
      </c>
      <c r="B1" t="s">
        <v>128</v>
      </c>
      <c r="C1" t="s">
        <v>130</v>
      </c>
      <c r="D1" t="s">
        <v>322</v>
      </c>
      <c r="E1" t="s">
        <v>4</v>
      </c>
      <c r="F1" t="s">
        <v>312</v>
      </c>
      <c r="G1" t="s">
        <v>313</v>
      </c>
      <c r="H1" t="s">
        <v>314</v>
      </c>
      <c r="I1" t="s">
        <v>315</v>
      </c>
      <c r="J1" t="s">
        <v>316</v>
      </c>
      <c r="K1" t="s">
        <v>317</v>
      </c>
      <c r="L1" t="s">
        <v>318</v>
      </c>
      <c r="M1" t="s">
        <v>319</v>
      </c>
      <c r="N1" t="s">
        <v>321</v>
      </c>
      <c r="O1" t="s">
        <v>320</v>
      </c>
    </row>
    <row r="2" spans="1:16" x14ac:dyDescent="0.15">
      <c r="A2">
        <v>14</v>
      </c>
      <c r="B2">
        <v>345</v>
      </c>
      <c r="C2">
        <v>15</v>
      </c>
      <c r="D2">
        <v>0.1</v>
      </c>
      <c r="E2">
        <v>5.0000000000000001E-3</v>
      </c>
      <c r="F2" s="62">
        <v>1</v>
      </c>
      <c r="G2" s="62">
        <f>A2/F2</f>
        <v>14</v>
      </c>
      <c r="H2" s="62">
        <f>B2/C2/(F2-D2)</f>
        <v>25.555555555555554</v>
      </c>
      <c r="I2">
        <f>B2/C2/(1-D2-F2)</f>
        <v>-230.00000000000006</v>
      </c>
      <c r="J2" s="62">
        <f>MIN(G2,H2,ABS(I2))</f>
        <v>14</v>
      </c>
      <c r="K2" s="62">
        <f>J2*F2^2/2</f>
        <v>7</v>
      </c>
      <c r="L2" s="62">
        <f>J2*C2*E2*(F2-D2)</f>
        <v>0.94500000000000006</v>
      </c>
      <c r="M2" s="62">
        <f>J2*C2*E2*(1-D2-F2)</f>
        <v>-0.10499999999999998</v>
      </c>
      <c r="N2" s="62">
        <f>K2+L2-M2</f>
        <v>8.0500000000000007</v>
      </c>
      <c r="O2" s="62">
        <f>K2*(0.5-F2/3)+(L2+M2)*(0.5-D2)</f>
        <v>1.5026666666666668</v>
      </c>
      <c r="P2" s="62"/>
    </row>
    <row r="3" spans="1:16" x14ac:dyDescent="0.15">
      <c r="A3">
        <f>+A2</f>
        <v>14</v>
      </c>
      <c r="B3">
        <f>+B2</f>
        <v>345</v>
      </c>
      <c r="C3">
        <f>+C2</f>
        <v>15</v>
      </c>
      <c r="D3">
        <f>+D2</f>
        <v>0.1</v>
      </c>
      <c r="E3">
        <f>+E2</f>
        <v>5.0000000000000001E-3</v>
      </c>
      <c r="F3" s="62">
        <f>+F2-0.05</f>
        <v>0.95</v>
      </c>
      <c r="G3" s="62">
        <f t="shared" ref="G3:G18" si="0">A3/F3</f>
        <v>14.736842105263159</v>
      </c>
      <c r="H3" s="62">
        <f t="shared" ref="H3:H18" si="1">B3/C3/(F3-D3)</f>
        <v>27.058823529411764</v>
      </c>
      <c r="I3">
        <f t="shared" ref="I3:I18" si="2">B3/C3/(1-D3-F3)</f>
        <v>-460.00000000000063</v>
      </c>
      <c r="J3" s="62">
        <f t="shared" ref="J3:J18" si="3">MIN(G3,H3,ABS(I3))</f>
        <v>14.736842105263159</v>
      </c>
      <c r="K3" s="62">
        <f t="shared" ref="K3:K18" si="4">J3*F3^2/2</f>
        <v>6.65</v>
      </c>
      <c r="L3" s="62">
        <f t="shared" ref="L3:L18" si="5">J3*C3*E3*(F3-D3)</f>
        <v>0.93947368421052635</v>
      </c>
      <c r="M3" s="62">
        <f t="shared" ref="M3:M18" si="6">J3*C3*E3*(1-D3-F3)</f>
        <v>-5.5263157894736771E-2</v>
      </c>
      <c r="N3" s="62">
        <f t="shared" ref="N3:N18" si="7">K3+L3-M3</f>
        <v>7.6447368421052628</v>
      </c>
      <c r="O3" s="62">
        <f t="shared" ref="O3:O18" si="8">K3*(0.5-F3/3)+(L3+M3)*(0.5-D3)</f>
        <v>1.5728508771929826</v>
      </c>
      <c r="P3" s="62"/>
    </row>
    <row r="4" spans="1:16" x14ac:dyDescent="0.15">
      <c r="A4">
        <f t="shared" ref="A4:E18" si="9">+A3</f>
        <v>14</v>
      </c>
      <c r="B4">
        <f t="shared" si="9"/>
        <v>345</v>
      </c>
      <c r="C4">
        <f t="shared" si="9"/>
        <v>15</v>
      </c>
      <c r="D4">
        <f t="shared" si="9"/>
        <v>0.1</v>
      </c>
      <c r="E4">
        <f t="shared" si="9"/>
        <v>5.0000000000000001E-3</v>
      </c>
      <c r="F4" s="62">
        <f t="shared" ref="F4:F18" si="10">+F3-0.05</f>
        <v>0.89999999999999991</v>
      </c>
      <c r="G4" s="62">
        <f t="shared" si="0"/>
        <v>15.555555555555557</v>
      </c>
      <c r="H4" s="62">
        <f t="shared" si="1"/>
        <v>28.750000000000004</v>
      </c>
      <c r="I4">
        <f t="shared" si="2"/>
        <v>2.0716558285904282E+17</v>
      </c>
      <c r="J4" s="62">
        <f t="shared" si="3"/>
        <v>15.555555555555557</v>
      </c>
      <c r="K4" s="62">
        <f t="shared" si="4"/>
        <v>6.2999999999999989</v>
      </c>
      <c r="L4" s="62">
        <f t="shared" si="5"/>
        <v>0.93333333333333346</v>
      </c>
      <c r="M4">
        <f t="shared" si="6"/>
        <v>1.2952601953960163E-16</v>
      </c>
      <c r="N4" s="62">
        <f t="shared" si="7"/>
        <v>7.2333333333333325</v>
      </c>
      <c r="O4" s="62">
        <f t="shared" si="8"/>
        <v>1.6333333333333333</v>
      </c>
      <c r="P4" s="62"/>
    </row>
    <row r="5" spans="1:16" x14ac:dyDescent="0.15">
      <c r="A5">
        <f t="shared" si="9"/>
        <v>14</v>
      </c>
      <c r="B5">
        <f t="shared" si="9"/>
        <v>345</v>
      </c>
      <c r="C5">
        <f t="shared" si="9"/>
        <v>15</v>
      </c>
      <c r="D5">
        <f t="shared" si="9"/>
        <v>0.1</v>
      </c>
      <c r="E5">
        <f t="shared" si="9"/>
        <v>5.0000000000000001E-3</v>
      </c>
      <c r="F5" s="62">
        <f t="shared" si="10"/>
        <v>0.84999999999999987</v>
      </c>
      <c r="G5" s="62">
        <f t="shared" si="0"/>
        <v>16.47058823529412</v>
      </c>
      <c r="H5" s="62">
        <f t="shared" si="1"/>
        <v>30.666666666666671</v>
      </c>
      <c r="I5" s="63">
        <f t="shared" si="2"/>
        <v>459.99999999999858</v>
      </c>
      <c r="J5" s="62">
        <f t="shared" si="3"/>
        <v>16.47058823529412</v>
      </c>
      <c r="K5" s="62">
        <f t="shared" si="4"/>
        <v>5.9499999999999993</v>
      </c>
      <c r="L5" s="62">
        <f t="shared" si="5"/>
        <v>0.92647058823529416</v>
      </c>
      <c r="M5" s="89">
        <f t="shared" si="6"/>
        <v>6.1764705882353145E-2</v>
      </c>
      <c r="N5" s="62">
        <f t="shared" si="7"/>
        <v>6.8147058823529409</v>
      </c>
      <c r="O5" s="62">
        <f t="shared" si="8"/>
        <v>1.6844607843137258</v>
      </c>
      <c r="P5" s="62"/>
    </row>
    <row r="6" spans="1:16" x14ac:dyDescent="0.15">
      <c r="A6">
        <f t="shared" si="9"/>
        <v>14</v>
      </c>
      <c r="B6">
        <f t="shared" si="9"/>
        <v>345</v>
      </c>
      <c r="C6">
        <f t="shared" si="9"/>
        <v>15</v>
      </c>
      <c r="D6">
        <f t="shared" si="9"/>
        <v>0.1</v>
      </c>
      <c r="E6">
        <f t="shared" si="9"/>
        <v>5.0000000000000001E-3</v>
      </c>
      <c r="F6" s="62">
        <f t="shared" si="10"/>
        <v>0.79999999999999982</v>
      </c>
      <c r="G6" s="62">
        <f t="shared" si="0"/>
        <v>17.500000000000004</v>
      </c>
      <c r="H6" s="62">
        <f t="shared" si="1"/>
        <v>32.857142857142861</v>
      </c>
      <c r="I6" s="63">
        <f t="shared" si="2"/>
        <v>229.99999999999955</v>
      </c>
      <c r="J6" s="62">
        <f t="shared" si="3"/>
        <v>17.500000000000004</v>
      </c>
      <c r="K6" s="62">
        <f t="shared" si="4"/>
        <v>5.5999999999999988</v>
      </c>
      <c r="L6" s="62">
        <f t="shared" si="5"/>
        <v>0.91874999999999996</v>
      </c>
      <c r="M6" s="89">
        <f t="shared" si="6"/>
        <v>0.13125000000000028</v>
      </c>
      <c r="N6" s="62">
        <f t="shared" si="7"/>
        <v>6.3874999999999984</v>
      </c>
      <c r="O6" s="62">
        <f t="shared" si="8"/>
        <v>1.7266666666666668</v>
      </c>
      <c r="P6" s="62"/>
    </row>
    <row r="7" spans="1:16" x14ac:dyDescent="0.15">
      <c r="A7">
        <f t="shared" si="9"/>
        <v>14</v>
      </c>
      <c r="B7">
        <f t="shared" si="9"/>
        <v>345</v>
      </c>
      <c r="C7">
        <f t="shared" si="9"/>
        <v>15</v>
      </c>
      <c r="D7">
        <f t="shared" si="9"/>
        <v>0.1</v>
      </c>
      <c r="E7">
        <f t="shared" si="9"/>
        <v>5.0000000000000001E-3</v>
      </c>
      <c r="F7" s="62">
        <f t="shared" si="10"/>
        <v>0.74999999999999978</v>
      </c>
      <c r="G7" s="62">
        <f t="shared" si="0"/>
        <v>18.666666666666671</v>
      </c>
      <c r="H7" s="62">
        <f t="shared" si="1"/>
        <v>35.384615384615394</v>
      </c>
      <c r="I7" s="63">
        <f t="shared" si="2"/>
        <v>153.33333333333309</v>
      </c>
      <c r="J7" s="62">
        <f t="shared" si="3"/>
        <v>18.666666666666671</v>
      </c>
      <c r="K7" s="62">
        <f t="shared" si="4"/>
        <v>5.2499999999999982</v>
      </c>
      <c r="L7" s="62">
        <f t="shared" si="5"/>
        <v>0.90999999999999992</v>
      </c>
      <c r="M7" s="89">
        <f t="shared" si="6"/>
        <v>0.21000000000000041</v>
      </c>
      <c r="N7" s="62">
        <f t="shared" si="7"/>
        <v>5.9499999999999975</v>
      </c>
      <c r="O7" s="62">
        <f t="shared" si="8"/>
        <v>1.7605000000000004</v>
      </c>
      <c r="P7" s="62"/>
    </row>
    <row r="8" spans="1:16" x14ac:dyDescent="0.15">
      <c r="A8">
        <f t="shared" si="9"/>
        <v>14</v>
      </c>
      <c r="B8">
        <f t="shared" si="9"/>
        <v>345</v>
      </c>
      <c r="C8">
        <f t="shared" si="9"/>
        <v>15</v>
      </c>
      <c r="D8">
        <f t="shared" si="9"/>
        <v>0.1</v>
      </c>
      <c r="E8">
        <f t="shared" si="9"/>
        <v>5.0000000000000001E-3</v>
      </c>
      <c r="F8" s="62">
        <f t="shared" si="10"/>
        <v>0.69999999999999973</v>
      </c>
      <c r="G8" s="62">
        <f t="shared" si="0"/>
        <v>20.000000000000007</v>
      </c>
      <c r="H8" s="62">
        <f t="shared" si="1"/>
        <v>38.33333333333335</v>
      </c>
      <c r="I8" s="63">
        <f t="shared" si="2"/>
        <v>114.99999999999983</v>
      </c>
      <c r="J8" s="62">
        <f t="shared" si="3"/>
        <v>20.000000000000007</v>
      </c>
      <c r="K8" s="62">
        <f t="shared" si="4"/>
        <v>4.8999999999999977</v>
      </c>
      <c r="L8" s="62">
        <f t="shared" si="5"/>
        <v>0.9</v>
      </c>
      <c r="M8" s="89">
        <f t="shared" si="6"/>
        <v>0.30000000000000054</v>
      </c>
      <c r="N8" s="62">
        <f t="shared" si="7"/>
        <v>5.4999999999999973</v>
      </c>
      <c r="O8" s="62">
        <f t="shared" si="8"/>
        <v>1.7866666666666664</v>
      </c>
      <c r="P8" s="62"/>
    </row>
    <row r="9" spans="1:16" x14ac:dyDescent="0.15">
      <c r="A9">
        <f t="shared" si="9"/>
        <v>14</v>
      </c>
      <c r="B9">
        <f t="shared" si="9"/>
        <v>345</v>
      </c>
      <c r="C9">
        <f t="shared" si="9"/>
        <v>15</v>
      </c>
      <c r="D9">
        <f t="shared" si="9"/>
        <v>0.1</v>
      </c>
      <c r="E9">
        <f t="shared" si="9"/>
        <v>5.0000000000000001E-3</v>
      </c>
      <c r="F9" s="62">
        <f t="shared" si="10"/>
        <v>0.64999999999999969</v>
      </c>
      <c r="G9" s="62">
        <f t="shared" si="0"/>
        <v>21.538461538461547</v>
      </c>
      <c r="H9" s="62">
        <f t="shared" si="1"/>
        <v>41.818181818181841</v>
      </c>
      <c r="I9" s="63">
        <f t="shared" si="2"/>
        <v>91.999999999999872</v>
      </c>
      <c r="J9" s="62">
        <f t="shared" si="3"/>
        <v>21.538461538461547</v>
      </c>
      <c r="K9" s="62">
        <f t="shared" si="4"/>
        <v>4.5499999999999972</v>
      </c>
      <c r="L9" s="62">
        <f t="shared" si="5"/>
        <v>0.88846153846153841</v>
      </c>
      <c r="M9" s="89">
        <f t="shared" si="6"/>
        <v>0.40384615384615458</v>
      </c>
      <c r="N9" s="62">
        <f t="shared" si="7"/>
        <v>5.0346153846153809</v>
      </c>
      <c r="O9" s="62">
        <f t="shared" si="8"/>
        <v>1.8060897435897436</v>
      </c>
      <c r="P9" s="62"/>
    </row>
    <row r="10" spans="1:16" x14ac:dyDescent="0.15">
      <c r="A10">
        <f t="shared" si="9"/>
        <v>14</v>
      </c>
      <c r="B10">
        <f t="shared" si="9"/>
        <v>345</v>
      </c>
      <c r="C10">
        <f t="shared" si="9"/>
        <v>15</v>
      </c>
      <c r="D10">
        <f t="shared" si="9"/>
        <v>0.1</v>
      </c>
      <c r="E10">
        <f t="shared" si="9"/>
        <v>5.0000000000000001E-3</v>
      </c>
      <c r="F10" s="62">
        <f t="shared" si="10"/>
        <v>0.59999999999999964</v>
      </c>
      <c r="G10" s="62">
        <f t="shared" si="0"/>
        <v>23.333333333333346</v>
      </c>
      <c r="H10" s="62">
        <f t="shared" si="1"/>
        <v>46.000000000000028</v>
      </c>
      <c r="I10" s="63">
        <f t="shared" si="2"/>
        <v>76.666666666666572</v>
      </c>
      <c r="J10" s="62">
        <f t="shared" si="3"/>
        <v>23.333333333333346</v>
      </c>
      <c r="K10" s="62">
        <f t="shared" si="4"/>
        <v>4.1999999999999975</v>
      </c>
      <c r="L10" s="62">
        <f t="shared" si="5"/>
        <v>0.87499999999999989</v>
      </c>
      <c r="M10" s="89">
        <f t="shared" si="6"/>
        <v>0.52500000000000091</v>
      </c>
      <c r="N10" s="62">
        <f t="shared" si="7"/>
        <v>4.5499999999999963</v>
      </c>
      <c r="O10" s="62">
        <f t="shared" si="8"/>
        <v>1.8200000000000003</v>
      </c>
      <c r="P10" s="62"/>
    </row>
    <row r="11" spans="1:16" x14ac:dyDescent="0.15">
      <c r="A11">
        <f t="shared" si="9"/>
        <v>14</v>
      </c>
      <c r="B11">
        <f t="shared" si="9"/>
        <v>345</v>
      </c>
      <c r="C11">
        <f t="shared" si="9"/>
        <v>15</v>
      </c>
      <c r="D11">
        <f t="shared" si="9"/>
        <v>0.1</v>
      </c>
      <c r="E11">
        <f t="shared" si="9"/>
        <v>5.0000000000000001E-3</v>
      </c>
      <c r="F11" s="62">
        <f t="shared" si="10"/>
        <v>0.5499999999999996</v>
      </c>
      <c r="G11" s="62">
        <f t="shared" si="0"/>
        <v>25.454545454545475</v>
      </c>
      <c r="H11" s="62">
        <f t="shared" si="1"/>
        <v>51.111111111111157</v>
      </c>
      <c r="I11" s="63">
        <f t="shared" si="2"/>
        <v>65.714285714285637</v>
      </c>
      <c r="J11" s="62">
        <f t="shared" si="3"/>
        <v>25.454545454545475</v>
      </c>
      <c r="K11" s="62">
        <f t="shared" si="4"/>
        <v>3.8499999999999974</v>
      </c>
      <c r="L11" s="62">
        <f t="shared" si="5"/>
        <v>0.85909090909090902</v>
      </c>
      <c r="M11" s="89">
        <f t="shared" si="6"/>
        <v>0.66818181818181943</v>
      </c>
      <c r="N11" s="62">
        <f t="shared" si="7"/>
        <v>4.0409090909090866</v>
      </c>
      <c r="O11" s="62">
        <f t="shared" si="8"/>
        <v>1.8300757575757576</v>
      </c>
      <c r="P11" s="62"/>
    </row>
    <row r="12" spans="1:16" x14ac:dyDescent="0.15">
      <c r="A12">
        <f t="shared" si="9"/>
        <v>14</v>
      </c>
      <c r="B12">
        <f t="shared" si="9"/>
        <v>345</v>
      </c>
      <c r="C12">
        <f t="shared" si="9"/>
        <v>15</v>
      </c>
      <c r="D12">
        <f t="shared" si="9"/>
        <v>0.1</v>
      </c>
      <c r="E12">
        <f t="shared" si="9"/>
        <v>5.0000000000000001E-3</v>
      </c>
      <c r="F12" s="62">
        <f t="shared" si="10"/>
        <v>0.49999999999999961</v>
      </c>
      <c r="G12" s="62">
        <f t="shared" si="0"/>
        <v>28.000000000000021</v>
      </c>
      <c r="H12" s="62">
        <f t="shared" si="1"/>
        <v>57.500000000000064</v>
      </c>
      <c r="I12" s="63">
        <f t="shared" si="2"/>
        <v>57.499999999999943</v>
      </c>
      <c r="J12" s="62">
        <f t="shared" si="3"/>
        <v>28.000000000000021</v>
      </c>
      <c r="K12" s="62">
        <f t="shared" si="4"/>
        <v>3.4999999999999973</v>
      </c>
      <c r="L12" s="62">
        <f t="shared" si="5"/>
        <v>0.83999999999999986</v>
      </c>
      <c r="M12" s="89">
        <f t="shared" si="6"/>
        <v>0.84000000000000163</v>
      </c>
      <c r="N12" s="62">
        <f t="shared" si="7"/>
        <v>3.4999999999999956</v>
      </c>
      <c r="O12" s="62">
        <f t="shared" si="8"/>
        <v>1.8386666666666669</v>
      </c>
      <c r="P12" s="62"/>
    </row>
    <row r="13" spans="1:16" x14ac:dyDescent="0.15">
      <c r="A13">
        <f t="shared" si="9"/>
        <v>14</v>
      </c>
      <c r="B13">
        <f t="shared" si="9"/>
        <v>345</v>
      </c>
      <c r="C13">
        <f t="shared" si="9"/>
        <v>15</v>
      </c>
      <c r="D13">
        <f t="shared" si="9"/>
        <v>0.1</v>
      </c>
      <c r="E13">
        <f t="shared" si="9"/>
        <v>5.0000000000000001E-3</v>
      </c>
      <c r="F13" s="62">
        <f t="shared" si="10"/>
        <v>0.44999999999999962</v>
      </c>
      <c r="G13" s="62">
        <f t="shared" si="0"/>
        <v>31.111111111111136</v>
      </c>
      <c r="H13" s="62">
        <f t="shared" si="1"/>
        <v>65.714285714285779</v>
      </c>
      <c r="I13" s="63">
        <f t="shared" si="2"/>
        <v>51.111111111111065</v>
      </c>
      <c r="J13" s="62">
        <f t="shared" si="3"/>
        <v>31.111111111111136</v>
      </c>
      <c r="K13" s="62">
        <f t="shared" si="4"/>
        <v>3.1499999999999972</v>
      </c>
      <c r="L13" s="62">
        <f t="shared" si="5"/>
        <v>0.81666666666666654</v>
      </c>
      <c r="M13" s="89">
        <f t="shared" si="6"/>
        <v>1.0500000000000018</v>
      </c>
      <c r="N13" s="62">
        <f t="shared" si="7"/>
        <v>2.9166666666666616</v>
      </c>
      <c r="O13" s="62">
        <f t="shared" si="8"/>
        <v>1.8491666666666668</v>
      </c>
      <c r="P13" s="62"/>
    </row>
    <row r="14" spans="1:16" x14ac:dyDescent="0.15">
      <c r="A14">
        <f t="shared" si="9"/>
        <v>14</v>
      </c>
      <c r="B14">
        <f t="shared" si="9"/>
        <v>345</v>
      </c>
      <c r="C14">
        <f t="shared" si="9"/>
        <v>15</v>
      </c>
      <c r="D14">
        <f t="shared" si="9"/>
        <v>0.1</v>
      </c>
      <c r="E14">
        <f t="shared" si="9"/>
        <v>5.0000000000000001E-3</v>
      </c>
      <c r="F14" s="62">
        <f t="shared" si="10"/>
        <v>0.39999999999999963</v>
      </c>
      <c r="G14" s="62">
        <f t="shared" si="0"/>
        <v>35.000000000000036</v>
      </c>
      <c r="H14" s="62">
        <f t="shared" si="1"/>
        <v>76.666666666666771</v>
      </c>
      <c r="I14" s="63">
        <f t="shared" si="2"/>
        <v>45.999999999999957</v>
      </c>
      <c r="J14" s="62">
        <f t="shared" si="3"/>
        <v>35.000000000000036</v>
      </c>
      <c r="K14" s="62">
        <f t="shared" si="4"/>
        <v>2.7999999999999976</v>
      </c>
      <c r="L14" s="62">
        <f t="shared" si="5"/>
        <v>0.78749999999999987</v>
      </c>
      <c r="M14" s="89">
        <f t="shared" si="6"/>
        <v>1.3125000000000027</v>
      </c>
      <c r="N14" s="62">
        <f t="shared" si="7"/>
        <v>2.274999999999995</v>
      </c>
      <c r="O14" s="62">
        <f t="shared" si="8"/>
        <v>1.8666666666666671</v>
      </c>
      <c r="P14" s="62"/>
    </row>
    <row r="15" spans="1:16" x14ac:dyDescent="0.15">
      <c r="A15">
        <f t="shared" si="9"/>
        <v>14</v>
      </c>
      <c r="B15">
        <f t="shared" si="9"/>
        <v>345</v>
      </c>
      <c r="C15">
        <f t="shared" si="9"/>
        <v>15</v>
      </c>
      <c r="D15">
        <f t="shared" si="9"/>
        <v>0.1</v>
      </c>
      <c r="E15">
        <f t="shared" si="9"/>
        <v>5.0000000000000001E-3</v>
      </c>
      <c r="F15" s="62">
        <f t="shared" si="10"/>
        <v>0.34999999999999964</v>
      </c>
      <c r="G15" s="62">
        <f t="shared" si="0"/>
        <v>40.000000000000043</v>
      </c>
      <c r="H15" s="62">
        <f t="shared" si="1"/>
        <v>92.000000000000128</v>
      </c>
      <c r="I15" s="63">
        <f t="shared" si="2"/>
        <v>41.818181818181792</v>
      </c>
      <c r="J15" s="62">
        <f t="shared" si="3"/>
        <v>40.000000000000043</v>
      </c>
      <c r="K15" s="62">
        <f t="shared" si="4"/>
        <v>2.4499999999999975</v>
      </c>
      <c r="L15" s="62">
        <f t="shared" si="5"/>
        <v>0.74999999999999978</v>
      </c>
      <c r="M15" s="89">
        <f t="shared" si="6"/>
        <v>1.650000000000003</v>
      </c>
      <c r="N15" s="62">
        <f t="shared" si="7"/>
        <v>1.5499999999999945</v>
      </c>
      <c r="O15" s="62">
        <f t="shared" si="8"/>
        <v>1.8991666666666673</v>
      </c>
      <c r="P15" s="62"/>
    </row>
    <row r="16" spans="1:16" x14ac:dyDescent="0.15">
      <c r="A16">
        <f t="shared" si="9"/>
        <v>14</v>
      </c>
      <c r="B16">
        <f t="shared" si="9"/>
        <v>345</v>
      </c>
      <c r="C16">
        <f t="shared" si="9"/>
        <v>15</v>
      </c>
      <c r="D16">
        <f t="shared" si="9"/>
        <v>0.1</v>
      </c>
      <c r="E16">
        <f t="shared" si="9"/>
        <v>5.0000000000000001E-3</v>
      </c>
      <c r="F16" s="62">
        <f t="shared" si="10"/>
        <v>0.29999999999999966</v>
      </c>
      <c r="G16" s="62">
        <f t="shared" si="0"/>
        <v>46.666666666666721</v>
      </c>
      <c r="H16" s="62">
        <f t="shared" si="1"/>
        <v>115.0000000000002</v>
      </c>
      <c r="I16" s="63">
        <f t="shared" si="2"/>
        <v>38.333333333333314</v>
      </c>
      <c r="J16" s="62">
        <f t="shared" si="3"/>
        <v>38.333333333333314</v>
      </c>
      <c r="K16" s="62">
        <f t="shared" si="4"/>
        <v>1.7249999999999952</v>
      </c>
      <c r="L16" s="62">
        <f t="shared" si="5"/>
        <v>0.57499999999999885</v>
      </c>
      <c r="M16" s="89">
        <f t="shared" si="6"/>
        <v>1.7250000000000003</v>
      </c>
      <c r="N16" s="62">
        <f t="shared" si="7"/>
        <v>0.57499999999999374</v>
      </c>
      <c r="O16" s="62">
        <f t="shared" si="8"/>
        <v>1.6099999999999979</v>
      </c>
      <c r="P16" s="62"/>
    </row>
    <row r="17" spans="1:22" x14ac:dyDescent="0.15">
      <c r="A17">
        <f t="shared" si="9"/>
        <v>14</v>
      </c>
      <c r="B17">
        <f t="shared" si="9"/>
        <v>345</v>
      </c>
      <c r="C17">
        <f t="shared" si="9"/>
        <v>15</v>
      </c>
      <c r="D17">
        <f t="shared" si="9"/>
        <v>0.1</v>
      </c>
      <c r="E17">
        <f t="shared" si="9"/>
        <v>5.0000000000000001E-3</v>
      </c>
      <c r="F17" s="62">
        <f t="shared" si="10"/>
        <v>0.24999999999999967</v>
      </c>
      <c r="G17" s="62">
        <f t="shared" si="0"/>
        <v>56.000000000000071</v>
      </c>
      <c r="H17" s="62">
        <f t="shared" si="1"/>
        <v>153.33333333333368</v>
      </c>
      <c r="I17" s="63">
        <f t="shared" si="2"/>
        <v>35.384615384615365</v>
      </c>
      <c r="J17" s="62">
        <f t="shared" si="3"/>
        <v>35.384615384615365</v>
      </c>
      <c r="K17" s="62">
        <f t="shared" si="4"/>
        <v>1.1057692307692273</v>
      </c>
      <c r="L17" s="62">
        <f t="shared" si="5"/>
        <v>0.39807692307692194</v>
      </c>
      <c r="M17" s="89">
        <f t="shared" si="6"/>
        <v>1.7250000000000001</v>
      </c>
      <c r="N17" s="62">
        <f t="shared" si="7"/>
        <v>-0.22115384615385092</v>
      </c>
      <c r="O17" s="62">
        <f t="shared" si="8"/>
        <v>1.3099679487179472</v>
      </c>
      <c r="P17" s="62"/>
    </row>
    <row r="18" spans="1:22" x14ac:dyDescent="0.15">
      <c r="A18">
        <f t="shared" si="9"/>
        <v>14</v>
      </c>
      <c r="B18">
        <f t="shared" si="9"/>
        <v>345</v>
      </c>
      <c r="C18">
        <f t="shared" si="9"/>
        <v>15</v>
      </c>
      <c r="D18">
        <f t="shared" si="9"/>
        <v>0.1</v>
      </c>
      <c r="E18">
        <f t="shared" si="9"/>
        <v>5.0000000000000001E-3</v>
      </c>
      <c r="F18" s="62">
        <f t="shared" si="10"/>
        <v>0.19999999999999968</v>
      </c>
      <c r="G18" s="62">
        <f t="shared" si="0"/>
        <v>70.000000000000114</v>
      </c>
      <c r="H18" s="62">
        <f t="shared" si="1"/>
        <v>230.00000000000077</v>
      </c>
      <c r="I18" s="63">
        <f t="shared" si="2"/>
        <v>32.85714285714284</v>
      </c>
      <c r="J18" s="62">
        <f t="shared" si="3"/>
        <v>32.85714285714284</v>
      </c>
      <c r="K18" s="62">
        <f t="shared" si="4"/>
        <v>0.6571428571428547</v>
      </c>
      <c r="L18" s="62">
        <f t="shared" si="5"/>
        <v>0.2464285714285705</v>
      </c>
      <c r="M18" s="89">
        <f t="shared" si="6"/>
        <v>1.7250000000000001</v>
      </c>
      <c r="N18" s="62">
        <f t="shared" si="7"/>
        <v>-0.82142857142857495</v>
      </c>
      <c r="O18" s="62">
        <f t="shared" si="8"/>
        <v>1.0733333333333319</v>
      </c>
      <c r="P18" s="62"/>
    </row>
    <row r="23" spans="1:22" x14ac:dyDescent="0.15">
      <c r="B23" t="s">
        <v>129</v>
      </c>
      <c r="C23" t="s">
        <v>323</v>
      </c>
      <c r="D23" t="s">
        <v>127</v>
      </c>
      <c r="E23" t="s">
        <v>130</v>
      </c>
      <c r="F23" t="s">
        <v>4</v>
      </c>
      <c r="G23" t="s">
        <v>324</v>
      </c>
      <c r="H23" t="s">
        <v>325</v>
      </c>
      <c r="I23" t="s">
        <v>326</v>
      </c>
      <c r="J23" t="s">
        <v>119</v>
      </c>
      <c r="K23" t="s">
        <v>134</v>
      </c>
      <c r="L23" t="s">
        <v>330</v>
      </c>
      <c r="M23" t="s">
        <v>331</v>
      </c>
      <c r="N23" t="s">
        <v>329</v>
      </c>
      <c r="O23" t="s">
        <v>332</v>
      </c>
      <c r="Q23" t="s">
        <v>327</v>
      </c>
      <c r="R23" t="s">
        <v>323</v>
      </c>
      <c r="S23" t="s">
        <v>328</v>
      </c>
    </row>
    <row r="24" spans="1:22" x14ac:dyDescent="0.15">
      <c r="B24">
        <v>1000</v>
      </c>
      <c r="C24">
        <v>400</v>
      </c>
      <c r="D24">
        <v>400</v>
      </c>
      <c r="E24">
        <v>15</v>
      </c>
      <c r="F24">
        <v>1.106E-2</v>
      </c>
      <c r="G24">
        <v>1.106E-2</v>
      </c>
      <c r="H24">
        <f>2*(E24-1)*G24</f>
        <v>0.30968000000000001</v>
      </c>
      <c r="I24">
        <f>2*E24*F24</f>
        <v>0.33179999999999998</v>
      </c>
      <c r="J24">
        <v>60</v>
      </c>
      <c r="K24">
        <v>60</v>
      </c>
      <c r="L24">
        <f>J24/D24</f>
        <v>0.15</v>
      </c>
      <c r="M24">
        <f>K24/D24</f>
        <v>0.15</v>
      </c>
      <c r="N24">
        <f>H24*L24</f>
        <v>4.6452E-2</v>
      </c>
      <c r="O24">
        <f>I24*(1-M24)</f>
        <v>0.28203</v>
      </c>
      <c r="Q24" s="88">
        <f>1000*B24/C24/(D24^2)</f>
        <v>1.5625E-2</v>
      </c>
      <c r="R24">
        <f>H24+I24</f>
        <v>0.64148000000000005</v>
      </c>
      <c r="S24" s="89">
        <f>-N24-O24-Q24</f>
        <v>-0.344107</v>
      </c>
      <c r="T24" s="62">
        <f>(-R24+SQRT(R24^2-4*S24))/2</f>
        <v>0.34782648704523023</v>
      </c>
      <c r="U24" s="89">
        <f>(-R24-SQRT(R24^2-4*S24))/2</f>
        <v>-0.98930648704523028</v>
      </c>
      <c r="V24" s="63">
        <f>B24*1000/C24/D24</f>
        <v>6.25</v>
      </c>
    </row>
    <row r="25" spans="1:22" x14ac:dyDescent="0.15">
      <c r="B25">
        <f>+B24-100</f>
        <v>900</v>
      </c>
      <c r="C25">
        <v>400</v>
      </c>
      <c r="D25">
        <v>400</v>
      </c>
      <c r="E25">
        <v>15</v>
      </c>
      <c r="F25">
        <v>1.106E-2</v>
      </c>
      <c r="G25">
        <v>1.106E-2</v>
      </c>
      <c r="H25">
        <f t="shared" ref="H25:H34" si="11">2*(E25-1)*G25</f>
        <v>0.30968000000000001</v>
      </c>
      <c r="I25">
        <f t="shared" ref="I25:I34" si="12">2*E25*F25</f>
        <v>0.33179999999999998</v>
      </c>
      <c r="J25">
        <v>60</v>
      </c>
      <c r="K25">
        <v>60</v>
      </c>
      <c r="L25">
        <f t="shared" ref="L25:L34" si="13">J25/D25</f>
        <v>0.15</v>
      </c>
      <c r="M25">
        <f t="shared" ref="M25:M34" si="14">K25/D25</f>
        <v>0.15</v>
      </c>
      <c r="N25">
        <f t="shared" ref="N25:N34" si="15">H25*L25</f>
        <v>4.6452E-2</v>
      </c>
      <c r="O25">
        <f t="shared" ref="O25:O34" si="16">I25*(1-M25)</f>
        <v>0.28203</v>
      </c>
      <c r="Q25" s="88">
        <f t="shared" ref="Q25:Q34" si="17">1000*B25/C25/(D25^2)</f>
        <v>1.40625E-2</v>
      </c>
      <c r="R25">
        <f t="shared" ref="R25:R34" si="18">H25+I25</f>
        <v>0.64148000000000005</v>
      </c>
      <c r="S25" s="89">
        <f t="shared" ref="S25:S34" si="19">-N25-O25-Q25</f>
        <v>-0.34254449999999997</v>
      </c>
      <c r="T25" s="62">
        <f t="shared" ref="T25:T34" si="20">(-R25+SQRT(R25^2-4*S25))/2</f>
        <v>0.34665691908189089</v>
      </c>
      <c r="U25" s="89">
        <f t="shared" ref="U25:U34" si="21">(-R25-SQRT(R25^2-4*S25))/2</f>
        <v>-0.98813691908189094</v>
      </c>
      <c r="V25" s="63">
        <f t="shared" ref="V25:V34" si="22">B25*1000/C25/D25</f>
        <v>5.625</v>
      </c>
    </row>
    <row r="26" spans="1:22" x14ac:dyDescent="0.15">
      <c r="B26">
        <f t="shared" ref="B26:B34" si="23">+B25-100</f>
        <v>800</v>
      </c>
      <c r="C26">
        <v>400</v>
      </c>
      <c r="D26">
        <v>400</v>
      </c>
      <c r="E26">
        <v>15</v>
      </c>
      <c r="F26">
        <v>1.106E-2</v>
      </c>
      <c r="G26">
        <v>1.106E-2</v>
      </c>
      <c r="H26">
        <f t="shared" si="11"/>
        <v>0.30968000000000001</v>
      </c>
      <c r="I26">
        <f t="shared" si="12"/>
        <v>0.33179999999999998</v>
      </c>
      <c r="J26">
        <v>60</v>
      </c>
      <c r="K26">
        <v>60</v>
      </c>
      <c r="L26">
        <f t="shared" si="13"/>
        <v>0.15</v>
      </c>
      <c r="M26">
        <f t="shared" si="14"/>
        <v>0.15</v>
      </c>
      <c r="N26">
        <f t="shared" si="15"/>
        <v>4.6452E-2</v>
      </c>
      <c r="O26">
        <f t="shared" si="16"/>
        <v>0.28203</v>
      </c>
      <c r="Q26" s="88">
        <f t="shared" si="17"/>
        <v>1.2500000000000001E-2</v>
      </c>
      <c r="R26">
        <f t="shared" si="18"/>
        <v>0.64148000000000005</v>
      </c>
      <c r="S26" s="89">
        <f t="shared" si="19"/>
        <v>-0.34098200000000001</v>
      </c>
      <c r="T26" s="62">
        <f t="shared" si="20"/>
        <v>0.34548529792856109</v>
      </c>
      <c r="U26" s="89">
        <f t="shared" si="21"/>
        <v>-0.98696529792856114</v>
      </c>
      <c r="V26" s="63">
        <f t="shared" si="22"/>
        <v>5</v>
      </c>
    </row>
    <row r="27" spans="1:22" x14ac:dyDescent="0.15">
      <c r="B27">
        <f t="shared" si="23"/>
        <v>700</v>
      </c>
      <c r="C27">
        <v>400</v>
      </c>
      <c r="D27">
        <v>400</v>
      </c>
      <c r="E27">
        <v>15</v>
      </c>
      <c r="F27">
        <v>1.106E-2</v>
      </c>
      <c r="G27">
        <v>1.106E-2</v>
      </c>
      <c r="H27">
        <f t="shared" si="11"/>
        <v>0.30968000000000001</v>
      </c>
      <c r="I27">
        <f t="shared" si="12"/>
        <v>0.33179999999999998</v>
      </c>
      <c r="J27">
        <v>60</v>
      </c>
      <c r="K27">
        <v>60</v>
      </c>
      <c r="L27">
        <f t="shared" si="13"/>
        <v>0.15</v>
      </c>
      <c r="M27">
        <f t="shared" si="14"/>
        <v>0.15</v>
      </c>
      <c r="N27">
        <f t="shared" si="15"/>
        <v>4.6452E-2</v>
      </c>
      <c r="O27">
        <f t="shared" si="16"/>
        <v>0.28203</v>
      </c>
      <c r="Q27" s="88">
        <f t="shared" si="17"/>
        <v>1.0937499999999999E-2</v>
      </c>
      <c r="R27">
        <f t="shared" si="18"/>
        <v>0.64148000000000005</v>
      </c>
      <c r="S27" s="89">
        <f t="shared" si="19"/>
        <v>-0.33941949999999999</v>
      </c>
      <c r="T27" s="62">
        <f t="shared" si="20"/>
        <v>0.34431161273392907</v>
      </c>
      <c r="U27" s="89">
        <f t="shared" si="21"/>
        <v>-0.98579161273392912</v>
      </c>
      <c r="V27" s="63">
        <f t="shared" si="22"/>
        <v>4.375</v>
      </c>
    </row>
    <row r="28" spans="1:22" x14ac:dyDescent="0.15">
      <c r="B28">
        <f t="shared" si="23"/>
        <v>600</v>
      </c>
      <c r="C28">
        <v>400</v>
      </c>
      <c r="D28">
        <v>400</v>
      </c>
      <c r="E28">
        <v>15</v>
      </c>
      <c r="F28">
        <v>1.106E-2</v>
      </c>
      <c r="G28">
        <v>1.106E-2</v>
      </c>
      <c r="H28">
        <f t="shared" si="11"/>
        <v>0.30968000000000001</v>
      </c>
      <c r="I28">
        <f t="shared" si="12"/>
        <v>0.33179999999999998</v>
      </c>
      <c r="J28">
        <v>60</v>
      </c>
      <c r="K28">
        <v>60</v>
      </c>
      <c r="L28">
        <f t="shared" si="13"/>
        <v>0.15</v>
      </c>
      <c r="M28">
        <f t="shared" si="14"/>
        <v>0.15</v>
      </c>
      <c r="N28">
        <f t="shared" si="15"/>
        <v>4.6452E-2</v>
      </c>
      <c r="O28">
        <f t="shared" si="16"/>
        <v>0.28203</v>
      </c>
      <c r="Q28" s="88">
        <f t="shared" si="17"/>
        <v>9.3749999999999997E-3</v>
      </c>
      <c r="R28">
        <f t="shared" si="18"/>
        <v>0.64148000000000005</v>
      </c>
      <c r="S28" s="89">
        <f t="shared" si="19"/>
        <v>-0.33785700000000002</v>
      </c>
      <c r="T28" s="62">
        <f t="shared" si="20"/>
        <v>0.34313585255076118</v>
      </c>
      <c r="U28" s="89">
        <f t="shared" si="21"/>
        <v>-0.98461585255076123</v>
      </c>
      <c r="V28" s="63">
        <f t="shared" si="22"/>
        <v>3.75</v>
      </c>
    </row>
    <row r="29" spans="1:22" x14ac:dyDescent="0.15">
      <c r="B29">
        <f t="shared" si="23"/>
        <v>500</v>
      </c>
      <c r="C29">
        <v>400</v>
      </c>
      <c r="D29">
        <v>400</v>
      </c>
      <c r="E29">
        <v>15</v>
      </c>
      <c r="F29">
        <v>1.106E-2</v>
      </c>
      <c r="G29">
        <v>1.106E-2</v>
      </c>
      <c r="H29">
        <f t="shared" si="11"/>
        <v>0.30968000000000001</v>
      </c>
      <c r="I29">
        <f t="shared" si="12"/>
        <v>0.33179999999999998</v>
      </c>
      <c r="J29">
        <v>60</v>
      </c>
      <c r="K29">
        <v>60</v>
      </c>
      <c r="L29">
        <f t="shared" si="13"/>
        <v>0.15</v>
      </c>
      <c r="M29">
        <f t="shared" si="14"/>
        <v>0.15</v>
      </c>
      <c r="N29">
        <f t="shared" si="15"/>
        <v>4.6452E-2</v>
      </c>
      <c r="O29">
        <f t="shared" si="16"/>
        <v>0.28203</v>
      </c>
      <c r="Q29" s="88">
        <f t="shared" si="17"/>
        <v>7.8125E-3</v>
      </c>
      <c r="R29">
        <f t="shared" si="18"/>
        <v>0.64148000000000005</v>
      </c>
      <c r="S29" s="89">
        <f t="shared" si="19"/>
        <v>-0.3362945</v>
      </c>
      <c r="T29" s="62">
        <f t="shared" si="20"/>
        <v>0.34195800633471052</v>
      </c>
      <c r="U29" s="89">
        <f t="shared" si="21"/>
        <v>-0.98343800633471057</v>
      </c>
      <c r="V29" s="63">
        <f t="shared" si="22"/>
        <v>3.125</v>
      </c>
    </row>
    <row r="30" spans="1:22" x14ac:dyDescent="0.15">
      <c r="B30">
        <f t="shared" si="23"/>
        <v>400</v>
      </c>
      <c r="C30">
        <v>400</v>
      </c>
      <c r="D30">
        <v>400</v>
      </c>
      <c r="E30">
        <v>15</v>
      </c>
      <c r="F30">
        <v>1.106E-2</v>
      </c>
      <c r="G30">
        <v>1.106E-2</v>
      </c>
      <c r="H30">
        <f t="shared" si="11"/>
        <v>0.30968000000000001</v>
      </c>
      <c r="I30">
        <f t="shared" si="12"/>
        <v>0.33179999999999998</v>
      </c>
      <c r="J30">
        <v>60</v>
      </c>
      <c r="K30">
        <v>60</v>
      </c>
      <c r="L30">
        <f t="shared" si="13"/>
        <v>0.15</v>
      </c>
      <c r="M30">
        <f t="shared" si="14"/>
        <v>0.15</v>
      </c>
      <c r="N30">
        <f t="shared" si="15"/>
        <v>4.6452E-2</v>
      </c>
      <c r="O30">
        <f t="shared" si="16"/>
        <v>0.28203</v>
      </c>
      <c r="Q30" s="88">
        <f t="shared" si="17"/>
        <v>6.2500000000000003E-3</v>
      </c>
      <c r="R30">
        <f t="shared" si="18"/>
        <v>0.64148000000000005</v>
      </c>
      <c r="S30" s="89">
        <f t="shared" si="19"/>
        <v>-0.33473199999999997</v>
      </c>
      <c r="T30" s="62">
        <f t="shared" si="20"/>
        <v>0.34077806294310664</v>
      </c>
      <c r="U30" s="89">
        <f t="shared" si="21"/>
        <v>-0.98225806294310669</v>
      </c>
      <c r="V30" s="63">
        <f t="shared" si="22"/>
        <v>2.5</v>
      </c>
    </row>
    <row r="31" spans="1:22" x14ac:dyDescent="0.15">
      <c r="B31">
        <f t="shared" si="23"/>
        <v>300</v>
      </c>
      <c r="C31">
        <v>400</v>
      </c>
      <c r="D31">
        <v>400</v>
      </c>
      <c r="E31">
        <v>15</v>
      </c>
      <c r="F31">
        <v>1.106E-2</v>
      </c>
      <c r="G31">
        <v>1.106E-2</v>
      </c>
      <c r="H31">
        <f t="shared" si="11"/>
        <v>0.30968000000000001</v>
      </c>
      <c r="I31">
        <f t="shared" si="12"/>
        <v>0.33179999999999998</v>
      </c>
      <c r="J31">
        <v>60</v>
      </c>
      <c r="K31">
        <v>60</v>
      </c>
      <c r="L31">
        <f t="shared" si="13"/>
        <v>0.15</v>
      </c>
      <c r="M31">
        <f t="shared" si="14"/>
        <v>0.15</v>
      </c>
      <c r="N31">
        <f t="shared" si="15"/>
        <v>4.6452E-2</v>
      </c>
      <c r="O31">
        <f t="shared" si="16"/>
        <v>0.28203</v>
      </c>
      <c r="Q31" s="88">
        <f t="shared" si="17"/>
        <v>4.6874999999999998E-3</v>
      </c>
      <c r="R31">
        <f t="shared" si="18"/>
        <v>0.64148000000000005</v>
      </c>
      <c r="S31" s="89">
        <f t="shared" si="19"/>
        <v>-0.33316950000000001</v>
      </c>
      <c r="T31" s="62">
        <f t="shared" si="20"/>
        <v>0.33959601113372573</v>
      </c>
      <c r="U31" s="89">
        <f t="shared" si="21"/>
        <v>-0.98107601113372578</v>
      </c>
      <c r="V31" s="63">
        <f t="shared" si="22"/>
        <v>1.875</v>
      </c>
    </row>
    <row r="32" spans="1:22" x14ac:dyDescent="0.15">
      <c r="B32">
        <f t="shared" si="23"/>
        <v>200</v>
      </c>
      <c r="C32">
        <v>400</v>
      </c>
      <c r="D32">
        <v>400</v>
      </c>
      <c r="E32">
        <v>15</v>
      </c>
      <c r="F32">
        <v>1.106E-2</v>
      </c>
      <c r="G32">
        <v>1.106E-2</v>
      </c>
      <c r="H32">
        <f t="shared" si="11"/>
        <v>0.30968000000000001</v>
      </c>
      <c r="I32">
        <f t="shared" si="12"/>
        <v>0.33179999999999998</v>
      </c>
      <c r="J32">
        <v>60</v>
      </c>
      <c r="K32">
        <v>60</v>
      </c>
      <c r="L32">
        <f t="shared" si="13"/>
        <v>0.15</v>
      </c>
      <c r="M32">
        <f t="shared" si="14"/>
        <v>0.15</v>
      </c>
      <c r="N32">
        <f t="shared" si="15"/>
        <v>4.6452E-2</v>
      </c>
      <c r="O32">
        <f t="shared" si="16"/>
        <v>0.28203</v>
      </c>
      <c r="Q32" s="88">
        <f t="shared" si="17"/>
        <v>3.1250000000000002E-3</v>
      </c>
      <c r="R32">
        <f t="shared" si="18"/>
        <v>0.64148000000000005</v>
      </c>
      <c r="S32" s="89">
        <f t="shared" si="19"/>
        <v>-0.33160699999999999</v>
      </c>
      <c r="T32" s="62">
        <f t="shared" si="20"/>
        <v>0.33841183956354093</v>
      </c>
      <c r="U32" s="89">
        <f t="shared" si="21"/>
        <v>-0.97989183956354098</v>
      </c>
      <c r="V32" s="63">
        <f t="shared" si="22"/>
        <v>1.25</v>
      </c>
    </row>
    <row r="33" spans="2:22" x14ac:dyDescent="0.15">
      <c r="B33">
        <f t="shared" si="23"/>
        <v>100</v>
      </c>
      <c r="C33">
        <v>400</v>
      </c>
      <c r="D33">
        <v>400</v>
      </c>
      <c r="E33">
        <v>15</v>
      </c>
      <c r="F33">
        <v>1.106E-2</v>
      </c>
      <c r="G33">
        <v>1.106E-2</v>
      </c>
      <c r="H33">
        <f t="shared" si="11"/>
        <v>0.30968000000000001</v>
      </c>
      <c r="I33">
        <f t="shared" si="12"/>
        <v>0.33179999999999998</v>
      </c>
      <c r="J33">
        <v>60</v>
      </c>
      <c r="K33">
        <v>60</v>
      </c>
      <c r="L33">
        <f t="shared" si="13"/>
        <v>0.15</v>
      </c>
      <c r="M33">
        <f t="shared" si="14"/>
        <v>0.15</v>
      </c>
      <c r="N33">
        <f t="shared" si="15"/>
        <v>4.6452E-2</v>
      </c>
      <c r="O33">
        <f t="shared" si="16"/>
        <v>0.28203</v>
      </c>
      <c r="Q33" s="88">
        <f t="shared" si="17"/>
        <v>1.5625000000000001E-3</v>
      </c>
      <c r="R33">
        <f t="shared" si="18"/>
        <v>0.64148000000000005</v>
      </c>
      <c r="S33" s="89">
        <f t="shared" si="19"/>
        <v>-0.33004450000000002</v>
      </c>
      <c r="T33" s="62">
        <f t="shared" si="20"/>
        <v>0.33722553678745215</v>
      </c>
      <c r="U33" s="89">
        <f t="shared" si="21"/>
        <v>-0.9787055367874522</v>
      </c>
      <c r="V33" s="63">
        <f t="shared" si="22"/>
        <v>0.625</v>
      </c>
    </row>
    <row r="34" spans="2:22" x14ac:dyDescent="0.15">
      <c r="B34">
        <f t="shared" si="23"/>
        <v>0</v>
      </c>
      <c r="C34">
        <v>400</v>
      </c>
      <c r="D34">
        <v>400</v>
      </c>
      <c r="E34">
        <v>15</v>
      </c>
      <c r="F34">
        <v>1.106E-2</v>
      </c>
      <c r="G34">
        <v>1.106E-2</v>
      </c>
      <c r="H34">
        <f t="shared" si="11"/>
        <v>0.30968000000000001</v>
      </c>
      <c r="I34">
        <f t="shared" si="12"/>
        <v>0.33179999999999998</v>
      </c>
      <c r="J34">
        <v>60</v>
      </c>
      <c r="K34">
        <v>60</v>
      </c>
      <c r="L34">
        <f t="shared" si="13"/>
        <v>0.15</v>
      </c>
      <c r="M34">
        <f t="shared" si="14"/>
        <v>0.15</v>
      </c>
      <c r="N34">
        <f t="shared" si="15"/>
        <v>4.6452E-2</v>
      </c>
      <c r="O34">
        <f t="shared" si="16"/>
        <v>0.28203</v>
      </c>
      <c r="Q34" s="88">
        <f t="shared" si="17"/>
        <v>0</v>
      </c>
      <c r="R34">
        <f t="shared" si="18"/>
        <v>0.64148000000000005</v>
      </c>
      <c r="S34" s="89">
        <f t="shared" si="19"/>
        <v>-0.328482</v>
      </c>
      <c r="T34" s="62">
        <f t="shared" si="20"/>
        <v>0.33603709125699566</v>
      </c>
      <c r="U34" s="89">
        <f t="shared" si="21"/>
        <v>-0.97751709125699571</v>
      </c>
      <c r="V34" s="63">
        <f t="shared" si="22"/>
        <v>0</v>
      </c>
    </row>
    <row r="39" spans="2:22" x14ac:dyDescent="0.15">
      <c r="P39" t="str">
        <f>[2]!RcCMa(幅B, せいD, 鉄筋dc, 鉄筋at, コンfc, 鉄筋ft, 軸力N, ヤング比n, 計算値)</f>
        <v/>
      </c>
    </row>
    <row r="40" spans="2:22" x14ac:dyDescent="0.15">
      <c r="P40" t="s">
        <v>333</v>
      </c>
    </row>
    <row r="42" spans="2:22" x14ac:dyDescent="0.15">
      <c r="E42" s="99" t="s">
        <v>174</v>
      </c>
      <c r="F42" s="100" t="s">
        <v>323</v>
      </c>
      <c r="G42" s="101" t="s">
        <v>127</v>
      </c>
      <c r="H42" s="101" t="s">
        <v>195</v>
      </c>
      <c r="I42" s="101" t="s">
        <v>196</v>
      </c>
      <c r="J42" s="101" t="s">
        <v>197</v>
      </c>
      <c r="K42" s="101" t="s">
        <v>198</v>
      </c>
      <c r="L42" s="101" t="s">
        <v>199</v>
      </c>
      <c r="M42" s="101" t="s">
        <v>200</v>
      </c>
      <c r="N42" s="101" t="s">
        <v>165</v>
      </c>
      <c r="O42" s="101" t="s">
        <v>335</v>
      </c>
      <c r="P42" s="101" t="s">
        <v>201</v>
      </c>
      <c r="Q42" s="101" t="s">
        <v>202</v>
      </c>
      <c r="R42" s="102" t="s">
        <v>175</v>
      </c>
    </row>
    <row r="43" spans="2:22" x14ac:dyDescent="0.15">
      <c r="E43" s="103" t="s">
        <v>302</v>
      </c>
      <c r="F43" s="52">
        <v>400</v>
      </c>
      <c r="G43" s="35">
        <v>400</v>
      </c>
      <c r="H43" s="34">
        <v>50</v>
      </c>
      <c r="I43" s="34" t="s">
        <v>334</v>
      </c>
      <c r="J43" s="106">
        <v>14</v>
      </c>
      <c r="K43" s="112">
        <v>345</v>
      </c>
      <c r="L43" s="105">
        <v>1000</v>
      </c>
      <c r="M43" s="106">
        <v>15</v>
      </c>
      <c r="N43" s="38" t="e">
        <f>[2]!RcCMa($F43/10,$G43/10,$H43/10,$I43/10,$J43*10,$K43*10, $L43/10, $M43,0)*10</f>
        <v>#VALUE!</v>
      </c>
      <c r="O43" s="124">
        <f>[2]!RcCMa($F43/10,$G43/10,$H43/10,$I43,$J43*10,$K43*10, $L43/10, $M43,3)</f>
        <v>0.71710795164108276</v>
      </c>
      <c r="P43" s="38">
        <f>[2]!RcCMa($F43/10,$G43/10,$H43/10,$I43,$J43*10,$K43*10, $L43/10, $M43,0)*10</f>
        <v>134.8370361328125</v>
      </c>
      <c r="Q43" s="107">
        <v>60.4</v>
      </c>
      <c r="R43" s="108" t="str">
        <f t="shared" ref="R43:R58" si="24">IF(P43&gt;Q43,"OK","NG")</f>
        <v>OK</v>
      </c>
      <c r="T43">
        <f>[2]!RcPt(F43/10, G43/10, H43/10, I43)</f>
        <v>1.1057142168283463E-2</v>
      </c>
    </row>
    <row r="44" spans="2:22" x14ac:dyDescent="0.15">
      <c r="E44" s="109" t="s">
        <v>177</v>
      </c>
      <c r="F44" s="52">
        <v>400</v>
      </c>
      <c r="G44" s="35">
        <v>400</v>
      </c>
      <c r="H44" s="34">
        <v>50</v>
      </c>
      <c r="I44" s="34" t="s">
        <v>334</v>
      </c>
      <c r="J44" s="106">
        <v>14</v>
      </c>
      <c r="K44" s="112">
        <v>345</v>
      </c>
      <c r="L44" s="105">
        <f>L43-100</f>
        <v>900</v>
      </c>
      <c r="M44" s="106">
        <v>15</v>
      </c>
      <c r="N44" s="121" t="str">
        <f>[2]!RcCMaC(F44/10,G44/10,H44,J44*10,K44*10, L44/10, M44,3)</f>
        <v>#00</v>
      </c>
      <c r="O44" s="124">
        <f>[2]!RcCMa($F44/10,$G44/10,$H44/10,$I44,$J44*10,$K44*10, $L44/10, $M44,3)</f>
        <v>0.66170859336853027</v>
      </c>
      <c r="P44" s="38">
        <f>[2]!RcCMa($F44/10,$G44/10,$H44/10,$I44,$J44*10,$K44*10, $L44/10, $M44,0)*10</f>
        <v>138.10417480468749</v>
      </c>
      <c r="Q44" s="113">
        <v>60.4</v>
      </c>
      <c r="R44" s="114" t="str">
        <f t="shared" si="24"/>
        <v>OK</v>
      </c>
      <c r="T44">
        <f>[2]!RcPt(F44/10, G44/10, H44/10, I44)</f>
        <v>1.1057142168283463E-2</v>
      </c>
    </row>
    <row r="45" spans="2:22" x14ac:dyDescent="0.15">
      <c r="E45" s="109" t="s">
        <v>178</v>
      </c>
      <c r="F45" s="52">
        <v>400</v>
      </c>
      <c r="G45" s="35">
        <v>400</v>
      </c>
      <c r="H45" s="34">
        <v>50</v>
      </c>
      <c r="I45" s="34" t="s">
        <v>334</v>
      </c>
      <c r="J45" s="112">
        <v>14</v>
      </c>
      <c r="K45" s="112">
        <v>345</v>
      </c>
      <c r="L45" s="105">
        <f t="shared" ref="L45:L58" si="25">L44-100</f>
        <v>800</v>
      </c>
      <c r="M45" s="112">
        <v>15</v>
      </c>
      <c r="N45" s="122" t="str">
        <f>[2]!RcCMaC(F45/10,G45/10,H45,J45*10,K45*10, L45/10, M45,3)</f>
        <v>#00</v>
      </c>
      <c r="O45" s="124">
        <f>[2]!RcCMa($F45/10,$G45/10,$H45/10,$I45,$J45*10,$K45*10, $L45/10, $M45,3)</f>
        <v>0.60977834463119507</v>
      </c>
      <c r="P45" s="38">
        <f>[2]!RcCMa($F45/10,$G45/10,$H45/10,$I45,$J45*10,$K45*10, $L45/10, $M45,0)*10</f>
        <v>141.03886718749999</v>
      </c>
      <c r="Q45" s="113">
        <v>60</v>
      </c>
      <c r="R45" s="114" t="str">
        <f t="shared" si="24"/>
        <v>OK</v>
      </c>
      <c r="T45">
        <f>[2]!RcPt(F45/10, G45/10, H45/10, I45)</f>
        <v>1.1057142168283463E-2</v>
      </c>
    </row>
    <row r="46" spans="2:22" x14ac:dyDescent="0.15">
      <c r="E46" s="109" t="s">
        <v>179</v>
      </c>
      <c r="F46" s="52">
        <v>400</v>
      </c>
      <c r="G46" s="35">
        <v>400</v>
      </c>
      <c r="H46" s="34">
        <v>50</v>
      </c>
      <c r="I46" s="34" t="s">
        <v>334</v>
      </c>
      <c r="J46" s="112">
        <v>14</v>
      </c>
      <c r="K46" s="112">
        <v>345</v>
      </c>
      <c r="L46" s="105">
        <f t="shared" si="25"/>
        <v>700</v>
      </c>
      <c r="M46" s="112">
        <v>15</v>
      </c>
      <c r="N46" s="122" t="str">
        <f>[2]!RcCMaC(F46/10,G46/10,H46,J46*10,K46*10, L46/10, M46,3)</f>
        <v>#00</v>
      </c>
      <c r="O46" s="124">
        <f>[2]!RcCMa($F46/10,$G46/10,$H46/10,$I46,$J46*10,$K46*10, $L46/10, $M46,3)</f>
        <v>0.56145781278610229</v>
      </c>
      <c r="P46" s="38">
        <f>[2]!RcCMa($F46/10,$G46/10,$H46/10,$I46,$J46*10,$K46*10, $L46/10, $M46,0)*10</f>
        <v>143.82816162109376</v>
      </c>
      <c r="Q46" s="113">
        <v>60</v>
      </c>
      <c r="R46" s="114" t="str">
        <f t="shared" si="24"/>
        <v>OK</v>
      </c>
      <c r="T46">
        <f>[2]!RcPt(F46/10, G46/10, H46/10, I46)</f>
        <v>1.1057142168283463E-2</v>
      </c>
    </row>
    <row r="47" spans="2:22" x14ac:dyDescent="0.15">
      <c r="E47" s="109" t="s">
        <v>180</v>
      </c>
      <c r="F47" s="52">
        <v>400</v>
      </c>
      <c r="G47" s="35">
        <v>400</v>
      </c>
      <c r="H47" s="34">
        <v>50</v>
      </c>
      <c r="I47" s="34" t="s">
        <v>334</v>
      </c>
      <c r="J47" s="112">
        <v>14</v>
      </c>
      <c r="K47" s="112">
        <v>345</v>
      </c>
      <c r="L47" s="105">
        <f t="shared" si="25"/>
        <v>600</v>
      </c>
      <c r="M47" s="112">
        <v>15</v>
      </c>
      <c r="N47" s="122" t="str">
        <f>[2]!RcCMaC(F47/10,G47/10,H47,J47*10,K47*10, L47/10, M47,3)</f>
        <v>#00</v>
      </c>
      <c r="O47" s="124">
        <f>[2]!RcCMa($F47/10,$G47/10,$H47/10,$I47,$J47*10,$K47*10, $L47/10, $M47,3)</f>
        <v>0.51682084798812866</v>
      </c>
      <c r="P47" s="38">
        <f>[2]!RcCMa($F47/10,$G47/10,$H47/10,$I47,$J47*10,$K47*10, $L47/10, $M47,0)*10</f>
        <v>146.64279785156251</v>
      </c>
      <c r="Q47" s="113">
        <v>60</v>
      </c>
      <c r="R47" s="114" t="str">
        <f t="shared" si="24"/>
        <v>OK</v>
      </c>
      <c r="T47">
        <f>[2]!RcPt(F47/10, G47/10, H47/10, I47)</f>
        <v>1.1057142168283463E-2</v>
      </c>
    </row>
    <row r="48" spans="2:22" x14ac:dyDescent="0.15">
      <c r="E48" s="109" t="s">
        <v>303</v>
      </c>
      <c r="F48" s="52">
        <v>400</v>
      </c>
      <c r="G48" s="35">
        <v>400</v>
      </c>
      <c r="H48" s="34">
        <v>50</v>
      </c>
      <c r="I48" s="34" t="s">
        <v>334</v>
      </c>
      <c r="J48" s="112">
        <v>14</v>
      </c>
      <c r="K48" s="112">
        <v>345</v>
      </c>
      <c r="L48" s="105">
        <f t="shared" si="25"/>
        <v>500</v>
      </c>
      <c r="M48" s="112">
        <v>15</v>
      </c>
      <c r="N48" s="122" t="str">
        <f>[2]!RcCMaC(F48/10,G48/10,H48,J48*10,K48*10, L48/10, M48,3)</f>
        <v>#00</v>
      </c>
      <c r="O48" s="124">
        <f>[2]!RcCMa($F48/10,$G48/10,$H48/10,$I48,$J48*10,$K48*10, $L48/10, $M48,3)</f>
        <v>0.47586739063262939</v>
      </c>
      <c r="P48" s="38">
        <f>[2]!RcCMa($F48/10,$G48/10,$H48/10,$I48,$J48*10,$K48*10, $L48/10, $M48,0)*10</f>
        <v>149.63009033203124</v>
      </c>
      <c r="Q48" s="113">
        <v>60</v>
      </c>
      <c r="R48" s="114" t="str">
        <f t="shared" si="24"/>
        <v>OK</v>
      </c>
      <c r="T48">
        <f>[2]!RcPt(F48/10, G48/10, H48/10, I48)</f>
        <v>1.1057142168283463E-2</v>
      </c>
    </row>
    <row r="49" spans="5:20" x14ac:dyDescent="0.15">
      <c r="E49" s="109" t="s">
        <v>182</v>
      </c>
      <c r="F49" s="52">
        <v>400</v>
      </c>
      <c r="G49" s="35">
        <v>400</v>
      </c>
      <c r="H49" s="34">
        <v>50</v>
      </c>
      <c r="I49" s="34" t="s">
        <v>334</v>
      </c>
      <c r="J49" s="112">
        <v>14</v>
      </c>
      <c r="K49" s="112">
        <v>345</v>
      </c>
      <c r="L49" s="105">
        <f t="shared" si="25"/>
        <v>400</v>
      </c>
      <c r="M49" s="112">
        <v>15</v>
      </c>
      <c r="N49" s="122" t="str">
        <f>[2]!RcCMaC(F49/10,G49/10,H49,J49*10,K49*10, L49/10, M49,3)</f>
        <v>#00</v>
      </c>
      <c r="O49" s="124">
        <f>[2]!RcCMa($F49/10,$G49/10,$H49/10,$I49,$J49*10,$K49*10, $L49/10, $M49,3)</f>
        <v>0.43852329254150391</v>
      </c>
      <c r="P49" s="38">
        <f>[2]!RcCMa($F49/10,$G49/10,$H49/10,$I49,$J49*10,$K49*10, $L49/10, $M49,0)*10</f>
        <v>152.90895996093749</v>
      </c>
      <c r="Q49" s="113">
        <v>60</v>
      </c>
      <c r="R49" s="114" t="str">
        <f t="shared" si="24"/>
        <v>OK</v>
      </c>
      <c r="T49">
        <f>[2]!RcPt(F49/10, G49/10, H49/10, I49)</f>
        <v>1.1057142168283463E-2</v>
      </c>
    </row>
    <row r="50" spans="5:20" x14ac:dyDescent="0.15">
      <c r="E50" s="109" t="s">
        <v>183</v>
      </c>
      <c r="F50" s="52">
        <v>400</v>
      </c>
      <c r="G50" s="35">
        <v>400</v>
      </c>
      <c r="H50" s="34">
        <v>50</v>
      </c>
      <c r="I50" s="34" t="s">
        <v>334</v>
      </c>
      <c r="J50" s="112">
        <v>14</v>
      </c>
      <c r="K50" s="112">
        <v>345</v>
      </c>
      <c r="L50" s="105">
        <f t="shared" si="25"/>
        <v>300</v>
      </c>
      <c r="M50" s="112">
        <v>15</v>
      </c>
      <c r="N50" s="122" t="str">
        <f>[2]!RcCMaC(F50/10,G50/10,H50,J50*10,K50*10, L50/10, M50,3)</f>
        <v>#00</v>
      </c>
      <c r="O50" s="124">
        <f>[2]!RcCMa($F50/10,$G50/10,$H50/10,$I50,$J50*10,$K50*10, $L50/10, $M50,3)</f>
        <v>0.40464770793914795</v>
      </c>
      <c r="P50" s="38">
        <f>[2]!RcCMa($F50/10,$G50/10,$H50/10,$I50,$J50*10,$K50*10, $L50/10, $M50,0)*10</f>
        <v>156.56789550781249</v>
      </c>
      <c r="Q50" s="113">
        <v>60</v>
      </c>
      <c r="R50" s="114" t="str">
        <f t="shared" si="24"/>
        <v>OK</v>
      </c>
      <c r="T50">
        <f>[2]!RcPt(F50/10, G50/10, H50/10, I50)</f>
        <v>1.1057142168283463E-2</v>
      </c>
    </row>
    <row r="51" spans="5:20" x14ac:dyDescent="0.15">
      <c r="E51" s="109" t="s">
        <v>184</v>
      </c>
      <c r="F51" s="52">
        <v>400</v>
      </c>
      <c r="G51" s="35">
        <v>400</v>
      </c>
      <c r="H51" s="34">
        <v>50</v>
      </c>
      <c r="I51" s="34" t="s">
        <v>334</v>
      </c>
      <c r="J51" s="112">
        <v>14</v>
      </c>
      <c r="K51" s="112">
        <v>345</v>
      </c>
      <c r="L51" s="105">
        <f t="shared" si="25"/>
        <v>200</v>
      </c>
      <c r="M51" s="112">
        <v>15</v>
      </c>
      <c r="N51" s="122" t="str">
        <f>[2]!RcCMaC(F51/10,G51/10,H51,J51*10,K51*10, L51/10, M51,3)</f>
        <v>#00</v>
      </c>
      <c r="O51" s="124">
        <f>[2]!RcCMa($F51/10,$G51/10,$H51/10,$I51,$J51*10,$K51*10, $L51/10, $M51,3)</f>
        <v>0.37404584884643555</v>
      </c>
      <c r="P51" s="38">
        <f>[2]!RcCMa($F51/10,$G51/10,$H51/10,$I51,$J51*10,$K51*10, $L51/10, $M51,0)*10</f>
        <v>160.665771484375</v>
      </c>
      <c r="Q51" s="113">
        <v>60</v>
      </c>
      <c r="R51" s="114" t="str">
        <f t="shared" si="24"/>
        <v>OK</v>
      </c>
      <c r="T51">
        <f>[2]!RcPt(F51/10, G51/10, H51/10, I51)</f>
        <v>1.1057142168283463E-2</v>
      </c>
    </row>
    <row r="52" spans="5:20" x14ac:dyDescent="0.15">
      <c r="E52" s="109" t="s">
        <v>185</v>
      </c>
      <c r="F52" s="52">
        <v>400</v>
      </c>
      <c r="G52" s="35">
        <v>400</v>
      </c>
      <c r="H52" s="34">
        <v>50</v>
      </c>
      <c r="I52" s="34" t="s">
        <v>334</v>
      </c>
      <c r="J52" s="112">
        <v>14</v>
      </c>
      <c r="K52" s="112">
        <v>345</v>
      </c>
      <c r="L52" s="105">
        <f t="shared" si="25"/>
        <v>100</v>
      </c>
      <c r="M52" s="112">
        <v>15</v>
      </c>
      <c r="N52" s="122" t="str">
        <f>[2]!RcCMaC(F52/10,G52/10,H52,J52*10,K52*10, L52/10, M52,3)</f>
        <v>#00</v>
      </c>
      <c r="O52" s="124">
        <f>[2]!RcCMa($F52/10,$G52/10,$H52/10,$I52,$J52*10,$K52*10, $L52/10, $M52,3)</f>
        <v>0.34648481011390686</v>
      </c>
      <c r="P52" s="38">
        <f>[2]!RcCMa($F52/10,$G52/10,$H52/10,$I52,$J52*10,$K52*10, $L52/10, $M52,0)*10</f>
        <v>165.23494873046874</v>
      </c>
      <c r="Q52" s="113">
        <v>60</v>
      </c>
      <c r="R52" s="114" t="str">
        <f t="shared" si="24"/>
        <v>OK</v>
      </c>
      <c r="T52">
        <f>[2]!RcPt(F52/10, G52/10, H52/10, I52)</f>
        <v>1.1057142168283463E-2</v>
      </c>
    </row>
    <row r="53" spans="5:20" x14ac:dyDescent="0.15">
      <c r="E53" s="109" t="s">
        <v>304</v>
      </c>
      <c r="F53" s="52">
        <v>400</v>
      </c>
      <c r="G53" s="35">
        <v>400</v>
      </c>
      <c r="H53" s="34">
        <v>50</v>
      </c>
      <c r="I53" s="34" t="s">
        <v>334</v>
      </c>
      <c r="J53" s="112">
        <v>14</v>
      </c>
      <c r="K53" s="112">
        <v>345</v>
      </c>
      <c r="L53" s="105">
        <f t="shared" si="25"/>
        <v>0</v>
      </c>
      <c r="M53" s="112">
        <v>15</v>
      </c>
      <c r="N53" s="122" t="str">
        <f>[2]!RcCMaC(F53/10,G53/10,H53,J53*10,K53*10, L53/10, M53,3)</f>
        <v>#00</v>
      </c>
      <c r="O53" s="124">
        <f>[2]!RcCMa($F53/10,$G53/10,$H53/10,$I53,$J53*10,$K53*10, $L53/10, $M53,3)</f>
        <v>0.3217100203037262</v>
      </c>
      <c r="P53" s="38">
        <f>[2]!RcCMa($F53/10,$G53/10,$H53/10,$I53,$J53*10,$K53*10, $L53/10, $M53,0)*10</f>
        <v>162.66356201171874</v>
      </c>
      <c r="Q53" s="113">
        <v>60</v>
      </c>
      <c r="R53" s="114" t="str">
        <f t="shared" si="24"/>
        <v>OK</v>
      </c>
      <c r="T53">
        <f>[2]!RcPt(F53/10, G53/10, H53/10, I53)</f>
        <v>1.1057142168283463E-2</v>
      </c>
    </row>
    <row r="54" spans="5:20" x14ac:dyDescent="0.15">
      <c r="E54" s="109" t="s">
        <v>187</v>
      </c>
      <c r="F54" s="52">
        <v>400</v>
      </c>
      <c r="G54" s="35">
        <v>400</v>
      </c>
      <c r="H54" s="34">
        <v>50</v>
      </c>
      <c r="I54" s="34" t="s">
        <v>334</v>
      </c>
      <c r="J54" s="112">
        <v>14</v>
      </c>
      <c r="K54" s="112">
        <v>345</v>
      </c>
      <c r="L54" s="105">
        <f t="shared" si="25"/>
        <v>-100</v>
      </c>
      <c r="M54" s="112">
        <v>15</v>
      </c>
      <c r="N54" s="122" t="str">
        <f>[2]!RcCMaC(F54/10,G54/10,H54,J54*10,K54*10, L54/10, M54,3)</f>
        <v>#00</v>
      </c>
      <c r="O54" s="124">
        <f>[2]!RcCMa($F54/10,$G54/10,$H54/10,$I54,$J54*10,$K54*10, $L54/10, $M54,3)</f>
        <v>0.29540818929672241</v>
      </c>
      <c r="P54" s="38">
        <f>[2]!RcCMa($F54/10,$G54/10,$H54/10,$I54,$J54*10,$K54*10, $L54/10, $M54,0)*10</f>
        <v>148.15800781249999</v>
      </c>
      <c r="Q54" s="113">
        <v>60</v>
      </c>
      <c r="R54" s="114" t="str">
        <f t="shared" si="24"/>
        <v>OK</v>
      </c>
      <c r="T54">
        <f>[2]!RcPt(F54/10, G54/10, H54/10, I54)</f>
        <v>1.1057142168283463E-2</v>
      </c>
    </row>
    <row r="55" spans="5:20" x14ac:dyDescent="0.15">
      <c r="E55" s="109" t="s">
        <v>188</v>
      </c>
      <c r="F55" s="52">
        <v>400</v>
      </c>
      <c r="G55" s="35">
        <v>400</v>
      </c>
      <c r="H55" s="34">
        <v>50</v>
      </c>
      <c r="I55" s="34" t="s">
        <v>334</v>
      </c>
      <c r="J55" s="112">
        <v>14</v>
      </c>
      <c r="K55" s="112">
        <v>345</v>
      </c>
      <c r="L55" s="105">
        <f t="shared" si="25"/>
        <v>-200</v>
      </c>
      <c r="M55" s="112">
        <v>15</v>
      </c>
      <c r="N55" s="122" t="str">
        <f>[2]!RcCMaC(F55/10,G55/10,H55,J55*10,K55*10, L55/10, M55,3)</f>
        <v>#00</v>
      </c>
      <c r="O55" s="124">
        <f>[2]!RcCMa($F55/10,$G55/10,$H55/10,$I55,$J55*10,$K55*10, $L55/10, $M55,3)</f>
        <v>0.26488834619522095</v>
      </c>
      <c r="P55" s="38">
        <f>[2]!RcCMa($F55/10,$G55/10,$H55/10,$I55,$J55*10,$K55*10, $L55/10, $M55,0)*10</f>
        <v>133.32474365234376</v>
      </c>
      <c r="Q55" s="113">
        <v>60</v>
      </c>
      <c r="R55" s="114" t="str">
        <f t="shared" si="24"/>
        <v>OK</v>
      </c>
      <c r="T55">
        <f>[2]!RcPt(F55/10, G55/10, H55/10, I55)</f>
        <v>1.1057142168283463E-2</v>
      </c>
    </row>
    <row r="56" spans="5:20" x14ac:dyDescent="0.15">
      <c r="E56" s="109" t="s">
        <v>189</v>
      </c>
      <c r="F56" s="52">
        <v>400</v>
      </c>
      <c r="G56" s="35">
        <v>400</v>
      </c>
      <c r="H56" s="34">
        <v>50</v>
      </c>
      <c r="I56" s="34" t="s">
        <v>334</v>
      </c>
      <c r="J56" s="112">
        <v>14</v>
      </c>
      <c r="K56" s="112">
        <v>345</v>
      </c>
      <c r="L56" s="105">
        <f t="shared" si="25"/>
        <v>-300</v>
      </c>
      <c r="M56" s="112">
        <v>15</v>
      </c>
      <c r="N56" s="122" t="str">
        <f>[2]!RcCMaC(F56/10,G56/10,H56,J56*10,K56*10, L56/10, M56,3)</f>
        <v>#00</v>
      </c>
      <c r="O56" s="124">
        <f>[2]!RcCMa($F56/10,$G56/10,$H56/10,$I56,$J56*10,$K56*10, $L56/10, $M56,3)</f>
        <v>0.22848385572433472</v>
      </c>
      <c r="P56" s="38">
        <f>[2]!RcCMa($F56/10,$G56/10,$H56/10,$I56,$J56*10,$K56*10, $L56/10, $M56,0)*10</f>
        <v>118.12050781250001</v>
      </c>
      <c r="Q56" s="113">
        <v>60</v>
      </c>
      <c r="R56" s="114" t="str">
        <f t="shared" si="24"/>
        <v>OK</v>
      </c>
      <c r="T56">
        <f>[2]!RcPt(F56/10, G56/10, H56/10, I56)</f>
        <v>1.1057142168283463E-2</v>
      </c>
    </row>
    <row r="57" spans="5:20" x14ac:dyDescent="0.15">
      <c r="E57" s="109" t="s">
        <v>190</v>
      </c>
      <c r="F57" s="52">
        <v>400</v>
      </c>
      <c r="G57" s="35">
        <v>400</v>
      </c>
      <c r="H57" s="34">
        <v>50</v>
      </c>
      <c r="I57" s="34" t="s">
        <v>334</v>
      </c>
      <c r="J57" s="112">
        <v>14</v>
      </c>
      <c r="K57" s="112">
        <v>345</v>
      </c>
      <c r="L57" s="105">
        <f t="shared" si="25"/>
        <v>-400</v>
      </c>
      <c r="M57" s="112">
        <v>15</v>
      </c>
      <c r="N57" s="122" t="str">
        <f>[2]!RcCMaC(F57/10,G57/10,H57,J57*10,K57*10, L57/10, M57,3)</f>
        <v>#00</v>
      </c>
      <c r="O57" s="124">
        <f>[2]!RcCMa($F57/10,$G57/10,$H57/10,$I57,$J57*10,$K57*10, $L57/10, $M57,3)</f>
        <v>0.18312987685203552</v>
      </c>
      <c r="P57" s="38">
        <f>[2]!RcCMa($F57/10,$G57/10,$H57/10,$I57,$J57*10,$K57*10, $L57/10, $M57,0)*10</f>
        <v>102.49969482421875</v>
      </c>
      <c r="Q57" s="113">
        <v>60</v>
      </c>
      <c r="R57" s="114" t="str">
        <f t="shared" si="24"/>
        <v>OK</v>
      </c>
      <c r="T57">
        <f>[2]!RcPt(F57/10, G57/10, H57/10, I57)</f>
        <v>1.1057142168283463E-2</v>
      </c>
    </row>
    <row r="58" spans="5:20" x14ac:dyDescent="0.15">
      <c r="E58" s="115" t="s">
        <v>190</v>
      </c>
      <c r="F58" s="52">
        <v>400</v>
      </c>
      <c r="G58" s="35">
        <v>400</v>
      </c>
      <c r="H58" s="34">
        <v>50</v>
      </c>
      <c r="I58" s="34" t="s">
        <v>334</v>
      </c>
      <c r="J58" s="118">
        <v>14</v>
      </c>
      <c r="K58" s="118">
        <v>345</v>
      </c>
      <c r="L58" s="105">
        <f t="shared" si="25"/>
        <v>-500</v>
      </c>
      <c r="M58" s="118">
        <v>15</v>
      </c>
      <c r="N58" s="123" t="str">
        <f>[2]!RcCMaC(F58/10,G58/10,H58,J58*10,K58*10, L58/10, M58,3)</f>
        <v>#00</v>
      </c>
      <c r="O58" s="124">
        <f>[2]!RcCMa($F58/10,$G58/10,$H58/10,$I58,$J58*10,$K58*10, $L58/10, $M58,3)</f>
        <v>0.12186506390571594</v>
      </c>
      <c r="P58" s="38">
        <f>[2]!RcCMa($F58/10,$G58/10,$H58/10,$I58,$J58*10,$K58*10, $L58/10, $M58,0)*10</f>
        <v>86.442596435546875</v>
      </c>
      <c r="Q58" s="119">
        <v>60</v>
      </c>
      <c r="R58" s="120" t="str">
        <f t="shared" si="24"/>
        <v>OK</v>
      </c>
      <c r="T58">
        <f>[2]!RcPt(F58/10, G58/10, H58/10, I58)</f>
        <v>1.1057142168283463E-2</v>
      </c>
    </row>
  </sheetData>
  <phoneticPr fontId="3"/>
  <pageMargins left="0.75" right="0.75" top="1" bottom="1" header="0.51200000000000001" footer="0.5120000000000000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X38"/>
  <sheetViews>
    <sheetView topLeftCell="A4" workbookViewId="0">
      <selection activeCell="M9" sqref="M9"/>
    </sheetView>
  </sheetViews>
  <sheetFormatPr defaultRowHeight="12" x14ac:dyDescent="0.15"/>
  <cols>
    <col min="1" max="1" width="4.6640625" customWidth="1"/>
    <col min="2" max="15" width="6.6640625" customWidth="1"/>
    <col min="19" max="19" width="9.88671875" bestFit="1" customWidth="1"/>
    <col min="21" max="21" width="9.33203125" bestFit="1" customWidth="1"/>
    <col min="22" max="22" width="9.88671875" bestFit="1" customWidth="1"/>
  </cols>
  <sheetData>
    <row r="2" spans="2:24" x14ac:dyDescent="0.15">
      <c r="B2" t="s">
        <v>338</v>
      </c>
    </row>
    <row r="4" spans="2:24" x14ac:dyDescent="0.15">
      <c r="B4" t="s">
        <v>336</v>
      </c>
      <c r="E4" t="s">
        <v>340</v>
      </c>
    </row>
    <row r="6" spans="2:24" x14ac:dyDescent="0.15">
      <c r="B6" t="s">
        <v>343</v>
      </c>
    </row>
    <row r="8" spans="2:24" x14ac:dyDescent="0.15">
      <c r="B8" s="99" t="s">
        <v>174</v>
      </c>
      <c r="C8" s="100" t="s">
        <v>193</v>
      </c>
      <c r="D8" s="101" t="s">
        <v>194</v>
      </c>
      <c r="E8" s="101" t="s">
        <v>195</v>
      </c>
      <c r="F8" s="101" t="s">
        <v>196</v>
      </c>
      <c r="G8" s="101" t="s">
        <v>197</v>
      </c>
      <c r="H8" s="101" t="s">
        <v>198</v>
      </c>
      <c r="I8" s="101" t="s">
        <v>199</v>
      </c>
      <c r="J8" s="101" t="s">
        <v>200</v>
      </c>
      <c r="K8" s="101" t="s">
        <v>165</v>
      </c>
      <c r="L8" s="101" t="s">
        <v>167</v>
      </c>
      <c r="M8" s="101" t="s">
        <v>201</v>
      </c>
      <c r="N8" s="101" t="s">
        <v>202</v>
      </c>
      <c r="O8" s="102" t="s">
        <v>175</v>
      </c>
      <c r="R8">
        <v>64.81</v>
      </c>
      <c r="S8">
        <v>168</v>
      </c>
      <c r="T8">
        <v>14</v>
      </c>
      <c r="U8">
        <v>500</v>
      </c>
      <c r="V8" s="89">
        <f>S8*1000/U8^2/T8</f>
        <v>4.8000000000000001E-2</v>
      </c>
      <c r="W8" s="89">
        <f>R8*1000*1000/U8^3/T8</f>
        <v>3.7034285714285721E-2</v>
      </c>
    </row>
    <row r="9" spans="2:24" x14ac:dyDescent="0.15">
      <c r="B9" s="103" t="s">
        <v>341</v>
      </c>
      <c r="C9" s="52">
        <v>500</v>
      </c>
      <c r="D9" s="35">
        <v>190</v>
      </c>
      <c r="E9" s="34" t="s">
        <v>344</v>
      </c>
      <c r="F9" s="106">
        <f>[2]!Bar(E9,11)*100</f>
        <v>1721.9999313354492</v>
      </c>
      <c r="G9" s="106">
        <v>14</v>
      </c>
      <c r="H9" s="106">
        <v>345</v>
      </c>
      <c r="I9" s="105">
        <v>38</v>
      </c>
      <c r="J9" s="106">
        <v>15</v>
      </c>
      <c r="K9" s="121">
        <f>[2]!RcCMaC(C9/10,D9/10,E9,G9*10,H9*10, I9/10, J9,3)</f>
        <v>66.16450693413779</v>
      </c>
      <c r="L9" s="37">
        <f>[2]!RcCMaC(C9/10,D9/10,E9,G9*10,H9*10,I9/10,J9,4)</f>
        <v>57.939743400844101</v>
      </c>
      <c r="M9" s="127">
        <f>[2]!RcCMaC(C9/10,D9/10,E9,G9*10,H9*10, I9/10, J9,0)*10</f>
        <v>57.496345043182373</v>
      </c>
      <c r="N9" s="128">
        <v>56.73</v>
      </c>
      <c r="O9" s="108" t="str">
        <f>IF(M9&gt;N9,"OK","NG")</f>
        <v>OK</v>
      </c>
      <c r="R9">
        <v>64.81</v>
      </c>
      <c r="S9">
        <v>168</v>
      </c>
      <c r="T9">
        <v>345</v>
      </c>
      <c r="U9">
        <v>500</v>
      </c>
      <c r="V9" s="89">
        <f>S9*1000/U9^2/T9</f>
        <v>1.9478260869565218E-3</v>
      </c>
      <c r="W9" s="89">
        <f>R9*1000*1000/U9^3/T9</f>
        <v>1.502840579710145E-3</v>
      </c>
    </row>
    <row r="10" spans="2:24" x14ac:dyDescent="0.15">
      <c r="B10" s="115" t="s">
        <v>342</v>
      </c>
      <c r="C10" s="125">
        <f t="shared" ref="C10:H10" si="0">+C9</f>
        <v>500</v>
      </c>
      <c r="D10" s="126">
        <f t="shared" si="0"/>
        <v>190</v>
      </c>
      <c r="E10" s="45" t="str">
        <f t="shared" si="0"/>
        <v>6-D19</v>
      </c>
      <c r="F10" s="118">
        <f t="shared" si="0"/>
        <v>1721.9999313354492</v>
      </c>
      <c r="G10" s="118">
        <v>14</v>
      </c>
      <c r="H10" s="118">
        <f t="shared" si="0"/>
        <v>345</v>
      </c>
      <c r="I10" s="117">
        <v>145</v>
      </c>
      <c r="J10" s="118">
        <f>+J9</f>
        <v>15</v>
      </c>
      <c r="K10" s="123">
        <f>[2]!RcCMaC(C10/10,D10/10,E10,G10*10,H10*10, I10/10, J10,3)</f>
        <v>70.276895530973803</v>
      </c>
      <c r="L10" s="47">
        <f>[2]!RcCMaC(C10/10,D10/10,E10,G10*10,H10*10,I10/10,J10,4)</f>
        <v>57.939743400844101</v>
      </c>
      <c r="M10" s="129">
        <f>[2]!RcCMaC(C10/10,D10/10,E10,G10*10,H10*10, I10/10, J10,0)*10</f>
        <v>63.451719284057617</v>
      </c>
      <c r="N10" s="130">
        <v>56.73</v>
      </c>
      <c r="O10" s="120" t="str">
        <f>IF(M10&gt;N10,"OK","NG")</f>
        <v>OK</v>
      </c>
      <c r="R10">
        <v>64.81</v>
      </c>
      <c r="S10">
        <v>168</v>
      </c>
      <c r="T10">
        <v>345</v>
      </c>
      <c r="U10">
        <v>500</v>
      </c>
      <c r="V10" s="89">
        <f>S10*1000/U10^2/T10</f>
        <v>1.9478260869565218E-3</v>
      </c>
      <c r="W10" s="89">
        <f>R10*1000*1000/U10^3/T10</f>
        <v>1.502840579710145E-3</v>
      </c>
    </row>
    <row r="12" spans="2:24" x14ac:dyDescent="0.15">
      <c r="B12" s="21" t="s">
        <v>310</v>
      </c>
      <c r="C12" t="s">
        <v>150</v>
      </c>
      <c r="H12" t="s">
        <v>208</v>
      </c>
      <c r="I12" s="21" t="s">
        <v>217</v>
      </c>
      <c r="J12" t="s">
        <v>155</v>
      </c>
      <c r="N12" t="s">
        <v>218</v>
      </c>
    </row>
    <row r="13" spans="2:24" x14ac:dyDescent="0.15">
      <c r="B13" s="21" t="s">
        <v>209</v>
      </c>
      <c r="C13" t="s">
        <v>151</v>
      </c>
      <c r="H13" t="s">
        <v>210</v>
      </c>
      <c r="I13" s="21" t="s">
        <v>219</v>
      </c>
      <c r="J13" t="s">
        <v>156</v>
      </c>
    </row>
    <row r="14" spans="2:24" ht="13.2" x14ac:dyDescent="0.15">
      <c r="B14" s="21" t="s">
        <v>211</v>
      </c>
      <c r="C14" t="s">
        <v>152</v>
      </c>
      <c r="H14" t="s">
        <v>212</v>
      </c>
      <c r="I14" s="21" t="s">
        <v>220</v>
      </c>
      <c r="J14" t="s">
        <v>157</v>
      </c>
      <c r="W14">
        <f>0.005/20</f>
        <v>2.5000000000000001E-4</v>
      </c>
      <c r="X14">
        <f>W10/W14</f>
        <v>6.0113623188405798</v>
      </c>
    </row>
    <row r="15" spans="2:24" ht="13.2" x14ac:dyDescent="0.15">
      <c r="B15" s="21" t="s">
        <v>213</v>
      </c>
      <c r="C15" t="s">
        <v>153</v>
      </c>
      <c r="G15" t="s">
        <v>214</v>
      </c>
      <c r="I15" s="21" t="s">
        <v>221</v>
      </c>
      <c r="J15" t="s">
        <v>158</v>
      </c>
    </row>
    <row r="16" spans="2:24" ht="13.2" x14ac:dyDescent="0.15">
      <c r="B16" s="21" t="s">
        <v>215</v>
      </c>
      <c r="C16" t="s">
        <v>154</v>
      </c>
      <c r="G16" t="s">
        <v>216</v>
      </c>
      <c r="I16" s="21" t="s">
        <v>222</v>
      </c>
      <c r="J16" t="s">
        <v>170</v>
      </c>
      <c r="N16" t="s">
        <v>337</v>
      </c>
    </row>
    <row r="17" spans="9:21" x14ac:dyDescent="0.15">
      <c r="I17" s="21" t="s">
        <v>224</v>
      </c>
      <c r="J17" t="s">
        <v>192</v>
      </c>
      <c r="N17" t="s">
        <v>337</v>
      </c>
    </row>
    <row r="20" spans="9:21" x14ac:dyDescent="0.15">
      <c r="S20">
        <f>25*25*3.14</f>
        <v>1962.5</v>
      </c>
      <c r="T20">
        <v>0.69940000000000002</v>
      </c>
      <c r="U20">
        <f>+S20*T20/100</f>
        <v>13.725725000000001</v>
      </c>
    </row>
    <row r="22" spans="9:21" x14ac:dyDescent="0.15">
      <c r="S22">
        <v>34.5</v>
      </c>
      <c r="T22">
        <v>13.73</v>
      </c>
      <c r="U22">
        <f>+S22*T22</f>
        <v>473.685</v>
      </c>
    </row>
    <row r="23" spans="9:21" x14ac:dyDescent="0.15">
      <c r="S23">
        <v>84.6</v>
      </c>
      <c r="T23">
        <v>6</v>
      </c>
      <c r="U23">
        <f>+S23*T23</f>
        <v>507.59999999999997</v>
      </c>
    </row>
    <row r="36" spans="19:23" x14ac:dyDescent="0.15">
      <c r="S36">
        <v>61</v>
      </c>
      <c r="T36">
        <v>75.5</v>
      </c>
      <c r="U36">
        <v>100</v>
      </c>
      <c r="V36">
        <v>300</v>
      </c>
      <c r="W36">
        <v>14</v>
      </c>
    </row>
    <row r="38" spans="19:23" x14ac:dyDescent="0.15">
      <c r="S38" s="25">
        <f>S36</f>
        <v>61</v>
      </c>
      <c r="T38" s="25">
        <f>2/3*U36*T36/1000</f>
        <v>5.0333333333333332</v>
      </c>
      <c r="V38" s="25">
        <f>V36*U36^2*W36/6/1000/1000</f>
        <v>7</v>
      </c>
    </row>
  </sheetData>
  <phoneticPr fontId="3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Z652"/>
  <sheetViews>
    <sheetView workbookViewId="0">
      <selection activeCell="H6" sqref="H6"/>
    </sheetView>
  </sheetViews>
  <sheetFormatPr defaultRowHeight="12" x14ac:dyDescent="0.1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8" x14ac:dyDescent="0.15">
      <c r="B2" t="s">
        <v>170</v>
      </c>
    </row>
    <row r="4" spans="2:18" x14ac:dyDescent="0.15">
      <c r="B4" s="99" t="s">
        <v>174</v>
      </c>
      <c r="C4" s="100" t="s">
        <v>193</v>
      </c>
      <c r="D4" s="101" t="s">
        <v>194</v>
      </c>
      <c r="E4" s="101" t="s">
        <v>195</v>
      </c>
      <c r="F4" s="101" t="s">
        <v>196</v>
      </c>
      <c r="G4" s="101" t="s">
        <v>197</v>
      </c>
      <c r="H4" s="101" t="s">
        <v>198</v>
      </c>
      <c r="I4" s="101" t="s">
        <v>199</v>
      </c>
      <c r="J4" s="101" t="s">
        <v>200</v>
      </c>
      <c r="K4" s="101" t="s">
        <v>165</v>
      </c>
      <c r="L4" s="101" t="s">
        <v>167</v>
      </c>
      <c r="M4" s="101" t="s">
        <v>201</v>
      </c>
      <c r="N4" s="101" t="s">
        <v>202</v>
      </c>
      <c r="O4" s="102" t="s">
        <v>175</v>
      </c>
    </row>
    <row r="5" spans="2:18" x14ac:dyDescent="0.15">
      <c r="B5" s="103" t="s">
        <v>307</v>
      </c>
      <c r="C5" s="52">
        <f>Sheet3!C9</f>
        <v>500</v>
      </c>
      <c r="D5" s="35">
        <f>Sheet3!D9</f>
        <v>190</v>
      </c>
      <c r="E5" s="34" t="str">
        <f>Sheet3!E9</f>
        <v>6-D19</v>
      </c>
      <c r="F5" s="106">
        <f>[2]!Bar(E5,11)*100</f>
        <v>1721.9999313354492</v>
      </c>
      <c r="G5" s="106">
        <f>Sheet3!G9</f>
        <v>14</v>
      </c>
      <c r="H5" s="106">
        <f>Sheet3!H9</f>
        <v>345</v>
      </c>
      <c r="I5" s="105">
        <v>-1600</v>
      </c>
      <c r="J5" s="106">
        <v>15</v>
      </c>
      <c r="K5" s="121">
        <f>[2]!RcCMaC(C5/10,D5/10,E5,G5*10,H5*10, I5/10, J5,3)</f>
        <v>0</v>
      </c>
      <c r="L5" s="37">
        <f>[2]!RcCMaC(C5/10,D5/10,E5,G5*10,H5*10,I5/10,J5,4)</f>
        <v>57.939743400844101</v>
      </c>
      <c r="M5" s="38">
        <f>[2]!RcCMaC(C5/10,D5/10,E5,G5*10,H5*10, I5/10, J5,0)*10</f>
        <v>0</v>
      </c>
      <c r="N5" s="107">
        <v>60.4</v>
      </c>
      <c r="O5" s="108" t="str">
        <f t="shared" ref="O5:O20" si="0">IF(M5&gt;N5,"OK","NG")</f>
        <v>NG</v>
      </c>
    </row>
    <row r="6" spans="2:18" x14ac:dyDescent="0.15">
      <c r="B6" s="109" t="s">
        <v>177</v>
      </c>
      <c r="C6" s="52">
        <f t="shared" ref="C6:H6" si="1">+C5</f>
        <v>500</v>
      </c>
      <c r="D6" s="35">
        <f t="shared" si="1"/>
        <v>190</v>
      </c>
      <c r="E6" s="28" t="str">
        <f t="shared" si="1"/>
        <v>6-D19</v>
      </c>
      <c r="F6" s="112">
        <f t="shared" si="1"/>
        <v>1721.9999313354492</v>
      </c>
      <c r="G6" s="112">
        <f t="shared" si="1"/>
        <v>14</v>
      </c>
      <c r="H6" s="112">
        <f t="shared" si="1"/>
        <v>345</v>
      </c>
      <c r="I6" s="111">
        <f>+I5+20</f>
        <v>-1580</v>
      </c>
      <c r="J6" s="112">
        <f>+J5</f>
        <v>15</v>
      </c>
      <c r="K6" s="122">
        <f>[2]!RcCMaC(C6/10,D6/10,E6,G6*10,H6*10, I6/10, J6,3)</f>
        <v>0</v>
      </c>
      <c r="L6" s="31">
        <f>[2]!RcCMaC(C6/10,D6/10,E6,G6*10,H6*10,I6/10,J6,4)</f>
        <v>57.939743400844101</v>
      </c>
      <c r="M6" s="32">
        <f>[2]!RcCMaC(C6/10,D6/10,E6,G6*10,H6*10, I6/10, J6,0)*10</f>
        <v>0</v>
      </c>
      <c r="N6" s="113">
        <v>60.4</v>
      </c>
      <c r="O6" s="114" t="str">
        <f t="shared" si="0"/>
        <v>NG</v>
      </c>
      <c r="Q6" s="87">
        <f>Q7</f>
        <v>145</v>
      </c>
      <c r="R6" s="87">
        <v>0</v>
      </c>
    </row>
    <row r="7" spans="2:18" x14ac:dyDescent="0.15">
      <c r="B7" s="109" t="s">
        <v>178</v>
      </c>
      <c r="C7" s="52">
        <f t="shared" ref="C7:C52" si="2">+C6</f>
        <v>500</v>
      </c>
      <c r="D7" s="35">
        <f t="shared" ref="D7:D52" si="3">+D6</f>
        <v>190</v>
      </c>
      <c r="E7" s="28" t="str">
        <f t="shared" ref="E7:E52" si="4">+E6</f>
        <v>6-D19</v>
      </c>
      <c r="F7" s="112">
        <f t="shared" ref="F7:F52" si="5">+F6</f>
        <v>1721.9999313354492</v>
      </c>
      <c r="G7" s="112">
        <f t="shared" ref="G7:G52" si="6">+G6</f>
        <v>14</v>
      </c>
      <c r="H7" s="112">
        <f t="shared" ref="H7:H52" si="7">+H6</f>
        <v>345</v>
      </c>
      <c r="I7" s="111">
        <f t="shared" ref="I7:I70" si="8">+I6+20</f>
        <v>-1560</v>
      </c>
      <c r="J7" s="112">
        <f t="shared" ref="J7:J52" si="9">+J6</f>
        <v>15</v>
      </c>
      <c r="K7" s="122">
        <f>[2]!RcCMaC(C7/10,D7/10,E7,G7*10,H7*10, I7/10, J7,3)</f>
        <v>0</v>
      </c>
      <c r="L7" s="31">
        <f>[2]!RcCMaC(C7/10,D7/10,E7,G7*10,H7*10,I7/10,J7,4)</f>
        <v>57.939743400844101</v>
      </c>
      <c r="M7" s="32">
        <f>[2]!RcCMaC(C7/10,D7/10,E7,G7*10,H7*10, I7/10, J7,0)*10</f>
        <v>0</v>
      </c>
      <c r="N7" s="113">
        <v>60</v>
      </c>
      <c r="O7" s="114" t="str">
        <f t="shared" si="0"/>
        <v>NG</v>
      </c>
      <c r="Q7" s="87">
        <f>Sheet3!I10</f>
        <v>145</v>
      </c>
      <c r="R7" s="87">
        <f>Sheet3!N9</f>
        <v>56.73</v>
      </c>
    </row>
    <row r="8" spans="2:18" x14ac:dyDescent="0.15">
      <c r="B8" s="109" t="s">
        <v>179</v>
      </c>
      <c r="C8" s="52">
        <f t="shared" si="2"/>
        <v>500</v>
      </c>
      <c r="D8" s="35">
        <f t="shared" si="3"/>
        <v>190</v>
      </c>
      <c r="E8" s="28" t="str">
        <f t="shared" si="4"/>
        <v>6-D19</v>
      </c>
      <c r="F8" s="112">
        <f t="shared" si="5"/>
        <v>1721.9999313354492</v>
      </c>
      <c r="G8" s="112">
        <f t="shared" si="6"/>
        <v>14</v>
      </c>
      <c r="H8" s="112">
        <f t="shared" si="7"/>
        <v>345</v>
      </c>
      <c r="I8" s="111">
        <f t="shared" si="8"/>
        <v>-1540</v>
      </c>
      <c r="J8" s="112">
        <f t="shared" si="9"/>
        <v>15</v>
      </c>
      <c r="K8" s="122">
        <f>[2]!RcCMaC(C8/10,D8/10,E8,G8*10,H8*10, I8/10, J8,3)</f>
        <v>0</v>
      </c>
      <c r="L8" s="31">
        <f>[2]!RcCMaC(C8/10,D8/10,E8,G8*10,H8*10,I8/10,J8,4)</f>
        <v>57.939743400844101</v>
      </c>
      <c r="M8" s="32">
        <f>[2]!RcCMaC(C8/10,D8/10,E8,G8*10,H8*10, I8/10, J8,0)*10</f>
        <v>0</v>
      </c>
      <c r="N8" s="113">
        <v>60</v>
      </c>
      <c r="O8" s="114" t="str">
        <f t="shared" si="0"/>
        <v>NG</v>
      </c>
      <c r="Q8" s="87">
        <f>Sheet3!I9</f>
        <v>38</v>
      </c>
      <c r="R8" s="87">
        <f>R7</f>
        <v>56.73</v>
      </c>
    </row>
    <row r="9" spans="2:18" x14ac:dyDescent="0.15">
      <c r="B9" s="109" t="s">
        <v>180</v>
      </c>
      <c r="C9" s="52">
        <f t="shared" si="2"/>
        <v>500</v>
      </c>
      <c r="D9" s="35">
        <f t="shared" si="3"/>
        <v>190</v>
      </c>
      <c r="E9" s="28" t="str">
        <f t="shared" si="4"/>
        <v>6-D19</v>
      </c>
      <c r="F9" s="112">
        <f t="shared" si="5"/>
        <v>1721.9999313354492</v>
      </c>
      <c r="G9" s="112">
        <f t="shared" si="6"/>
        <v>14</v>
      </c>
      <c r="H9" s="112">
        <f t="shared" si="7"/>
        <v>345</v>
      </c>
      <c r="I9" s="111">
        <f t="shared" si="8"/>
        <v>-1520</v>
      </c>
      <c r="J9" s="112">
        <f t="shared" si="9"/>
        <v>15</v>
      </c>
      <c r="K9" s="122">
        <f>[2]!RcCMaC(C9/10,D9/10,E9,G9*10,H9*10, I9/10, J9,3)</f>
        <v>0</v>
      </c>
      <c r="L9" s="31">
        <f>[2]!RcCMaC(C9/10,D9/10,E9,G9*10,H9*10,I9/10,J9,4)</f>
        <v>57.939743400844101</v>
      </c>
      <c r="M9" s="32">
        <f>[2]!RcCMaC(C9/10,D9/10,E9,G9*10,H9*10, I9/10, J9,0)*10</f>
        <v>0</v>
      </c>
      <c r="N9" s="113">
        <v>60</v>
      </c>
      <c r="O9" s="114" t="str">
        <f t="shared" si="0"/>
        <v>NG</v>
      </c>
      <c r="Q9" s="87">
        <f>Q8</f>
        <v>38</v>
      </c>
      <c r="R9" s="87">
        <v>0</v>
      </c>
    </row>
    <row r="10" spans="2:18" x14ac:dyDescent="0.15">
      <c r="B10" s="109" t="s">
        <v>308</v>
      </c>
      <c r="C10" s="52">
        <f t="shared" si="2"/>
        <v>500</v>
      </c>
      <c r="D10" s="35">
        <f t="shared" si="3"/>
        <v>190</v>
      </c>
      <c r="E10" s="28" t="str">
        <f t="shared" si="4"/>
        <v>6-D19</v>
      </c>
      <c r="F10" s="112">
        <f t="shared" si="5"/>
        <v>1721.9999313354492</v>
      </c>
      <c r="G10" s="112">
        <f t="shared" si="6"/>
        <v>14</v>
      </c>
      <c r="H10" s="112">
        <f t="shared" si="7"/>
        <v>345</v>
      </c>
      <c r="I10" s="111">
        <f t="shared" si="8"/>
        <v>-1500</v>
      </c>
      <c r="J10" s="112">
        <f t="shared" si="9"/>
        <v>15</v>
      </c>
      <c r="K10" s="122">
        <f>[2]!RcCMaC(C10/10,D10/10,E10,G10*10,H10*10, I10/10, J10,3)</f>
        <v>0</v>
      </c>
      <c r="L10" s="31">
        <f>[2]!RcCMaC(C10/10,D10/10,E10,G10*10,H10*10,I10/10,J10,4)</f>
        <v>57.939743400844101</v>
      </c>
      <c r="M10" s="32">
        <f>[2]!RcCMaC(C10/10,D10/10,E10,G10*10,H10*10, I10/10, J10,0)*10</f>
        <v>0</v>
      </c>
      <c r="N10" s="113">
        <v>60</v>
      </c>
      <c r="O10" s="114" t="str">
        <f t="shared" si="0"/>
        <v>NG</v>
      </c>
    </row>
    <row r="11" spans="2:18" x14ac:dyDescent="0.15">
      <c r="B11" s="109" t="s">
        <v>182</v>
      </c>
      <c r="C11" s="52">
        <f t="shared" si="2"/>
        <v>500</v>
      </c>
      <c r="D11" s="35">
        <f t="shared" si="3"/>
        <v>190</v>
      </c>
      <c r="E11" s="28" t="str">
        <f t="shared" si="4"/>
        <v>6-D19</v>
      </c>
      <c r="F11" s="112">
        <f t="shared" si="5"/>
        <v>1721.9999313354492</v>
      </c>
      <c r="G11" s="112">
        <f t="shared" si="6"/>
        <v>14</v>
      </c>
      <c r="H11" s="112">
        <f t="shared" si="7"/>
        <v>345</v>
      </c>
      <c r="I11" s="111">
        <f t="shared" si="8"/>
        <v>-1480</v>
      </c>
      <c r="J11" s="112">
        <f t="shared" si="9"/>
        <v>15</v>
      </c>
      <c r="K11" s="122">
        <f>[2]!RcCMaC(C11/10,D11/10,E11,G11*10,H11*10, I11/10, J11,3)</f>
        <v>0</v>
      </c>
      <c r="L11" s="31">
        <f>[2]!RcCMaC(C11/10,D11/10,E11,G11*10,H11*10,I11/10,J11,4)</f>
        <v>57.939743400844101</v>
      </c>
      <c r="M11" s="32">
        <f>[2]!RcCMaC(C11/10,D11/10,E11,G11*10,H11*10, I11/10, J11,0)*10</f>
        <v>0</v>
      </c>
      <c r="N11" s="113">
        <v>60</v>
      </c>
      <c r="O11" s="114" t="str">
        <f t="shared" si="0"/>
        <v>NG</v>
      </c>
    </row>
    <row r="12" spans="2:18" x14ac:dyDescent="0.15">
      <c r="B12" s="109" t="s">
        <v>183</v>
      </c>
      <c r="C12" s="52">
        <f t="shared" si="2"/>
        <v>500</v>
      </c>
      <c r="D12" s="35">
        <f t="shared" si="3"/>
        <v>190</v>
      </c>
      <c r="E12" s="28" t="str">
        <f t="shared" si="4"/>
        <v>6-D19</v>
      </c>
      <c r="F12" s="112">
        <f t="shared" si="5"/>
        <v>1721.9999313354492</v>
      </c>
      <c r="G12" s="112">
        <f t="shared" si="6"/>
        <v>14</v>
      </c>
      <c r="H12" s="112">
        <f t="shared" si="7"/>
        <v>345</v>
      </c>
      <c r="I12" s="111">
        <f t="shared" si="8"/>
        <v>-1460</v>
      </c>
      <c r="J12" s="112">
        <f t="shared" si="9"/>
        <v>15</v>
      </c>
      <c r="K12" s="122">
        <f>[2]!RcCMaC(C12/10,D12/10,E12,G12*10,H12*10, I12/10, J12,3)</f>
        <v>0</v>
      </c>
      <c r="L12" s="31">
        <f>[2]!RcCMaC(C12/10,D12/10,E12,G12*10,H12*10,I12/10,J12,4)</f>
        <v>57.939743400844101</v>
      </c>
      <c r="M12" s="32">
        <f>[2]!RcCMaC(C12/10,D12/10,E12,G12*10,H12*10, I12/10, J12,0)*10</f>
        <v>0</v>
      </c>
      <c r="N12" s="113">
        <v>60</v>
      </c>
      <c r="O12" s="114" t="str">
        <f t="shared" si="0"/>
        <v>NG</v>
      </c>
    </row>
    <row r="13" spans="2:18" x14ac:dyDescent="0.15">
      <c r="B13" s="109" t="s">
        <v>184</v>
      </c>
      <c r="C13" s="52">
        <f t="shared" si="2"/>
        <v>500</v>
      </c>
      <c r="D13" s="35">
        <f t="shared" si="3"/>
        <v>190</v>
      </c>
      <c r="E13" s="28" t="str">
        <f t="shared" si="4"/>
        <v>6-D19</v>
      </c>
      <c r="F13" s="112">
        <f t="shared" si="5"/>
        <v>1721.9999313354492</v>
      </c>
      <c r="G13" s="112">
        <f t="shared" si="6"/>
        <v>14</v>
      </c>
      <c r="H13" s="112">
        <f t="shared" si="7"/>
        <v>345</v>
      </c>
      <c r="I13" s="111">
        <f t="shared" si="8"/>
        <v>-1440</v>
      </c>
      <c r="J13" s="112">
        <f t="shared" si="9"/>
        <v>15</v>
      </c>
      <c r="K13" s="122">
        <f>[2]!RcCMaC(C13/10,D13/10,E13,G13*10,H13*10, I13/10, J13,3)</f>
        <v>0</v>
      </c>
      <c r="L13" s="31">
        <f>[2]!RcCMaC(C13/10,D13/10,E13,G13*10,H13*10,I13/10,J13,4)</f>
        <v>57.939743400844101</v>
      </c>
      <c r="M13" s="32">
        <f>[2]!RcCMaC(C13/10,D13/10,E13,G13*10,H13*10, I13/10, J13,0)*10</f>
        <v>0</v>
      </c>
      <c r="N13" s="113">
        <v>60</v>
      </c>
      <c r="O13" s="114" t="str">
        <f t="shared" si="0"/>
        <v>NG</v>
      </c>
    </row>
    <row r="14" spans="2:18" x14ac:dyDescent="0.15">
      <c r="B14" s="109" t="s">
        <v>185</v>
      </c>
      <c r="C14" s="52">
        <f t="shared" si="2"/>
        <v>500</v>
      </c>
      <c r="D14" s="35">
        <f t="shared" si="3"/>
        <v>190</v>
      </c>
      <c r="E14" s="28" t="str">
        <f t="shared" si="4"/>
        <v>6-D19</v>
      </c>
      <c r="F14" s="112">
        <f t="shared" si="5"/>
        <v>1721.9999313354492</v>
      </c>
      <c r="G14" s="112">
        <f t="shared" si="6"/>
        <v>14</v>
      </c>
      <c r="H14" s="112">
        <f t="shared" si="7"/>
        <v>345</v>
      </c>
      <c r="I14" s="111">
        <f t="shared" si="8"/>
        <v>-1420</v>
      </c>
      <c r="J14" s="112">
        <f t="shared" si="9"/>
        <v>15</v>
      </c>
      <c r="K14" s="122">
        <f>[2]!RcCMaC(C14/10,D14/10,E14,G14*10,H14*10, I14/10, J14,3)</f>
        <v>0</v>
      </c>
      <c r="L14" s="31">
        <f>[2]!RcCMaC(C14/10,D14/10,E14,G14*10,H14*10,I14/10,J14,4)</f>
        <v>57.939743400844101</v>
      </c>
      <c r="M14" s="32">
        <f>[2]!RcCMaC(C14/10,D14/10,E14,G14*10,H14*10, I14/10, J14,0)*10</f>
        <v>0</v>
      </c>
      <c r="N14" s="113">
        <v>60</v>
      </c>
      <c r="O14" s="114" t="str">
        <f t="shared" si="0"/>
        <v>NG</v>
      </c>
    </row>
    <row r="15" spans="2:18" x14ac:dyDescent="0.15">
      <c r="B15" s="109" t="s">
        <v>309</v>
      </c>
      <c r="C15" s="52">
        <f t="shared" si="2"/>
        <v>500</v>
      </c>
      <c r="D15" s="35">
        <f t="shared" si="3"/>
        <v>190</v>
      </c>
      <c r="E15" s="28" t="str">
        <f t="shared" si="4"/>
        <v>6-D19</v>
      </c>
      <c r="F15" s="112">
        <f t="shared" si="5"/>
        <v>1721.9999313354492</v>
      </c>
      <c r="G15" s="112">
        <f t="shared" si="6"/>
        <v>14</v>
      </c>
      <c r="H15" s="112">
        <f t="shared" si="7"/>
        <v>345</v>
      </c>
      <c r="I15" s="111">
        <f t="shared" si="8"/>
        <v>-1400</v>
      </c>
      <c r="J15" s="112">
        <f t="shared" si="9"/>
        <v>15</v>
      </c>
      <c r="K15" s="122">
        <f>[2]!RcCMaC(C15/10,D15/10,E15,G15*10,H15*10, I15/10, J15,3)</f>
        <v>0</v>
      </c>
      <c r="L15" s="31">
        <f>[2]!RcCMaC(C15/10,D15/10,E15,G15*10,H15*10,I15/10,J15,4)</f>
        <v>57.939743400844101</v>
      </c>
      <c r="M15" s="32">
        <f>[2]!RcCMaC(C15/10,D15/10,E15,G15*10,H15*10, I15/10, J15,0)*10</f>
        <v>0</v>
      </c>
      <c r="N15" s="113">
        <v>60</v>
      </c>
      <c r="O15" s="114" t="str">
        <f t="shared" si="0"/>
        <v>NG</v>
      </c>
    </row>
    <row r="16" spans="2:18" x14ac:dyDescent="0.15">
      <c r="B16" s="109" t="s">
        <v>187</v>
      </c>
      <c r="C16" s="52">
        <f t="shared" si="2"/>
        <v>500</v>
      </c>
      <c r="D16" s="35">
        <f t="shared" si="3"/>
        <v>190</v>
      </c>
      <c r="E16" s="28" t="str">
        <f t="shared" si="4"/>
        <v>6-D19</v>
      </c>
      <c r="F16" s="112">
        <f t="shared" si="5"/>
        <v>1721.9999313354492</v>
      </c>
      <c r="G16" s="112">
        <f t="shared" si="6"/>
        <v>14</v>
      </c>
      <c r="H16" s="112">
        <f t="shared" si="7"/>
        <v>345</v>
      </c>
      <c r="I16" s="111">
        <f t="shared" si="8"/>
        <v>-1380</v>
      </c>
      <c r="J16" s="112">
        <f t="shared" si="9"/>
        <v>15</v>
      </c>
      <c r="K16" s="122">
        <f>[2]!RcCMaC(C16/10,D16/10,E16,G16*10,H16*10, I16/10, J16,3)</f>
        <v>0</v>
      </c>
      <c r="L16" s="31">
        <f>[2]!RcCMaC(C16/10,D16/10,E16,G16*10,H16*10,I16/10,J16,4)</f>
        <v>57.939743400844101</v>
      </c>
      <c r="M16" s="32">
        <f>[2]!RcCMaC(C16/10,D16/10,E16,G16*10,H16*10, I16/10, J16,0)*10</f>
        <v>0</v>
      </c>
      <c r="N16" s="113">
        <v>60</v>
      </c>
      <c r="O16" s="114" t="str">
        <f t="shared" si="0"/>
        <v>NG</v>
      </c>
    </row>
    <row r="17" spans="2:26" x14ac:dyDescent="0.15">
      <c r="B17" s="109" t="s">
        <v>188</v>
      </c>
      <c r="C17" s="52">
        <f t="shared" si="2"/>
        <v>500</v>
      </c>
      <c r="D17" s="35">
        <f t="shared" si="3"/>
        <v>190</v>
      </c>
      <c r="E17" s="28" t="str">
        <f t="shared" si="4"/>
        <v>6-D19</v>
      </c>
      <c r="F17" s="112">
        <f t="shared" si="5"/>
        <v>1721.9999313354492</v>
      </c>
      <c r="G17" s="112">
        <f t="shared" si="6"/>
        <v>14</v>
      </c>
      <c r="H17" s="112">
        <f t="shared" si="7"/>
        <v>345</v>
      </c>
      <c r="I17" s="111">
        <f t="shared" si="8"/>
        <v>-1360</v>
      </c>
      <c r="J17" s="112">
        <f t="shared" si="9"/>
        <v>15</v>
      </c>
      <c r="K17" s="122">
        <f>[2]!RcCMaC(C17/10,D17/10,E17,G17*10,H17*10, I17/10, J17,3)</f>
        <v>0</v>
      </c>
      <c r="L17" s="31">
        <f>[2]!RcCMaC(C17/10,D17/10,E17,G17*10,H17*10,I17/10,J17,4)</f>
        <v>57.939743400844101</v>
      </c>
      <c r="M17" s="32">
        <f>[2]!RcCMaC(C17/10,D17/10,E17,G17*10,H17*10, I17/10, J17,0)*10</f>
        <v>0</v>
      </c>
      <c r="N17" s="113">
        <v>60</v>
      </c>
      <c r="O17" s="114" t="str">
        <f t="shared" si="0"/>
        <v>NG</v>
      </c>
    </row>
    <row r="18" spans="2:26" x14ac:dyDescent="0.15">
      <c r="B18" s="109" t="s">
        <v>189</v>
      </c>
      <c r="C18" s="52">
        <f t="shared" si="2"/>
        <v>500</v>
      </c>
      <c r="D18" s="35">
        <f t="shared" si="3"/>
        <v>190</v>
      </c>
      <c r="E18" s="28" t="str">
        <f t="shared" si="4"/>
        <v>6-D19</v>
      </c>
      <c r="F18" s="112">
        <f t="shared" si="5"/>
        <v>1721.9999313354492</v>
      </c>
      <c r="G18" s="112">
        <f t="shared" si="6"/>
        <v>14</v>
      </c>
      <c r="H18" s="112">
        <f t="shared" si="7"/>
        <v>345</v>
      </c>
      <c r="I18" s="111">
        <f t="shared" si="8"/>
        <v>-1340</v>
      </c>
      <c r="J18" s="112">
        <f t="shared" si="9"/>
        <v>15</v>
      </c>
      <c r="K18" s="122">
        <f>[2]!RcCMaC(C18/10,D18/10,E18,G18*10,H18*10, I18/10, J18,3)</f>
        <v>0</v>
      </c>
      <c r="L18" s="31">
        <f>[2]!RcCMaC(C18/10,D18/10,E18,G18*10,H18*10,I18/10,J18,4)</f>
        <v>57.939743400844101</v>
      </c>
      <c r="M18" s="32">
        <f>[2]!RcCMaC(C18/10,D18/10,E18,G18*10,H18*10, I18/10, J18,0)*10</f>
        <v>0</v>
      </c>
      <c r="N18" s="113">
        <v>60</v>
      </c>
      <c r="O18" s="114" t="str">
        <f t="shared" si="0"/>
        <v>NG</v>
      </c>
    </row>
    <row r="19" spans="2:26" x14ac:dyDescent="0.15">
      <c r="B19" s="109" t="s">
        <v>190</v>
      </c>
      <c r="C19" s="52">
        <f t="shared" si="2"/>
        <v>500</v>
      </c>
      <c r="D19" s="35">
        <f t="shared" si="3"/>
        <v>190</v>
      </c>
      <c r="E19" s="28" t="str">
        <f t="shared" si="4"/>
        <v>6-D19</v>
      </c>
      <c r="F19" s="112">
        <f t="shared" si="5"/>
        <v>1721.9999313354492</v>
      </c>
      <c r="G19" s="112">
        <f t="shared" si="6"/>
        <v>14</v>
      </c>
      <c r="H19" s="112">
        <f t="shared" si="7"/>
        <v>345</v>
      </c>
      <c r="I19" s="111">
        <f t="shared" si="8"/>
        <v>-1320</v>
      </c>
      <c r="J19" s="112">
        <f t="shared" si="9"/>
        <v>15</v>
      </c>
      <c r="K19" s="122">
        <f>[2]!RcCMaC(C19/10,D19/10,E19,G19*10,H19*10, I19/10, J19,3)</f>
        <v>0</v>
      </c>
      <c r="L19" s="31">
        <f>[2]!RcCMaC(C19/10,D19/10,E19,G19*10,H19*10,I19/10,J19,4)</f>
        <v>57.939743400844101</v>
      </c>
      <c r="M19" s="32">
        <f>[2]!RcCMaC(C19/10,D19/10,E19,G19*10,H19*10, I19/10, J19,0)*10</f>
        <v>0</v>
      </c>
      <c r="N19" s="113">
        <v>60</v>
      </c>
      <c r="O19" s="114" t="str">
        <f t="shared" si="0"/>
        <v>NG</v>
      </c>
    </row>
    <row r="20" spans="2:26" x14ac:dyDescent="0.15">
      <c r="B20" s="115" t="s">
        <v>190</v>
      </c>
      <c r="C20" s="52">
        <f t="shared" si="2"/>
        <v>500</v>
      </c>
      <c r="D20" s="35">
        <f t="shared" si="3"/>
        <v>190</v>
      </c>
      <c r="E20" s="28" t="str">
        <f t="shared" si="4"/>
        <v>6-D19</v>
      </c>
      <c r="F20" s="112">
        <f t="shared" si="5"/>
        <v>1721.9999313354492</v>
      </c>
      <c r="G20" s="112">
        <f t="shared" si="6"/>
        <v>14</v>
      </c>
      <c r="H20" s="112">
        <f t="shared" si="7"/>
        <v>345</v>
      </c>
      <c r="I20" s="111">
        <f t="shared" si="8"/>
        <v>-1300</v>
      </c>
      <c r="J20" s="112">
        <f t="shared" si="9"/>
        <v>15</v>
      </c>
      <c r="K20" s="123">
        <f>[2]!RcCMaC(C20/10,D20/10,E20,G20*10,H20*10, I20/10, J20,3)</f>
        <v>0</v>
      </c>
      <c r="L20" s="47">
        <f>[2]!RcCMaC(C20/10,D20/10,E20,G20*10,H20*10,I20/10,J20,4)</f>
        <v>57.939743400844101</v>
      </c>
      <c r="M20" s="48">
        <f>[2]!RcCMaC(C20/10,D20/10,E20,G20*10,H20*10, I20/10, J20,0)*10</f>
        <v>0</v>
      </c>
      <c r="N20" s="119">
        <v>60</v>
      </c>
      <c r="O20" s="120" t="str">
        <f t="shared" si="0"/>
        <v>NG</v>
      </c>
    </row>
    <row r="21" spans="2:26" x14ac:dyDescent="0.15">
      <c r="C21" s="52">
        <f t="shared" si="2"/>
        <v>500</v>
      </c>
      <c r="D21" s="35">
        <f t="shared" si="3"/>
        <v>190</v>
      </c>
      <c r="E21" s="28" t="str">
        <f t="shared" si="4"/>
        <v>6-D19</v>
      </c>
      <c r="F21" s="112">
        <f t="shared" si="5"/>
        <v>1721.9999313354492</v>
      </c>
      <c r="G21" s="112">
        <f t="shared" si="6"/>
        <v>14</v>
      </c>
      <c r="H21" s="112">
        <f t="shared" si="7"/>
        <v>345</v>
      </c>
      <c r="I21" s="111">
        <f t="shared" si="8"/>
        <v>-1280</v>
      </c>
      <c r="J21" s="112">
        <f t="shared" si="9"/>
        <v>15</v>
      </c>
      <c r="K21" s="123">
        <f>[2]!RcCMaC(C21/10,D21/10,E21,G21*10,H21*10, I21/10, J21,3)</f>
        <v>0</v>
      </c>
      <c r="L21" s="47">
        <f>[2]!RcCMaC(C21/10,D21/10,E21,G21*10,H21*10,I21/10,J21,4)</f>
        <v>57.939743400844101</v>
      </c>
      <c r="M21" s="48">
        <f>[2]!RcCMaC(C21/10,D21/10,E21,G21*10,H21*10, I21/10, J21,0)*10</f>
        <v>0</v>
      </c>
      <c r="N21" s="119">
        <v>61</v>
      </c>
      <c r="O21" s="120" t="str">
        <f t="shared" ref="O21:O52" si="10">IF(M21&gt;N21,"OK","NG")</f>
        <v>NG</v>
      </c>
    </row>
    <row r="22" spans="2:26" x14ac:dyDescent="0.15">
      <c r="C22" s="52">
        <f t="shared" si="2"/>
        <v>500</v>
      </c>
      <c r="D22" s="35">
        <f t="shared" si="3"/>
        <v>190</v>
      </c>
      <c r="E22" s="28" t="str">
        <f t="shared" si="4"/>
        <v>6-D19</v>
      </c>
      <c r="F22" s="112">
        <f t="shared" si="5"/>
        <v>1721.9999313354492</v>
      </c>
      <c r="G22" s="112">
        <f t="shared" si="6"/>
        <v>14</v>
      </c>
      <c r="H22" s="112">
        <f t="shared" si="7"/>
        <v>345</v>
      </c>
      <c r="I22" s="111">
        <f t="shared" si="8"/>
        <v>-1260</v>
      </c>
      <c r="J22" s="112">
        <f t="shared" si="9"/>
        <v>15</v>
      </c>
      <c r="K22" s="123">
        <f>[2]!RcCMaC(C22/10,D22/10,E22,G22*10,H22*10, I22/10, J22,3)</f>
        <v>0</v>
      </c>
      <c r="L22" s="47">
        <f>[2]!RcCMaC(C22/10,D22/10,E22,G22*10,H22*10,I22/10,J22,4)</f>
        <v>57.939743400844101</v>
      </c>
      <c r="M22" s="48">
        <f>[2]!RcCMaC(C22/10,D22/10,E22,G22*10,H22*10, I22/10, J22,0)*10</f>
        <v>0</v>
      </c>
      <c r="N22" s="119">
        <v>62</v>
      </c>
      <c r="O22" s="120" t="str">
        <f t="shared" si="10"/>
        <v>NG</v>
      </c>
    </row>
    <row r="23" spans="2:26" x14ac:dyDescent="0.15">
      <c r="C23" s="52">
        <f t="shared" si="2"/>
        <v>500</v>
      </c>
      <c r="D23" s="35">
        <f t="shared" si="3"/>
        <v>190</v>
      </c>
      <c r="E23" s="28" t="str">
        <f t="shared" si="4"/>
        <v>6-D19</v>
      </c>
      <c r="F23" s="112">
        <f t="shared" si="5"/>
        <v>1721.9999313354492</v>
      </c>
      <c r="G23" s="112">
        <f t="shared" si="6"/>
        <v>14</v>
      </c>
      <c r="H23" s="112">
        <f t="shared" si="7"/>
        <v>345</v>
      </c>
      <c r="I23" s="111">
        <f t="shared" si="8"/>
        <v>-1240</v>
      </c>
      <c r="J23" s="112">
        <f t="shared" si="9"/>
        <v>15</v>
      </c>
      <c r="K23" s="123">
        <f>[2]!RcCMaC(C23/10,D23/10,E23,G23*10,H23*10, I23/10, J23,3)</f>
        <v>0</v>
      </c>
      <c r="L23" s="47">
        <f>[2]!RcCMaC(C23/10,D23/10,E23,G23*10,H23*10,I23/10,J23,4)</f>
        <v>57.939743400844101</v>
      </c>
      <c r="M23" s="48">
        <f>[2]!RcCMaC(C23/10,D23/10,E23,G23*10,H23*10, I23/10, J23,0)*10</f>
        <v>0</v>
      </c>
      <c r="N23" s="119">
        <v>63</v>
      </c>
      <c r="O23" s="120" t="str">
        <f t="shared" si="10"/>
        <v>NG</v>
      </c>
    </row>
    <row r="24" spans="2:26" x14ac:dyDescent="0.15">
      <c r="C24" s="52">
        <f t="shared" si="2"/>
        <v>500</v>
      </c>
      <c r="D24" s="35">
        <f t="shared" si="3"/>
        <v>190</v>
      </c>
      <c r="E24" s="28" t="str">
        <f t="shared" si="4"/>
        <v>6-D19</v>
      </c>
      <c r="F24" s="112">
        <f t="shared" si="5"/>
        <v>1721.9999313354492</v>
      </c>
      <c r="G24" s="112">
        <f t="shared" si="6"/>
        <v>14</v>
      </c>
      <c r="H24" s="112">
        <f t="shared" si="7"/>
        <v>345</v>
      </c>
      <c r="I24" s="111">
        <f t="shared" si="8"/>
        <v>-1220</v>
      </c>
      <c r="J24" s="112">
        <f t="shared" si="9"/>
        <v>15</v>
      </c>
      <c r="K24" s="123">
        <f>[2]!RcCMaC(C24/10,D24/10,E24,G24*10,H24*10, I24/10, J24,3)</f>
        <v>0</v>
      </c>
      <c r="L24" s="47">
        <f>[2]!RcCMaC(C24/10,D24/10,E24,G24*10,H24*10,I24/10,J24,4)</f>
        <v>57.939743400844101</v>
      </c>
      <c r="M24" s="48">
        <f>[2]!RcCMaC(C24/10,D24/10,E24,G24*10,H24*10, I24/10, J24,0)*10</f>
        <v>0</v>
      </c>
      <c r="N24" s="119">
        <v>64</v>
      </c>
      <c r="O24" s="120" t="str">
        <f t="shared" si="10"/>
        <v>NG</v>
      </c>
    </row>
    <row r="25" spans="2:26" x14ac:dyDescent="0.15">
      <c r="C25" s="52">
        <f t="shared" si="2"/>
        <v>500</v>
      </c>
      <c r="D25" s="35">
        <f t="shared" si="3"/>
        <v>190</v>
      </c>
      <c r="E25" s="28" t="str">
        <f t="shared" si="4"/>
        <v>6-D19</v>
      </c>
      <c r="F25" s="112">
        <f t="shared" si="5"/>
        <v>1721.9999313354492</v>
      </c>
      <c r="G25" s="112">
        <f t="shared" si="6"/>
        <v>14</v>
      </c>
      <c r="H25" s="112">
        <f t="shared" si="7"/>
        <v>345</v>
      </c>
      <c r="I25" s="111">
        <f t="shared" si="8"/>
        <v>-1200</v>
      </c>
      <c r="J25" s="112">
        <f t="shared" si="9"/>
        <v>15</v>
      </c>
      <c r="K25" s="123">
        <f>[2]!RcCMaC(C25/10,D25/10,E25,G25*10,H25*10, I25/10, J25,3)</f>
        <v>0</v>
      </c>
      <c r="L25" s="47">
        <f>[2]!RcCMaC(C25/10,D25/10,E25,G25*10,H25*10,I25/10,J25,4)</f>
        <v>57.939743400844101</v>
      </c>
      <c r="M25" s="48">
        <f>[2]!RcCMaC(C25/10,D25/10,E25,G25*10,H25*10, I25/10, J25,0)*10</f>
        <v>0</v>
      </c>
      <c r="N25" s="119">
        <v>65</v>
      </c>
      <c r="O25" s="120" t="str">
        <f t="shared" si="10"/>
        <v>NG</v>
      </c>
    </row>
    <row r="26" spans="2:26" x14ac:dyDescent="0.15">
      <c r="C26" s="52">
        <f t="shared" si="2"/>
        <v>500</v>
      </c>
      <c r="D26" s="35">
        <f t="shared" si="3"/>
        <v>190</v>
      </c>
      <c r="E26" s="28" t="str">
        <f t="shared" si="4"/>
        <v>6-D19</v>
      </c>
      <c r="F26" s="112">
        <f t="shared" si="5"/>
        <v>1721.9999313354492</v>
      </c>
      <c r="G26" s="112">
        <f t="shared" si="6"/>
        <v>14</v>
      </c>
      <c r="H26" s="112">
        <f t="shared" si="7"/>
        <v>345</v>
      </c>
      <c r="I26" s="111">
        <f t="shared" si="8"/>
        <v>-1180</v>
      </c>
      <c r="J26" s="112">
        <f t="shared" si="9"/>
        <v>15</v>
      </c>
      <c r="K26" s="123">
        <f>[2]!RcCMaC(C26/10,D26/10,E26,G26*10,H26*10, I26/10, J26,3)</f>
        <v>0</v>
      </c>
      <c r="L26" s="47">
        <f>[2]!RcCMaC(C26/10,D26/10,E26,G26*10,H26*10,I26/10,J26,4)</f>
        <v>57.939743400844101</v>
      </c>
      <c r="M26" s="48">
        <f>[2]!RcCMaC(C26/10,D26/10,E26,G26*10,H26*10, I26/10, J26,0)*10</f>
        <v>0</v>
      </c>
      <c r="N26" s="119">
        <v>66</v>
      </c>
      <c r="O26" s="120" t="str">
        <f t="shared" si="10"/>
        <v>NG</v>
      </c>
    </row>
    <row r="27" spans="2:26" x14ac:dyDescent="0.15">
      <c r="C27" s="52">
        <f t="shared" si="2"/>
        <v>500</v>
      </c>
      <c r="D27" s="35">
        <f t="shared" si="3"/>
        <v>190</v>
      </c>
      <c r="E27" s="28" t="str">
        <f t="shared" si="4"/>
        <v>6-D19</v>
      </c>
      <c r="F27" s="112">
        <f t="shared" si="5"/>
        <v>1721.9999313354492</v>
      </c>
      <c r="G27" s="112">
        <f t="shared" si="6"/>
        <v>14</v>
      </c>
      <c r="H27" s="112">
        <f t="shared" si="7"/>
        <v>345</v>
      </c>
      <c r="I27" s="111">
        <f t="shared" si="8"/>
        <v>-1160</v>
      </c>
      <c r="J27" s="112">
        <f t="shared" si="9"/>
        <v>15</v>
      </c>
      <c r="K27" s="123">
        <f>[2]!RcCMaC(C27/10,D27/10,E27,G27*10,H27*10, I27/10, J27,3)</f>
        <v>0</v>
      </c>
      <c r="L27" s="47">
        <f>[2]!RcCMaC(C27/10,D27/10,E27,G27*10,H27*10,I27/10,J27,4)</f>
        <v>57.939743400844101</v>
      </c>
      <c r="M27" s="48">
        <f>[2]!RcCMaC(C27/10,D27/10,E27,G27*10,H27*10, I27/10, J27,0)*10</f>
        <v>0</v>
      </c>
      <c r="N27" s="119">
        <v>67</v>
      </c>
      <c r="O27" s="120" t="str">
        <f t="shared" si="10"/>
        <v>NG</v>
      </c>
      <c r="S27" s="21" t="s">
        <v>310</v>
      </c>
      <c r="T27" t="s">
        <v>150</v>
      </c>
      <c r="X27" t="s">
        <v>208</v>
      </c>
      <c r="Z27" s="23"/>
    </row>
    <row r="28" spans="2:26" x14ac:dyDescent="0.15">
      <c r="C28" s="52">
        <f t="shared" si="2"/>
        <v>500</v>
      </c>
      <c r="D28" s="35">
        <f t="shared" si="3"/>
        <v>190</v>
      </c>
      <c r="E28" s="28" t="str">
        <f t="shared" si="4"/>
        <v>6-D19</v>
      </c>
      <c r="F28" s="112">
        <f t="shared" si="5"/>
        <v>1721.9999313354492</v>
      </c>
      <c r="G28" s="112">
        <f t="shared" si="6"/>
        <v>14</v>
      </c>
      <c r="H28" s="112">
        <f t="shared" si="7"/>
        <v>345</v>
      </c>
      <c r="I28" s="111">
        <f t="shared" si="8"/>
        <v>-1140</v>
      </c>
      <c r="J28" s="112">
        <f t="shared" si="9"/>
        <v>15</v>
      </c>
      <c r="K28" s="123">
        <f>[2]!RcCMaC(C28/10,D28/10,E28,G28*10,H28*10, I28/10, J28,3)</f>
        <v>0</v>
      </c>
      <c r="L28" s="47">
        <f>[2]!RcCMaC(C28/10,D28/10,E28,G28*10,H28*10,I28/10,J28,4)</f>
        <v>57.939743400844101</v>
      </c>
      <c r="M28" s="48">
        <f>[2]!RcCMaC(C28/10,D28/10,E28,G28*10,H28*10, I28/10, J28,0)*10</f>
        <v>0</v>
      </c>
      <c r="N28" s="119">
        <v>68</v>
      </c>
      <c r="O28" s="120" t="str">
        <f t="shared" si="10"/>
        <v>NG</v>
      </c>
      <c r="S28" s="21" t="s">
        <v>209</v>
      </c>
      <c r="T28" t="s">
        <v>151</v>
      </c>
      <c r="X28" t="s">
        <v>210</v>
      </c>
      <c r="Z28" s="23"/>
    </row>
    <row r="29" spans="2:26" ht="13.2" x14ac:dyDescent="0.15">
      <c r="C29" s="52">
        <f t="shared" si="2"/>
        <v>500</v>
      </c>
      <c r="D29" s="35">
        <f t="shared" si="3"/>
        <v>190</v>
      </c>
      <c r="E29" s="28" t="str">
        <f t="shared" si="4"/>
        <v>6-D19</v>
      </c>
      <c r="F29" s="112">
        <f t="shared" si="5"/>
        <v>1721.9999313354492</v>
      </c>
      <c r="G29" s="112">
        <f t="shared" si="6"/>
        <v>14</v>
      </c>
      <c r="H29" s="112">
        <f t="shared" si="7"/>
        <v>345</v>
      </c>
      <c r="I29" s="111">
        <f t="shared" si="8"/>
        <v>-1120</v>
      </c>
      <c r="J29" s="112">
        <f t="shared" si="9"/>
        <v>15</v>
      </c>
      <c r="K29" s="123">
        <f>[2]!RcCMaC(C29/10,D29/10,E29,G29*10,H29*10, I29/10, J29,3)</f>
        <v>0</v>
      </c>
      <c r="L29" s="47">
        <f>[2]!RcCMaC(C29/10,D29/10,E29,G29*10,H29*10,I29/10,J29,4)</f>
        <v>57.939743400844101</v>
      </c>
      <c r="M29" s="48">
        <f>[2]!RcCMaC(C29/10,D29/10,E29,G29*10,H29*10, I29/10, J29,0)*10</f>
        <v>0</v>
      </c>
      <c r="N29" s="119">
        <v>69</v>
      </c>
      <c r="O29" s="120" t="str">
        <f t="shared" si="10"/>
        <v>NG</v>
      </c>
      <c r="S29" s="21" t="s">
        <v>211</v>
      </c>
      <c r="T29" t="s">
        <v>152</v>
      </c>
      <c r="X29" t="s">
        <v>212</v>
      </c>
      <c r="Z29" s="23"/>
    </row>
    <row r="30" spans="2:26" ht="13.2" x14ac:dyDescent="0.15">
      <c r="C30" s="52">
        <f t="shared" si="2"/>
        <v>500</v>
      </c>
      <c r="D30" s="35">
        <f t="shared" si="3"/>
        <v>190</v>
      </c>
      <c r="E30" s="28" t="str">
        <f t="shared" si="4"/>
        <v>6-D19</v>
      </c>
      <c r="F30" s="112">
        <f t="shared" si="5"/>
        <v>1721.9999313354492</v>
      </c>
      <c r="G30" s="112">
        <f t="shared" si="6"/>
        <v>14</v>
      </c>
      <c r="H30" s="112">
        <f t="shared" si="7"/>
        <v>345</v>
      </c>
      <c r="I30" s="111">
        <f t="shared" si="8"/>
        <v>-1100</v>
      </c>
      <c r="J30" s="112">
        <f t="shared" si="9"/>
        <v>15</v>
      </c>
      <c r="K30" s="123">
        <f>[2]!RcCMaC(C30/10,D30/10,E30,G30*10,H30*10, I30/10, J30,3)</f>
        <v>0</v>
      </c>
      <c r="L30" s="47">
        <f>[2]!RcCMaC(C30/10,D30/10,E30,G30*10,H30*10,I30/10,J30,4)</f>
        <v>57.939743400844101</v>
      </c>
      <c r="M30" s="48">
        <f>[2]!RcCMaC(C30/10,D30/10,E30,G30*10,H30*10, I30/10, J30,0)*10</f>
        <v>0</v>
      </c>
      <c r="N30" s="119">
        <v>70</v>
      </c>
      <c r="O30" s="120" t="str">
        <f t="shared" si="10"/>
        <v>NG</v>
      </c>
      <c r="S30" s="21" t="s">
        <v>213</v>
      </c>
      <c r="T30" t="s">
        <v>153</v>
      </c>
      <c r="X30" t="s">
        <v>214</v>
      </c>
      <c r="Z30" s="23"/>
    </row>
    <row r="31" spans="2:26" ht="13.2" x14ac:dyDescent="0.15">
      <c r="C31" s="52">
        <f t="shared" si="2"/>
        <v>500</v>
      </c>
      <c r="D31" s="35">
        <f t="shared" si="3"/>
        <v>190</v>
      </c>
      <c r="E31" s="28" t="str">
        <f t="shared" si="4"/>
        <v>6-D19</v>
      </c>
      <c r="F31" s="112">
        <f t="shared" si="5"/>
        <v>1721.9999313354492</v>
      </c>
      <c r="G31" s="112">
        <f t="shared" si="6"/>
        <v>14</v>
      </c>
      <c r="H31" s="112">
        <f t="shared" si="7"/>
        <v>345</v>
      </c>
      <c r="I31" s="111">
        <f t="shared" si="8"/>
        <v>-1080</v>
      </c>
      <c r="J31" s="112">
        <f t="shared" si="9"/>
        <v>15</v>
      </c>
      <c r="K31" s="123">
        <f>[2]!RcCMaC(C31/10,D31/10,E31,G31*10,H31*10, I31/10, J31,3)</f>
        <v>0</v>
      </c>
      <c r="L31" s="47">
        <f>[2]!RcCMaC(C31/10,D31/10,E31,G31*10,H31*10,I31/10,J31,4)</f>
        <v>57.939743400844101</v>
      </c>
      <c r="M31" s="48">
        <f>[2]!RcCMaC(C31/10,D31/10,E31,G31*10,H31*10, I31/10, J31,0)*10</f>
        <v>0</v>
      </c>
      <c r="N31" s="119">
        <v>71</v>
      </c>
      <c r="O31" s="120" t="str">
        <f t="shared" si="10"/>
        <v>NG</v>
      </c>
      <c r="S31" s="21" t="s">
        <v>215</v>
      </c>
      <c r="T31" t="s">
        <v>154</v>
      </c>
      <c r="X31" t="s">
        <v>216</v>
      </c>
      <c r="Z31" s="22"/>
    </row>
    <row r="32" spans="2:26" x14ac:dyDescent="0.15">
      <c r="C32" s="52">
        <f t="shared" si="2"/>
        <v>500</v>
      </c>
      <c r="D32" s="35">
        <f t="shared" si="3"/>
        <v>190</v>
      </c>
      <c r="E32" s="28" t="str">
        <f t="shared" si="4"/>
        <v>6-D19</v>
      </c>
      <c r="F32" s="112">
        <f t="shared" si="5"/>
        <v>1721.9999313354492</v>
      </c>
      <c r="G32" s="112">
        <f t="shared" si="6"/>
        <v>14</v>
      </c>
      <c r="H32" s="112">
        <f t="shared" si="7"/>
        <v>345</v>
      </c>
      <c r="I32" s="111">
        <f t="shared" si="8"/>
        <v>-1060</v>
      </c>
      <c r="J32" s="112">
        <f t="shared" si="9"/>
        <v>15</v>
      </c>
      <c r="K32" s="123">
        <f>[2]!RcCMaC(C32/10,D32/10,E32,G32*10,H32*10, I32/10, J32,3)</f>
        <v>0</v>
      </c>
      <c r="L32" s="47">
        <f>[2]!RcCMaC(C32/10,D32/10,E32,G32*10,H32*10,I32/10,J32,4)</f>
        <v>57.939743400844101</v>
      </c>
      <c r="M32" s="48">
        <f>[2]!RcCMaC(C32/10,D32/10,E32,G32*10,H32*10, I32/10, J32,0)*10</f>
        <v>0</v>
      </c>
      <c r="N32" s="119">
        <v>72</v>
      </c>
      <c r="O32" s="120" t="str">
        <f t="shared" si="10"/>
        <v>NG</v>
      </c>
      <c r="S32" s="21" t="s">
        <v>217</v>
      </c>
      <c r="T32" t="s">
        <v>155</v>
      </c>
      <c r="X32" t="s">
        <v>218</v>
      </c>
      <c r="Z32" s="22"/>
    </row>
    <row r="33" spans="3:26" x14ac:dyDescent="0.15">
      <c r="C33" s="52">
        <f t="shared" si="2"/>
        <v>500</v>
      </c>
      <c r="D33" s="35">
        <f t="shared" si="3"/>
        <v>190</v>
      </c>
      <c r="E33" s="28" t="str">
        <f t="shared" si="4"/>
        <v>6-D19</v>
      </c>
      <c r="F33" s="112">
        <f t="shared" si="5"/>
        <v>1721.9999313354492</v>
      </c>
      <c r="G33" s="112">
        <f t="shared" si="6"/>
        <v>14</v>
      </c>
      <c r="H33" s="112">
        <f t="shared" si="7"/>
        <v>345</v>
      </c>
      <c r="I33" s="111">
        <f t="shared" si="8"/>
        <v>-1040</v>
      </c>
      <c r="J33" s="112">
        <f t="shared" si="9"/>
        <v>15</v>
      </c>
      <c r="K33" s="123">
        <f>[2]!RcCMaC(C33/10,D33/10,E33,G33*10,H33*10, I33/10, J33,3)</f>
        <v>0</v>
      </c>
      <c r="L33" s="47">
        <f>[2]!RcCMaC(C33/10,D33/10,E33,G33*10,H33*10,I33/10,J33,4)</f>
        <v>57.939743400844101</v>
      </c>
      <c r="M33" s="48">
        <f>[2]!RcCMaC(C33/10,D33/10,E33,G33*10,H33*10, I33/10, J33,0)*10</f>
        <v>0</v>
      </c>
      <c r="N33" s="119">
        <v>73</v>
      </c>
      <c r="O33" s="120" t="str">
        <f t="shared" si="10"/>
        <v>NG</v>
      </c>
      <c r="S33" s="21" t="s">
        <v>219</v>
      </c>
      <c r="T33" t="s">
        <v>156</v>
      </c>
      <c r="Z33" s="21"/>
    </row>
    <row r="34" spans="3:26" x14ac:dyDescent="0.15">
      <c r="C34" s="52">
        <f t="shared" si="2"/>
        <v>500</v>
      </c>
      <c r="D34" s="35">
        <f t="shared" si="3"/>
        <v>190</v>
      </c>
      <c r="E34" s="28" t="str">
        <f t="shared" si="4"/>
        <v>6-D19</v>
      </c>
      <c r="F34" s="112">
        <f t="shared" si="5"/>
        <v>1721.9999313354492</v>
      </c>
      <c r="G34" s="112">
        <f t="shared" si="6"/>
        <v>14</v>
      </c>
      <c r="H34" s="112">
        <f t="shared" si="7"/>
        <v>345</v>
      </c>
      <c r="I34" s="111">
        <f t="shared" si="8"/>
        <v>-1020</v>
      </c>
      <c r="J34" s="112">
        <f t="shared" si="9"/>
        <v>15</v>
      </c>
      <c r="K34" s="123">
        <f>[2]!RcCMaC(C34/10,D34/10,E34,G34*10,H34*10, I34/10, J34,3)</f>
        <v>0</v>
      </c>
      <c r="L34" s="47">
        <f>[2]!RcCMaC(C34/10,D34/10,E34,G34*10,H34*10,I34/10,J34,4)</f>
        <v>57.939743400844101</v>
      </c>
      <c r="M34" s="48">
        <f>[2]!RcCMaC(C34/10,D34/10,E34,G34*10,H34*10, I34/10, J34,0)*10</f>
        <v>0</v>
      </c>
      <c r="N34" s="119">
        <v>74</v>
      </c>
      <c r="O34" s="120" t="str">
        <f t="shared" si="10"/>
        <v>NG</v>
      </c>
      <c r="S34" s="21" t="s">
        <v>220</v>
      </c>
      <c r="T34" t="s">
        <v>157</v>
      </c>
      <c r="Z34" s="21"/>
    </row>
    <row r="35" spans="3:26" x14ac:dyDescent="0.15">
      <c r="C35" s="52">
        <f t="shared" si="2"/>
        <v>500</v>
      </c>
      <c r="D35" s="35">
        <f t="shared" si="3"/>
        <v>190</v>
      </c>
      <c r="E35" s="28" t="str">
        <f t="shared" si="4"/>
        <v>6-D19</v>
      </c>
      <c r="F35" s="112">
        <f t="shared" si="5"/>
        <v>1721.9999313354492</v>
      </c>
      <c r="G35" s="112">
        <f t="shared" si="6"/>
        <v>14</v>
      </c>
      <c r="H35" s="112">
        <f t="shared" si="7"/>
        <v>345</v>
      </c>
      <c r="I35" s="111">
        <f t="shared" si="8"/>
        <v>-1000</v>
      </c>
      <c r="J35" s="112">
        <f t="shared" si="9"/>
        <v>15</v>
      </c>
      <c r="K35" s="123">
        <f>[2]!RcCMaC(C35/10,D35/10,E35,G35*10,H35*10, I35/10, J35,3)</f>
        <v>0</v>
      </c>
      <c r="L35" s="47">
        <f>[2]!RcCMaC(C35/10,D35/10,E35,G35*10,H35*10,I35/10,J35,4)</f>
        <v>57.939743400844101</v>
      </c>
      <c r="M35" s="48">
        <f>[2]!RcCMaC(C35/10,D35/10,E35,G35*10,H35*10, I35/10, J35,0)*10</f>
        <v>0</v>
      </c>
      <c r="N35" s="119">
        <v>75</v>
      </c>
      <c r="O35" s="120" t="str">
        <f t="shared" si="10"/>
        <v>NG</v>
      </c>
      <c r="S35" s="21" t="s">
        <v>221</v>
      </c>
      <c r="T35" t="s">
        <v>158</v>
      </c>
      <c r="Z35" s="21"/>
    </row>
    <row r="36" spans="3:26" x14ac:dyDescent="0.15">
      <c r="C36" s="52">
        <f t="shared" si="2"/>
        <v>500</v>
      </c>
      <c r="D36" s="35">
        <f t="shared" si="3"/>
        <v>190</v>
      </c>
      <c r="E36" s="28" t="str">
        <f t="shared" si="4"/>
        <v>6-D19</v>
      </c>
      <c r="F36" s="112">
        <f t="shared" si="5"/>
        <v>1721.9999313354492</v>
      </c>
      <c r="G36" s="112">
        <f t="shared" si="6"/>
        <v>14</v>
      </c>
      <c r="H36" s="112">
        <f t="shared" si="7"/>
        <v>345</v>
      </c>
      <c r="I36" s="111">
        <f t="shared" si="8"/>
        <v>-980</v>
      </c>
      <c r="J36" s="112">
        <f t="shared" si="9"/>
        <v>15</v>
      </c>
      <c r="K36" s="123">
        <f>[2]!RcCMaC(C36/10,D36/10,E36,G36*10,H36*10, I36/10, J36,3)</f>
        <v>0</v>
      </c>
      <c r="L36" s="47">
        <f>[2]!RcCMaC(C36/10,D36/10,E36,G36*10,H36*10,I36/10,J36,4)</f>
        <v>57.939743400844101</v>
      </c>
      <c r="M36" s="48">
        <f>[2]!RcCMaC(C36/10,D36/10,E36,G36*10,H36*10, I36/10, J36,0)*10</f>
        <v>0</v>
      </c>
      <c r="N36" s="119">
        <v>76</v>
      </c>
      <c r="O36" s="120" t="str">
        <f t="shared" si="10"/>
        <v>NG</v>
      </c>
      <c r="S36" s="21" t="s">
        <v>222</v>
      </c>
      <c r="T36" t="s">
        <v>170</v>
      </c>
      <c r="X36" t="s">
        <v>223</v>
      </c>
      <c r="Z36" s="21"/>
    </row>
    <row r="37" spans="3:26" x14ac:dyDescent="0.15">
      <c r="C37" s="52">
        <f t="shared" si="2"/>
        <v>500</v>
      </c>
      <c r="D37" s="35">
        <f t="shared" si="3"/>
        <v>190</v>
      </c>
      <c r="E37" s="28" t="str">
        <f t="shared" si="4"/>
        <v>6-D19</v>
      </c>
      <c r="F37" s="112">
        <f t="shared" si="5"/>
        <v>1721.9999313354492</v>
      </c>
      <c r="G37" s="112">
        <f t="shared" si="6"/>
        <v>14</v>
      </c>
      <c r="H37" s="112">
        <f t="shared" si="7"/>
        <v>345</v>
      </c>
      <c r="I37" s="111">
        <f t="shared" si="8"/>
        <v>-960</v>
      </c>
      <c r="J37" s="112">
        <f t="shared" si="9"/>
        <v>15</v>
      </c>
      <c r="K37" s="123">
        <f>[2]!RcCMaC(C37/10,D37/10,E37,G37*10,H37*10, I37/10, J37,3)</f>
        <v>0</v>
      </c>
      <c r="L37" s="47">
        <f>[2]!RcCMaC(C37/10,D37/10,E37,G37*10,H37*10,I37/10,J37,4)</f>
        <v>57.939743400844101</v>
      </c>
      <c r="M37" s="48">
        <f>[2]!RcCMaC(C37/10,D37/10,E37,G37*10,H37*10, I37/10, J37,0)*10</f>
        <v>0</v>
      </c>
      <c r="N37" s="119">
        <v>77</v>
      </c>
      <c r="O37" s="120" t="str">
        <f t="shared" si="10"/>
        <v>NG</v>
      </c>
      <c r="S37" s="21" t="s">
        <v>224</v>
      </c>
      <c r="T37" t="s">
        <v>192</v>
      </c>
      <c r="X37" t="s">
        <v>223</v>
      </c>
      <c r="Z37" s="21"/>
    </row>
    <row r="38" spans="3:26" x14ac:dyDescent="0.15">
      <c r="C38" s="52">
        <f t="shared" si="2"/>
        <v>500</v>
      </c>
      <c r="D38" s="35">
        <f t="shared" si="3"/>
        <v>190</v>
      </c>
      <c r="E38" s="28" t="str">
        <f t="shared" si="4"/>
        <v>6-D19</v>
      </c>
      <c r="F38" s="112">
        <f t="shared" si="5"/>
        <v>1721.9999313354492</v>
      </c>
      <c r="G38" s="112">
        <f t="shared" si="6"/>
        <v>14</v>
      </c>
      <c r="H38" s="112">
        <f t="shared" si="7"/>
        <v>345</v>
      </c>
      <c r="I38" s="111">
        <f t="shared" si="8"/>
        <v>-940</v>
      </c>
      <c r="J38" s="112">
        <f t="shared" si="9"/>
        <v>15</v>
      </c>
      <c r="K38" s="123">
        <f>[2]!RcCMaC(C38/10,D38/10,E38,G38*10,H38*10, I38/10, J38,3)</f>
        <v>0</v>
      </c>
      <c r="L38" s="47">
        <f>[2]!RcCMaC(C38/10,D38/10,E38,G38*10,H38*10,I38/10,J38,4)</f>
        <v>57.939743400844101</v>
      </c>
      <c r="M38" s="48">
        <f>[2]!RcCMaC(C38/10,D38/10,E38,G38*10,H38*10, I38/10, J38,0)*10</f>
        <v>0</v>
      </c>
      <c r="N38" s="119">
        <v>78</v>
      </c>
      <c r="O38" s="120" t="str">
        <f t="shared" si="10"/>
        <v>NG</v>
      </c>
    </row>
    <row r="39" spans="3:26" x14ac:dyDescent="0.15">
      <c r="C39" s="52">
        <f t="shared" si="2"/>
        <v>500</v>
      </c>
      <c r="D39" s="35">
        <f t="shared" si="3"/>
        <v>190</v>
      </c>
      <c r="E39" s="28" t="str">
        <f t="shared" si="4"/>
        <v>6-D19</v>
      </c>
      <c r="F39" s="112">
        <f t="shared" si="5"/>
        <v>1721.9999313354492</v>
      </c>
      <c r="G39" s="112">
        <f t="shared" si="6"/>
        <v>14</v>
      </c>
      <c r="H39" s="112">
        <f t="shared" si="7"/>
        <v>345</v>
      </c>
      <c r="I39" s="111">
        <f t="shared" si="8"/>
        <v>-920</v>
      </c>
      <c r="J39" s="112">
        <f t="shared" si="9"/>
        <v>15</v>
      </c>
      <c r="K39" s="123">
        <f>[2]!RcCMaC(C39/10,D39/10,E39,G39*10,H39*10, I39/10, J39,3)</f>
        <v>0</v>
      </c>
      <c r="L39" s="47">
        <f>[2]!RcCMaC(C39/10,D39/10,E39,G39*10,H39*10,I39/10,J39,4)</f>
        <v>57.939743400844101</v>
      </c>
      <c r="M39" s="48">
        <f>[2]!RcCMaC(C39/10,D39/10,E39,G39*10,H39*10, I39/10, J39,0)*10</f>
        <v>0</v>
      </c>
      <c r="N39" s="119">
        <v>79</v>
      </c>
      <c r="O39" s="120" t="str">
        <f t="shared" si="10"/>
        <v>NG</v>
      </c>
    </row>
    <row r="40" spans="3:26" x14ac:dyDescent="0.15">
      <c r="C40" s="52">
        <f t="shared" si="2"/>
        <v>500</v>
      </c>
      <c r="D40" s="35">
        <f t="shared" si="3"/>
        <v>190</v>
      </c>
      <c r="E40" s="28" t="str">
        <f t="shared" si="4"/>
        <v>6-D19</v>
      </c>
      <c r="F40" s="112">
        <f t="shared" si="5"/>
        <v>1721.9999313354492</v>
      </c>
      <c r="G40" s="112">
        <f t="shared" si="6"/>
        <v>14</v>
      </c>
      <c r="H40" s="112">
        <f t="shared" si="7"/>
        <v>345</v>
      </c>
      <c r="I40" s="111">
        <f t="shared" si="8"/>
        <v>-900</v>
      </c>
      <c r="J40" s="112">
        <f t="shared" si="9"/>
        <v>15</v>
      </c>
      <c r="K40" s="123">
        <f>[2]!RcCMaC(C40/10,D40/10,E40,G40*10,H40*10, I40/10, J40,3)</f>
        <v>0</v>
      </c>
      <c r="L40" s="47">
        <f>[2]!RcCMaC(C40/10,D40/10,E40,G40*10,H40*10,I40/10,J40,4)</f>
        <v>57.939743400844101</v>
      </c>
      <c r="M40" s="48">
        <f>[2]!RcCMaC(C40/10,D40/10,E40,G40*10,H40*10, I40/10, J40,0)*10</f>
        <v>0</v>
      </c>
      <c r="N40" s="119">
        <v>80</v>
      </c>
      <c r="O40" s="120" t="str">
        <f t="shared" si="10"/>
        <v>NG</v>
      </c>
    </row>
    <row r="41" spans="3:26" x14ac:dyDescent="0.15">
      <c r="C41" s="52">
        <f t="shared" si="2"/>
        <v>500</v>
      </c>
      <c r="D41" s="35">
        <f t="shared" si="3"/>
        <v>190</v>
      </c>
      <c r="E41" s="28" t="str">
        <f t="shared" si="4"/>
        <v>6-D19</v>
      </c>
      <c r="F41" s="112">
        <f t="shared" si="5"/>
        <v>1721.9999313354492</v>
      </c>
      <c r="G41" s="112">
        <f t="shared" si="6"/>
        <v>14</v>
      </c>
      <c r="H41" s="112">
        <f t="shared" si="7"/>
        <v>345</v>
      </c>
      <c r="I41" s="111">
        <f t="shared" si="8"/>
        <v>-880</v>
      </c>
      <c r="J41" s="112">
        <f t="shared" si="9"/>
        <v>15</v>
      </c>
      <c r="K41" s="123">
        <f>[2]!RcCMaC(C41/10,D41/10,E41,G41*10,H41*10, I41/10, J41,3)</f>
        <v>0</v>
      </c>
      <c r="L41" s="47">
        <f>[2]!RcCMaC(C41/10,D41/10,E41,G41*10,H41*10,I41/10,J41,4)</f>
        <v>57.939743400844101</v>
      </c>
      <c r="M41" s="48">
        <f>[2]!RcCMaC(C41/10,D41/10,E41,G41*10,H41*10, I41/10, J41,0)*10</f>
        <v>0</v>
      </c>
      <c r="N41" s="119">
        <v>81</v>
      </c>
      <c r="O41" s="120" t="str">
        <f t="shared" si="10"/>
        <v>NG</v>
      </c>
    </row>
    <row r="42" spans="3:26" x14ac:dyDescent="0.15">
      <c r="C42" s="52">
        <f t="shared" si="2"/>
        <v>500</v>
      </c>
      <c r="D42" s="35">
        <f t="shared" si="3"/>
        <v>190</v>
      </c>
      <c r="E42" s="28" t="str">
        <f t="shared" si="4"/>
        <v>6-D19</v>
      </c>
      <c r="F42" s="112">
        <f t="shared" si="5"/>
        <v>1721.9999313354492</v>
      </c>
      <c r="G42" s="112">
        <f t="shared" si="6"/>
        <v>14</v>
      </c>
      <c r="H42" s="112">
        <f t="shared" si="7"/>
        <v>345</v>
      </c>
      <c r="I42" s="111">
        <f t="shared" si="8"/>
        <v>-860</v>
      </c>
      <c r="J42" s="112">
        <f t="shared" si="9"/>
        <v>15</v>
      </c>
      <c r="K42" s="123">
        <f>[2]!RcCMaC(C42/10,D42/10,E42,G42*10,H42*10, I42/10, J42,3)</f>
        <v>0</v>
      </c>
      <c r="L42" s="47">
        <f>[2]!RcCMaC(C42/10,D42/10,E42,G42*10,H42*10,I42/10,J42,4)</f>
        <v>57.939743400844101</v>
      </c>
      <c r="M42" s="48">
        <f>[2]!RcCMaC(C42/10,D42/10,E42,G42*10,H42*10, I42/10, J42,0)*10</f>
        <v>0</v>
      </c>
      <c r="N42" s="119">
        <v>82</v>
      </c>
      <c r="O42" s="120" t="str">
        <f t="shared" si="10"/>
        <v>NG</v>
      </c>
    </row>
    <row r="43" spans="3:26" x14ac:dyDescent="0.15">
      <c r="C43" s="52">
        <f t="shared" si="2"/>
        <v>500</v>
      </c>
      <c r="D43" s="35">
        <f t="shared" si="3"/>
        <v>190</v>
      </c>
      <c r="E43" s="28" t="str">
        <f t="shared" si="4"/>
        <v>6-D19</v>
      </c>
      <c r="F43" s="112">
        <f t="shared" si="5"/>
        <v>1721.9999313354492</v>
      </c>
      <c r="G43" s="112">
        <f t="shared" si="6"/>
        <v>14</v>
      </c>
      <c r="H43" s="112">
        <f t="shared" si="7"/>
        <v>345</v>
      </c>
      <c r="I43" s="111">
        <f t="shared" si="8"/>
        <v>-840</v>
      </c>
      <c r="J43" s="112">
        <f t="shared" si="9"/>
        <v>15</v>
      </c>
      <c r="K43" s="123">
        <f>[2]!RcCMaC(C43/10,D43/10,E43,G43*10,H43*10, I43/10, J43,3)</f>
        <v>0</v>
      </c>
      <c r="L43" s="47">
        <f>[2]!RcCMaC(C43/10,D43/10,E43,G43*10,H43*10,I43/10,J43,4)</f>
        <v>57.939743400844101</v>
      </c>
      <c r="M43" s="48">
        <f>[2]!RcCMaC(C43/10,D43/10,E43,G43*10,H43*10, I43/10, J43,0)*10</f>
        <v>0</v>
      </c>
      <c r="N43" s="119">
        <v>83</v>
      </c>
      <c r="O43" s="120" t="str">
        <f t="shared" si="10"/>
        <v>NG</v>
      </c>
    </row>
    <row r="44" spans="3:26" x14ac:dyDescent="0.15">
      <c r="C44" s="52">
        <f t="shared" si="2"/>
        <v>500</v>
      </c>
      <c r="D44" s="35">
        <f t="shared" si="3"/>
        <v>190</v>
      </c>
      <c r="E44" s="28" t="str">
        <f t="shared" si="4"/>
        <v>6-D19</v>
      </c>
      <c r="F44" s="112">
        <f t="shared" si="5"/>
        <v>1721.9999313354492</v>
      </c>
      <c r="G44" s="112">
        <f t="shared" si="6"/>
        <v>14</v>
      </c>
      <c r="H44" s="112">
        <f t="shared" si="7"/>
        <v>345</v>
      </c>
      <c r="I44" s="111">
        <f t="shared" si="8"/>
        <v>-820</v>
      </c>
      <c r="J44" s="112">
        <f t="shared" si="9"/>
        <v>15</v>
      </c>
      <c r="K44" s="123">
        <f>[2]!RcCMaC(C44/10,D44/10,E44,G44*10,H44*10, I44/10, J44,3)</f>
        <v>0</v>
      </c>
      <c r="L44" s="47">
        <f>[2]!RcCMaC(C44/10,D44/10,E44,G44*10,H44*10,I44/10,J44,4)</f>
        <v>57.939743400844101</v>
      </c>
      <c r="M44" s="48">
        <f>[2]!RcCMaC(C44/10,D44/10,E44,G44*10,H44*10, I44/10, J44,0)*10</f>
        <v>0</v>
      </c>
      <c r="N44" s="119">
        <v>84</v>
      </c>
      <c r="O44" s="120" t="str">
        <f t="shared" si="10"/>
        <v>NG</v>
      </c>
    </row>
    <row r="45" spans="3:26" x14ac:dyDescent="0.15">
      <c r="C45" s="52">
        <f t="shared" si="2"/>
        <v>500</v>
      </c>
      <c r="D45" s="35">
        <f t="shared" si="3"/>
        <v>190</v>
      </c>
      <c r="E45" s="28" t="str">
        <f t="shared" si="4"/>
        <v>6-D19</v>
      </c>
      <c r="F45" s="112">
        <f t="shared" si="5"/>
        <v>1721.9999313354492</v>
      </c>
      <c r="G45" s="112">
        <f t="shared" si="6"/>
        <v>14</v>
      </c>
      <c r="H45" s="112">
        <f t="shared" si="7"/>
        <v>345</v>
      </c>
      <c r="I45" s="111">
        <f t="shared" si="8"/>
        <v>-800</v>
      </c>
      <c r="J45" s="112">
        <f t="shared" si="9"/>
        <v>15</v>
      </c>
      <c r="K45" s="123">
        <f>[2]!RcCMaC(C45/10,D45/10,E45,G45*10,H45*10, I45/10, J45,3)</f>
        <v>0</v>
      </c>
      <c r="L45" s="47">
        <f>[2]!RcCMaC(C45/10,D45/10,E45,G45*10,H45*10,I45/10,J45,4)</f>
        <v>57.939743400844101</v>
      </c>
      <c r="M45" s="48">
        <f>[2]!RcCMaC(C45/10,D45/10,E45,G45*10,H45*10, I45/10, J45,0)*10</f>
        <v>0</v>
      </c>
      <c r="N45" s="119">
        <v>85</v>
      </c>
      <c r="O45" s="120" t="str">
        <f t="shared" si="10"/>
        <v>NG</v>
      </c>
    </row>
    <row r="46" spans="3:26" x14ac:dyDescent="0.15">
      <c r="C46" s="52">
        <f t="shared" si="2"/>
        <v>500</v>
      </c>
      <c r="D46" s="35">
        <f t="shared" si="3"/>
        <v>190</v>
      </c>
      <c r="E46" s="28" t="str">
        <f t="shared" si="4"/>
        <v>6-D19</v>
      </c>
      <c r="F46" s="112">
        <f t="shared" si="5"/>
        <v>1721.9999313354492</v>
      </c>
      <c r="G46" s="112">
        <f t="shared" si="6"/>
        <v>14</v>
      </c>
      <c r="H46" s="112">
        <f t="shared" si="7"/>
        <v>345</v>
      </c>
      <c r="I46" s="111">
        <f t="shared" si="8"/>
        <v>-780</v>
      </c>
      <c r="J46" s="112">
        <f t="shared" si="9"/>
        <v>15</v>
      </c>
      <c r="K46" s="123">
        <f>[2]!RcCMaC(C46/10,D46/10,E46,G46*10,H46*10, I46/10, J46,3)</f>
        <v>0</v>
      </c>
      <c r="L46" s="47">
        <f>[2]!RcCMaC(C46/10,D46/10,E46,G46*10,H46*10,I46/10,J46,4)</f>
        <v>57.939743400844101</v>
      </c>
      <c r="M46" s="48">
        <f>[2]!RcCMaC(C46/10,D46/10,E46,G46*10,H46*10, I46/10, J46,0)*10</f>
        <v>0</v>
      </c>
      <c r="N46" s="119">
        <v>86</v>
      </c>
      <c r="O46" s="120" t="str">
        <f t="shared" si="10"/>
        <v>NG</v>
      </c>
    </row>
    <row r="47" spans="3:26" x14ac:dyDescent="0.15">
      <c r="C47" s="52">
        <f t="shared" si="2"/>
        <v>500</v>
      </c>
      <c r="D47" s="35">
        <f t="shared" si="3"/>
        <v>190</v>
      </c>
      <c r="E47" s="28" t="str">
        <f t="shared" si="4"/>
        <v>6-D19</v>
      </c>
      <c r="F47" s="112">
        <f t="shared" si="5"/>
        <v>1721.9999313354492</v>
      </c>
      <c r="G47" s="112">
        <f t="shared" si="6"/>
        <v>14</v>
      </c>
      <c r="H47" s="112">
        <f t="shared" si="7"/>
        <v>345</v>
      </c>
      <c r="I47" s="111">
        <f t="shared" si="8"/>
        <v>-760</v>
      </c>
      <c r="J47" s="112">
        <f t="shared" si="9"/>
        <v>15</v>
      </c>
      <c r="K47" s="123">
        <f>[2]!RcCMaC(C47/10,D47/10,E47,G47*10,H47*10, I47/10, J47,3)</f>
        <v>0</v>
      </c>
      <c r="L47" s="47">
        <f>[2]!RcCMaC(C47/10,D47/10,E47,G47*10,H47*10,I47/10,J47,4)</f>
        <v>57.939743400844101</v>
      </c>
      <c r="M47" s="48">
        <f>[2]!RcCMaC(C47/10,D47/10,E47,G47*10,H47*10, I47/10, J47,0)*10</f>
        <v>0</v>
      </c>
      <c r="N47" s="119">
        <v>87</v>
      </c>
      <c r="O47" s="120" t="str">
        <f t="shared" si="10"/>
        <v>NG</v>
      </c>
    </row>
    <row r="48" spans="3:26" x14ac:dyDescent="0.15">
      <c r="C48" s="52">
        <f t="shared" si="2"/>
        <v>500</v>
      </c>
      <c r="D48" s="35">
        <f t="shared" si="3"/>
        <v>190</v>
      </c>
      <c r="E48" s="28" t="str">
        <f t="shared" si="4"/>
        <v>6-D19</v>
      </c>
      <c r="F48" s="112">
        <f t="shared" si="5"/>
        <v>1721.9999313354492</v>
      </c>
      <c r="G48" s="112">
        <f t="shared" si="6"/>
        <v>14</v>
      </c>
      <c r="H48" s="112">
        <f t="shared" si="7"/>
        <v>345</v>
      </c>
      <c r="I48" s="111">
        <f t="shared" si="8"/>
        <v>-740</v>
      </c>
      <c r="J48" s="112">
        <f t="shared" si="9"/>
        <v>15</v>
      </c>
      <c r="K48" s="123">
        <f>[2]!RcCMaC(C48/10,D48/10,E48,G48*10,H48*10, I48/10, J48,3)</f>
        <v>0</v>
      </c>
      <c r="L48" s="47">
        <f>[2]!RcCMaC(C48/10,D48/10,E48,G48*10,H48*10,I48/10,J48,4)</f>
        <v>57.939743400844101</v>
      </c>
      <c r="M48" s="48">
        <f>[2]!RcCMaC(C48/10,D48/10,E48,G48*10,H48*10, I48/10, J48,0)*10</f>
        <v>0</v>
      </c>
      <c r="N48" s="119">
        <v>88</v>
      </c>
      <c r="O48" s="120" t="str">
        <f t="shared" si="10"/>
        <v>NG</v>
      </c>
    </row>
    <row r="49" spans="3:15" x14ac:dyDescent="0.15">
      <c r="C49" s="52">
        <f t="shared" si="2"/>
        <v>500</v>
      </c>
      <c r="D49" s="35">
        <f t="shared" si="3"/>
        <v>190</v>
      </c>
      <c r="E49" s="28" t="str">
        <f t="shared" si="4"/>
        <v>6-D19</v>
      </c>
      <c r="F49" s="112">
        <f t="shared" si="5"/>
        <v>1721.9999313354492</v>
      </c>
      <c r="G49" s="112">
        <f t="shared" si="6"/>
        <v>14</v>
      </c>
      <c r="H49" s="112">
        <f t="shared" si="7"/>
        <v>345</v>
      </c>
      <c r="I49" s="111">
        <f t="shared" si="8"/>
        <v>-720</v>
      </c>
      <c r="J49" s="112">
        <f t="shared" si="9"/>
        <v>15</v>
      </c>
      <c r="K49" s="123">
        <f>[2]!RcCMaC(C49/10,D49/10,E49,G49*10,H49*10, I49/10, J49,3)</f>
        <v>0</v>
      </c>
      <c r="L49" s="47">
        <f>[2]!RcCMaC(C49/10,D49/10,E49,G49*10,H49*10,I49/10,J49,4)</f>
        <v>57.939743400844101</v>
      </c>
      <c r="M49" s="48">
        <f>[2]!RcCMaC(C49/10,D49/10,E49,G49*10,H49*10, I49/10, J49,0)*10</f>
        <v>0</v>
      </c>
      <c r="N49" s="119">
        <v>89</v>
      </c>
      <c r="O49" s="120" t="str">
        <f t="shared" si="10"/>
        <v>NG</v>
      </c>
    </row>
    <row r="50" spans="3:15" x14ac:dyDescent="0.15">
      <c r="C50" s="52">
        <f t="shared" si="2"/>
        <v>500</v>
      </c>
      <c r="D50" s="35">
        <f t="shared" si="3"/>
        <v>190</v>
      </c>
      <c r="E50" s="28" t="str">
        <f t="shared" si="4"/>
        <v>6-D19</v>
      </c>
      <c r="F50" s="112">
        <f t="shared" si="5"/>
        <v>1721.9999313354492</v>
      </c>
      <c r="G50" s="112">
        <f t="shared" si="6"/>
        <v>14</v>
      </c>
      <c r="H50" s="112">
        <f t="shared" si="7"/>
        <v>345</v>
      </c>
      <c r="I50" s="111">
        <f t="shared" si="8"/>
        <v>-700</v>
      </c>
      <c r="J50" s="112">
        <f t="shared" si="9"/>
        <v>15</v>
      </c>
      <c r="K50" s="123">
        <f>[2]!RcCMaC(C50/10,D50/10,E50,G50*10,H50*10, I50/10, J50,3)</f>
        <v>0</v>
      </c>
      <c r="L50" s="47">
        <f>[2]!RcCMaC(C50/10,D50/10,E50,G50*10,H50*10,I50/10,J50,4)</f>
        <v>57.939743400844101</v>
      </c>
      <c r="M50" s="48">
        <f>[2]!RcCMaC(C50/10,D50/10,E50,G50*10,H50*10, I50/10, J50,0)*10</f>
        <v>0</v>
      </c>
      <c r="N50" s="119">
        <v>90</v>
      </c>
      <c r="O50" s="120" t="str">
        <f t="shared" si="10"/>
        <v>NG</v>
      </c>
    </row>
    <row r="51" spans="3:15" x14ac:dyDescent="0.15">
      <c r="C51" s="52">
        <f t="shared" si="2"/>
        <v>500</v>
      </c>
      <c r="D51" s="35">
        <f t="shared" si="3"/>
        <v>190</v>
      </c>
      <c r="E51" s="28" t="str">
        <f t="shared" si="4"/>
        <v>6-D19</v>
      </c>
      <c r="F51" s="112">
        <f t="shared" si="5"/>
        <v>1721.9999313354492</v>
      </c>
      <c r="G51" s="112">
        <f t="shared" si="6"/>
        <v>14</v>
      </c>
      <c r="H51" s="112">
        <f t="shared" si="7"/>
        <v>345</v>
      </c>
      <c r="I51" s="111">
        <f t="shared" si="8"/>
        <v>-680</v>
      </c>
      <c r="J51" s="112">
        <f t="shared" si="9"/>
        <v>15</v>
      </c>
      <c r="K51" s="123">
        <f>[2]!RcCMaC(C51/10,D51/10,E51,G51*10,H51*10, I51/10, J51,3)</f>
        <v>0</v>
      </c>
      <c r="L51" s="47">
        <f>[2]!RcCMaC(C51/10,D51/10,E51,G51*10,H51*10,I51/10,J51,4)</f>
        <v>57.939743400844101</v>
      </c>
      <c r="M51" s="48">
        <f>[2]!RcCMaC(C51/10,D51/10,E51,G51*10,H51*10, I51/10, J51,0)*10</f>
        <v>0</v>
      </c>
      <c r="N51" s="119">
        <v>91</v>
      </c>
      <c r="O51" s="120" t="str">
        <f t="shared" si="10"/>
        <v>NG</v>
      </c>
    </row>
    <row r="52" spans="3:15" x14ac:dyDescent="0.15">
      <c r="C52" s="52">
        <f t="shared" si="2"/>
        <v>500</v>
      </c>
      <c r="D52" s="35">
        <f t="shared" si="3"/>
        <v>190</v>
      </c>
      <c r="E52" s="28" t="str">
        <f t="shared" si="4"/>
        <v>6-D19</v>
      </c>
      <c r="F52" s="112">
        <f t="shared" si="5"/>
        <v>1721.9999313354492</v>
      </c>
      <c r="G52" s="112">
        <f t="shared" si="6"/>
        <v>14</v>
      </c>
      <c r="H52" s="112">
        <f t="shared" si="7"/>
        <v>345</v>
      </c>
      <c r="I52" s="111">
        <f t="shared" si="8"/>
        <v>-660</v>
      </c>
      <c r="J52" s="112">
        <f t="shared" si="9"/>
        <v>15</v>
      </c>
      <c r="K52" s="123">
        <f>[2]!RcCMaC(C52/10,D52/10,E52,G52*10,H52*10, I52/10, J52,3)</f>
        <v>0</v>
      </c>
      <c r="L52" s="47">
        <f>[2]!RcCMaC(C52/10,D52/10,E52,G52*10,H52*10,I52/10,J52,4)</f>
        <v>57.939743400844101</v>
      </c>
      <c r="M52" s="48">
        <f>[2]!RcCMaC(C52/10,D52/10,E52,G52*10,H52*10, I52/10, J52,0)*10</f>
        <v>0</v>
      </c>
      <c r="N52" s="119">
        <v>92</v>
      </c>
      <c r="O52" s="120" t="str">
        <f t="shared" si="10"/>
        <v>NG</v>
      </c>
    </row>
    <row r="53" spans="3:15" x14ac:dyDescent="0.15">
      <c r="C53" s="52">
        <f t="shared" ref="C53:C116" si="11">+C52</f>
        <v>500</v>
      </c>
      <c r="D53" s="35">
        <f t="shared" ref="D53:D116" si="12">+D52</f>
        <v>190</v>
      </c>
      <c r="E53" s="28" t="str">
        <f t="shared" ref="E53:E116" si="13">+E52</f>
        <v>6-D19</v>
      </c>
      <c r="F53" s="112">
        <f t="shared" ref="F53:F116" si="14">+F52</f>
        <v>1721.9999313354492</v>
      </c>
      <c r="G53" s="112">
        <f t="shared" ref="G53:G116" si="15">+G52</f>
        <v>14</v>
      </c>
      <c r="H53" s="112">
        <f t="shared" ref="H53:H116" si="16">+H52</f>
        <v>345</v>
      </c>
      <c r="I53" s="111">
        <f t="shared" si="8"/>
        <v>-640</v>
      </c>
      <c r="J53" s="112">
        <f t="shared" ref="J53:J116" si="17">+J52</f>
        <v>15</v>
      </c>
      <c r="K53" s="123">
        <f>[2]!RcCMaC(C53/10,D53/10,E53,G53*10,H53*10, I53/10, J53,3)</f>
        <v>0</v>
      </c>
      <c r="L53" s="47">
        <f>[2]!RcCMaC(C53/10,D53/10,E53,G53*10,H53*10,I53/10,J53,4)</f>
        <v>57.939743400844101</v>
      </c>
      <c r="M53" s="48">
        <f>[2]!RcCMaC(C53/10,D53/10,E53,G53*10,H53*10, I53/10, J53,0)*10</f>
        <v>0</v>
      </c>
      <c r="N53" s="119">
        <v>93</v>
      </c>
      <c r="O53" s="120" t="str">
        <f t="shared" ref="O53:O116" si="18">IF(M53&gt;N53,"OK","NG")</f>
        <v>NG</v>
      </c>
    </row>
    <row r="54" spans="3:15" x14ac:dyDescent="0.15">
      <c r="C54" s="52">
        <f t="shared" si="11"/>
        <v>500</v>
      </c>
      <c r="D54" s="35">
        <f t="shared" si="12"/>
        <v>190</v>
      </c>
      <c r="E54" s="28" t="str">
        <f t="shared" si="13"/>
        <v>6-D19</v>
      </c>
      <c r="F54" s="112">
        <f t="shared" si="14"/>
        <v>1721.9999313354492</v>
      </c>
      <c r="G54" s="112">
        <f t="shared" si="15"/>
        <v>14</v>
      </c>
      <c r="H54" s="112">
        <f t="shared" si="16"/>
        <v>345</v>
      </c>
      <c r="I54" s="111">
        <f t="shared" si="8"/>
        <v>-620</v>
      </c>
      <c r="J54" s="112">
        <f t="shared" si="17"/>
        <v>15</v>
      </c>
      <c r="K54" s="123">
        <f>[2]!RcCMaC(C54/10,D54/10,E54,G54*10,H54*10, I54/10, J54,3)</f>
        <v>0</v>
      </c>
      <c r="L54" s="47">
        <f>[2]!RcCMaC(C54/10,D54/10,E54,G54*10,H54*10,I54/10,J54,4)</f>
        <v>57.939743400844101</v>
      </c>
      <c r="M54" s="48">
        <f>[2]!RcCMaC(C54/10,D54/10,E54,G54*10,H54*10, I54/10, J54,0)*10</f>
        <v>0</v>
      </c>
      <c r="N54" s="119">
        <v>94</v>
      </c>
      <c r="O54" s="120" t="str">
        <f t="shared" si="18"/>
        <v>NG</v>
      </c>
    </row>
    <row r="55" spans="3:15" x14ac:dyDescent="0.15">
      <c r="C55" s="52">
        <f t="shared" si="11"/>
        <v>500</v>
      </c>
      <c r="D55" s="35">
        <f t="shared" si="12"/>
        <v>190</v>
      </c>
      <c r="E55" s="28" t="str">
        <f t="shared" si="13"/>
        <v>6-D19</v>
      </c>
      <c r="F55" s="112">
        <f t="shared" si="14"/>
        <v>1721.9999313354492</v>
      </c>
      <c r="G55" s="112">
        <f t="shared" si="15"/>
        <v>14</v>
      </c>
      <c r="H55" s="112">
        <f t="shared" si="16"/>
        <v>345</v>
      </c>
      <c r="I55" s="111">
        <f t="shared" si="8"/>
        <v>-600</v>
      </c>
      <c r="J55" s="112">
        <f t="shared" si="17"/>
        <v>15</v>
      </c>
      <c r="K55" s="123">
        <f>[2]!RcCMaC(C55/10,D55/10,E55,G55*10,H55*10, I55/10, J55,3)</f>
        <v>0</v>
      </c>
      <c r="L55" s="47">
        <f>[2]!RcCMaC(C55/10,D55/10,E55,G55*10,H55*10,I55/10,J55,4)</f>
        <v>57.939743400844101</v>
      </c>
      <c r="M55" s="48">
        <f>[2]!RcCMaC(C55/10,D55/10,E55,G55*10,H55*10, I55/10, J55,0)*10</f>
        <v>0</v>
      </c>
      <c r="N55" s="119">
        <v>95</v>
      </c>
      <c r="O55" s="120" t="str">
        <f t="shared" si="18"/>
        <v>NG</v>
      </c>
    </row>
    <row r="56" spans="3:15" x14ac:dyDescent="0.15">
      <c r="C56" s="52">
        <f t="shared" si="11"/>
        <v>500</v>
      </c>
      <c r="D56" s="35">
        <f t="shared" si="12"/>
        <v>190</v>
      </c>
      <c r="E56" s="28" t="str">
        <f t="shared" si="13"/>
        <v>6-D19</v>
      </c>
      <c r="F56" s="112">
        <f t="shared" si="14"/>
        <v>1721.9999313354492</v>
      </c>
      <c r="G56" s="112">
        <f t="shared" si="15"/>
        <v>14</v>
      </c>
      <c r="H56" s="112">
        <f t="shared" si="16"/>
        <v>345</v>
      </c>
      <c r="I56" s="111">
        <f t="shared" si="8"/>
        <v>-580</v>
      </c>
      <c r="J56" s="112">
        <f t="shared" si="17"/>
        <v>15</v>
      </c>
      <c r="K56" s="123">
        <f>[2]!RcCMaC(C56/10,D56/10,E56,G56*10,H56*10, I56/10, J56,3)</f>
        <v>0</v>
      </c>
      <c r="L56" s="47">
        <f>[2]!RcCMaC(C56/10,D56/10,E56,G56*10,H56*10,I56/10,J56,4)</f>
        <v>57.939743400844101</v>
      </c>
      <c r="M56" s="48">
        <f>[2]!RcCMaC(C56/10,D56/10,E56,G56*10,H56*10, I56/10, J56,0)*10</f>
        <v>0.42269956320524216</v>
      </c>
      <c r="N56" s="119">
        <v>96</v>
      </c>
      <c r="O56" s="120" t="str">
        <f t="shared" si="18"/>
        <v>NG</v>
      </c>
    </row>
    <row r="57" spans="3:15" x14ac:dyDescent="0.15">
      <c r="C57" s="52">
        <f t="shared" si="11"/>
        <v>500</v>
      </c>
      <c r="D57" s="35">
        <f t="shared" si="12"/>
        <v>190</v>
      </c>
      <c r="E57" s="28" t="str">
        <f t="shared" si="13"/>
        <v>6-D19</v>
      </c>
      <c r="F57" s="112">
        <f t="shared" si="14"/>
        <v>1721.9999313354492</v>
      </c>
      <c r="G57" s="112">
        <f t="shared" si="15"/>
        <v>14</v>
      </c>
      <c r="H57" s="112">
        <f t="shared" si="16"/>
        <v>345</v>
      </c>
      <c r="I57" s="111">
        <f t="shared" si="8"/>
        <v>-560</v>
      </c>
      <c r="J57" s="112">
        <f t="shared" si="17"/>
        <v>15</v>
      </c>
      <c r="K57" s="123">
        <f>[2]!RcCMaC(C57/10,D57/10,E57,G57*10,H57*10, I57/10, J57,3)</f>
        <v>0</v>
      </c>
      <c r="L57" s="47">
        <f>[2]!RcCMaC(C57/10,D57/10,E57,G57*10,H57*10,I57/10,J57,4)</f>
        <v>57.939743400844101</v>
      </c>
      <c r="M57" s="48">
        <f>[2]!RcCMaC(C57/10,D57/10,E57,G57*10,H57*10, I57/10, J57,0)*10</f>
        <v>1.0226995684206486</v>
      </c>
      <c r="N57" s="119">
        <v>97</v>
      </c>
      <c r="O57" s="120" t="str">
        <f t="shared" si="18"/>
        <v>NG</v>
      </c>
    </row>
    <row r="58" spans="3:15" x14ac:dyDescent="0.15">
      <c r="C58" s="52">
        <f t="shared" si="11"/>
        <v>500</v>
      </c>
      <c r="D58" s="35">
        <f t="shared" si="12"/>
        <v>190</v>
      </c>
      <c r="E58" s="28" t="str">
        <f t="shared" si="13"/>
        <v>6-D19</v>
      </c>
      <c r="F58" s="112">
        <f t="shared" si="14"/>
        <v>1721.9999313354492</v>
      </c>
      <c r="G58" s="112">
        <f t="shared" si="15"/>
        <v>14</v>
      </c>
      <c r="H58" s="112">
        <f t="shared" si="16"/>
        <v>345</v>
      </c>
      <c r="I58" s="111">
        <f t="shared" si="8"/>
        <v>-540</v>
      </c>
      <c r="J58" s="112">
        <f t="shared" si="17"/>
        <v>15</v>
      </c>
      <c r="K58" s="123">
        <f>[2]!RcCMaC(C58/10,D58/10,E58,G58*10,H58*10, I58/10, J58,3)</f>
        <v>0</v>
      </c>
      <c r="L58" s="47">
        <f>[2]!RcCMaC(C58/10,D58/10,E58,G58*10,H58*10,I58/10,J58,4)</f>
        <v>57.939743400844101</v>
      </c>
      <c r="M58" s="48">
        <f>[2]!RcCMaC(C58/10,D58/10,E58,G58*10,H58*10, I58/10, J58,0)*10</f>
        <v>1.622699573636055</v>
      </c>
      <c r="N58" s="119">
        <v>98</v>
      </c>
      <c r="O58" s="120" t="str">
        <f t="shared" si="18"/>
        <v>NG</v>
      </c>
    </row>
    <row r="59" spans="3:15" x14ac:dyDescent="0.15">
      <c r="C59" s="52">
        <f t="shared" si="11"/>
        <v>500</v>
      </c>
      <c r="D59" s="35">
        <f t="shared" si="12"/>
        <v>190</v>
      </c>
      <c r="E59" s="28" t="str">
        <f t="shared" si="13"/>
        <v>6-D19</v>
      </c>
      <c r="F59" s="112">
        <f t="shared" si="14"/>
        <v>1721.9999313354492</v>
      </c>
      <c r="G59" s="112">
        <f t="shared" si="15"/>
        <v>14</v>
      </c>
      <c r="H59" s="112">
        <f t="shared" si="16"/>
        <v>345</v>
      </c>
      <c r="I59" s="111">
        <f t="shared" si="8"/>
        <v>-520</v>
      </c>
      <c r="J59" s="112">
        <f t="shared" si="17"/>
        <v>15</v>
      </c>
      <c r="K59" s="123">
        <f>[2]!RcCMaC(C59/10,D59/10,E59,G59*10,H59*10, I59/10, J59,3)</f>
        <v>0</v>
      </c>
      <c r="L59" s="47">
        <f>[2]!RcCMaC(C59/10,D59/10,E59,G59*10,H59*10,I59/10,J59,4)</f>
        <v>57.939743400844101</v>
      </c>
      <c r="M59" s="48">
        <f>[2]!RcCMaC(C59/10,D59/10,E59,G59*10,H59*10, I59/10, J59,0)*10</f>
        <v>2.2226994857192039</v>
      </c>
      <c r="N59" s="119">
        <v>99</v>
      </c>
      <c r="O59" s="120" t="str">
        <f t="shared" si="18"/>
        <v>NG</v>
      </c>
    </row>
    <row r="60" spans="3:15" x14ac:dyDescent="0.15">
      <c r="C60" s="52">
        <f t="shared" si="11"/>
        <v>500</v>
      </c>
      <c r="D60" s="35">
        <f t="shared" si="12"/>
        <v>190</v>
      </c>
      <c r="E60" s="28" t="str">
        <f t="shared" si="13"/>
        <v>6-D19</v>
      </c>
      <c r="F60" s="112">
        <f t="shared" si="14"/>
        <v>1721.9999313354492</v>
      </c>
      <c r="G60" s="112">
        <f t="shared" si="15"/>
        <v>14</v>
      </c>
      <c r="H60" s="112">
        <f t="shared" si="16"/>
        <v>345</v>
      </c>
      <c r="I60" s="111">
        <f t="shared" si="8"/>
        <v>-500</v>
      </c>
      <c r="J60" s="112">
        <f t="shared" si="17"/>
        <v>15</v>
      </c>
      <c r="K60" s="123">
        <f>[2]!RcCMaC(C60/10,D60/10,E60,G60*10,H60*10, I60/10, J60,3)</f>
        <v>0</v>
      </c>
      <c r="L60" s="47">
        <f>[2]!RcCMaC(C60/10,D60/10,E60,G60*10,H60*10,I60/10,J60,4)</f>
        <v>57.939743400844101</v>
      </c>
      <c r="M60" s="48">
        <f>[2]!RcCMaC(C60/10,D60/10,E60,G60*10,H60*10, I60/10, J60,0)*10</f>
        <v>2.8226995840668678</v>
      </c>
      <c r="N60" s="119">
        <v>100</v>
      </c>
      <c r="O60" s="120" t="str">
        <f t="shared" si="18"/>
        <v>NG</v>
      </c>
    </row>
    <row r="61" spans="3:15" x14ac:dyDescent="0.15">
      <c r="C61" s="52">
        <f t="shared" si="11"/>
        <v>500</v>
      </c>
      <c r="D61" s="35">
        <f t="shared" si="12"/>
        <v>190</v>
      </c>
      <c r="E61" s="28" t="str">
        <f t="shared" si="13"/>
        <v>6-D19</v>
      </c>
      <c r="F61" s="112">
        <f t="shared" si="14"/>
        <v>1721.9999313354492</v>
      </c>
      <c r="G61" s="112">
        <f t="shared" si="15"/>
        <v>14</v>
      </c>
      <c r="H61" s="112">
        <f t="shared" si="16"/>
        <v>345</v>
      </c>
      <c r="I61" s="111">
        <f t="shared" si="8"/>
        <v>-480</v>
      </c>
      <c r="J61" s="112">
        <f t="shared" si="17"/>
        <v>15</v>
      </c>
      <c r="K61" s="123">
        <f>[2]!RcCMaC(C61/10,D61/10,E61,G61*10,H61*10, I61/10, J61,3)</f>
        <v>0</v>
      </c>
      <c r="L61" s="47">
        <f>[2]!RcCMaC(C61/10,D61/10,E61,G61*10,H61*10,I61/10,J61,4)</f>
        <v>57.939743400844101</v>
      </c>
      <c r="M61" s="48">
        <f>[2]!RcCMaC(C61/10,D61/10,E61,G61*10,H61*10, I61/10, J61,0)*10</f>
        <v>3.4226994961500168</v>
      </c>
      <c r="N61" s="119">
        <v>101</v>
      </c>
      <c r="O61" s="120" t="str">
        <f t="shared" si="18"/>
        <v>NG</v>
      </c>
    </row>
    <row r="62" spans="3:15" x14ac:dyDescent="0.15">
      <c r="C62" s="52">
        <f t="shared" si="11"/>
        <v>500</v>
      </c>
      <c r="D62" s="35">
        <f t="shared" si="12"/>
        <v>190</v>
      </c>
      <c r="E62" s="28" t="str">
        <f t="shared" si="13"/>
        <v>6-D19</v>
      </c>
      <c r="F62" s="112">
        <f t="shared" si="14"/>
        <v>1721.9999313354492</v>
      </c>
      <c r="G62" s="112">
        <f t="shared" si="15"/>
        <v>14</v>
      </c>
      <c r="H62" s="112">
        <f t="shared" si="16"/>
        <v>345</v>
      </c>
      <c r="I62" s="111">
        <f t="shared" si="8"/>
        <v>-460</v>
      </c>
      <c r="J62" s="112">
        <f t="shared" si="17"/>
        <v>15</v>
      </c>
      <c r="K62" s="123">
        <f>[2]!RcCMaC(C62/10,D62/10,E62,G62*10,H62*10, I62/10, J62,3)</f>
        <v>28.969871700422051</v>
      </c>
      <c r="L62" s="47">
        <f>[2]!RcCMaC(C62/10,D62/10,E62,G62*10,H62*10,I62/10,J62,4)</f>
        <v>57.939743400844101</v>
      </c>
      <c r="M62" s="48">
        <f>[2]!RcCMaC(C62/10,D62/10,E62,G62*10,H62*10, I62/10, J62,0)*10</f>
        <v>5.2879706025123596</v>
      </c>
      <c r="N62" s="119">
        <v>102</v>
      </c>
      <c r="O62" s="120" t="str">
        <f t="shared" si="18"/>
        <v>NG</v>
      </c>
    </row>
    <row r="63" spans="3:15" x14ac:dyDescent="0.15">
      <c r="C63" s="52">
        <f t="shared" si="11"/>
        <v>500</v>
      </c>
      <c r="D63" s="35">
        <f t="shared" si="12"/>
        <v>190</v>
      </c>
      <c r="E63" s="28" t="str">
        <f t="shared" si="13"/>
        <v>6-D19</v>
      </c>
      <c r="F63" s="112">
        <f t="shared" si="14"/>
        <v>1721.9999313354492</v>
      </c>
      <c r="G63" s="112">
        <f t="shared" si="15"/>
        <v>14</v>
      </c>
      <c r="H63" s="112">
        <f t="shared" si="16"/>
        <v>345</v>
      </c>
      <c r="I63" s="111">
        <f t="shared" si="8"/>
        <v>-440</v>
      </c>
      <c r="J63" s="112">
        <f t="shared" si="17"/>
        <v>15</v>
      </c>
      <c r="K63" s="123">
        <f>[2]!RcCMaC(C63/10,D63/10,E63,G63*10,H63*10, I63/10, J63,3)</f>
        <v>36.664991629690839</v>
      </c>
      <c r="L63" s="47">
        <f>[2]!RcCMaC(C63/10,D63/10,E63,G63*10,H63*10,I63/10,J63,4)</f>
        <v>57.939743400844101</v>
      </c>
      <c r="M63" s="48">
        <f>[2]!RcCMaC(C63/10,D63/10,E63,G63*10,H63*10, I63/10, J63,0)*10</f>
        <v>8.0720588564872742</v>
      </c>
      <c r="N63" s="119">
        <v>103</v>
      </c>
      <c r="O63" s="120" t="str">
        <f t="shared" si="18"/>
        <v>NG</v>
      </c>
    </row>
    <row r="64" spans="3:15" x14ac:dyDescent="0.15">
      <c r="C64" s="52">
        <f t="shared" si="11"/>
        <v>500</v>
      </c>
      <c r="D64" s="35">
        <f t="shared" si="12"/>
        <v>190</v>
      </c>
      <c r="E64" s="28" t="str">
        <f t="shared" si="13"/>
        <v>6-D19</v>
      </c>
      <c r="F64" s="112">
        <f t="shared" si="14"/>
        <v>1721.9999313354492</v>
      </c>
      <c r="G64" s="112">
        <f t="shared" si="15"/>
        <v>14</v>
      </c>
      <c r="H64" s="112">
        <f t="shared" si="16"/>
        <v>345</v>
      </c>
      <c r="I64" s="111">
        <f t="shared" si="8"/>
        <v>-420</v>
      </c>
      <c r="J64" s="112">
        <f t="shared" si="17"/>
        <v>15</v>
      </c>
      <c r="K64" s="123">
        <f>[2]!RcCMaC(C64/10,D64/10,E64,G64*10,H64*10, I64/10, J64,3)</f>
        <v>40.738881865275097</v>
      </c>
      <c r="L64" s="47">
        <f>[2]!RcCMaC(C64/10,D64/10,E64,G64*10,H64*10,I64/10,J64,4)</f>
        <v>57.939743400844101</v>
      </c>
      <c r="M64" s="48">
        <f>[2]!RcCMaC(C64/10,D64/10,E64,G64*10,H64*10, I64/10, J64,0)*10</f>
        <v>11.258216947317123</v>
      </c>
      <c r="N64" s="119">
        <v>104</v>
      </c>
      <c r="O64" s="120" t="str">
        <f t="shared" si="18"/>
        <v>NG</v>
      </c>
    </row>
    <row r="65" spans="3:15" x14ac:dyDescent="0.15">
      <c r="C65" s="52">
        <f t="shared" si="11"/>
        <v>500</v>
      </c>
      <c r="D65" s="35">
        <f t="shared" si="12"/>
        <v>190</v>
      </c>
      <c r="E65" s="28" t="str">
        <f t="shared" si="13"/>
        <v>6-D19</v>
      </c>
      <c r="F65" s="112">
        <f t="shared" si="14"/>
        <v>1721.9999313354492</v>
      </c>
      <c r="G65" s="112">
        <f t="shared" si="15"/>
        <v>14</v>
      </c>
      <c r="H65" s="112">
        <f t="shared" si="16"/>
        <v>345</v>
      </c>
      <c r="I65" s="111">
        <f t="shared" si="8"/>
        <v>-400</v>
      </c>
      <c r="J65" s="112">
        <f t="shared" si="17"/>
        <v>15</v>
      </c>
      <c r="K65" s="123">
        <f>[2]!RcCMaC(C65/10,D65/10,E65,G65*10,H65*10, I65/10, J65,3)</f>
        <v>43.907461262343645</v>
      </c>
      <c r="L65" s="47">
        <f>[2]!RcCMaC(C65/10,D65/10,E65,G65*10,H65*10,I65/10,J65,4)</f>
        <v>57.939743400844101</v>
      </c>
      <c r="M65" s="48">
        <f>[2]!RcCMaC(C65/10,D65/10,E65,G65*10,H65*10, I65/10, J65,0)*10</f>
        <v>14.492163062095642</v>
      </c>
      <c r="N65" s="119">
        <v>105</v>
      </c>
      <c r="O65" s="120" t="str">
        <f t="shared" si="18"/>
        <v>NG</v>
      </c>
    </row>
    <row r="66" spans="3:15" x14ac:dyDescent="0.15">
      <c r="C66" s="52">
        <f t="shared" si="11"/>
        <v>500</v>
      </c>
      <c r="D66" s="35">
        <f t="shared" si="12"/>
        <v>190</v>
      </c>
      <c r="E66" s="28" t="str">
        <f t="shared" si="13"/>
        <v>6-D19</v>
      </c>
      <c r="F66" s="112">
        <f t="shared" si="14"/>
        <v>1721.9999313354492</v>
      </c>
      <c r="G66" s="112">
        <f t="shared" si="15"/>
        <v>14</v>
      </c>
      <c r="H66" s="112">
        <f t="shared" si="16"/>
        <v>345</v>
      </c>
      <c r="I66" s="111">
        <f t="shared" si="8"/>
        <v>-380</v>
      </c>
      <c r="J66" s="112">
        <f t="shared" si="17"/>
        <v>15</v>
      </c>
      <c r="K66" s="123">
        <f>[2]!RcCMaC(C66/10,D66/10,E66,G66*10,H66*10, I66/10, J66,3)</f>
        <v>46.397058384299044</v>
      </c>
      <c r="L66" s="47">
        <f>[2]!RcCMaC(C66/10,D66/10,E66,G66*10,H66*10,I66/10,J66,4)</f>
        <v>57.939743400844101</v>
      </c>
      <c r="M66" s="48">
        <f>[2]!RcCMaC(C66/10,D66/10,E66,G66*10,H66*10, I66/10, J66,0)*10</f>
        <v>17.771264910697937</v>
      </c>
      <c r="N66" s="119">
        <v>106</v>
      </c>
      <c r="O66" s="120" t="str">
        <f t="shared" si="18"/>
        <v>NG</v>
      </c>
    </row>
    <row r="67" spans="3:15" x14ac:dyDescent="0.15">
      <c r="C67" s="52">
        <f t="shared" si="11"/>
        <v>500</v>
      </c>
      <c r="D67" s="35">
        <f t="shared" si="12"/>
        <v>190</v>
      </c>
      <c r="E67" s="28" t="str">
        <f t="shared" si="13"/>
        <v>6-D19</v>
      </c>
      <c r="F67" s="112">
        <f t="shared" si="14"/>
        <v>1721.9999313354492</v>
      </c>
      <c r="G67" s="112">
        <f t="shared" si="15"/>
        <v>14</v>
      </c>
      <c r="H67" s="112">
        <f t="shared" si="16"/>
        <v>345</v>
      </c>
      <c r="I67" s="111">
        <f t="shared" si="8"/>
        <v>-360</v>
      </c>
      <c r="J67" s="112">
        <f t="shared" si="17"/>
        <v>15</v>
      </c>
      <c r="K67" s="123">
        <f>[2]!RcCMaC(C67/10,D67/10,E67,G67*10,H67*10, I67/10, J67,3)</f>
        <v>48.434005209638471</v>
      </c>
      <c r="L67" s="47">
        <f>[2]!RcCMaC(C67/10,D67/10,E67,G67*10,H67*10,I67/10,J67,4)</f>
        <v>57.939743400844101</v>
      </c>
      <c r="M67" s="48">
        <f>[2]!RcCMaC(C67/10,D67/10,E67,G67*10,H67*10, I67/10, J67,0)*10</f>
        <v>21.067962050437927</v>
      </c>
      <c r="N67" s="119">
        <v>107</v>
      </c>
      <c r="O67" s="120" t="str">
        <f t="shared" si="18"/>
        <v>NG</v>
      </c>
    </row>
    <row r="68" spans="3:15" x14ac:dyDescent="0.15">
      <c r="C68" s="52">
        <f t="shared" si="11"/>
        <v>500</v>
      </c>
      <c r="D68" s="35">
        <f t="shared" si="12"/>
        <v>190</v>
      </c>
      <c r="E68" s="28" t="str">
        <f t="shared" si="13"/>
        <v>6-D19</v>
      </c>
      <c r="F68" s="112">
        <f t="shared" si="14"/>
        <v>1721.9999313354492</v>
      </c>
      <c r="G68" s="112">
        <f t="shared" si="15"/>
        <v>14</v>
      </c>
      <c r="H68" s="112">
        <f t="shared" si="16"/>
        <v>345</v>
      </c>
      <c r="I68" s="111">
        <f t="shared" si="8"/>
        <v>-340</v>
      </c>
      <c r="J68" s="112">
        <f t="shared" si="17"/>
        <v>15</v>
      </c>
      <c r="K68" s="123">
        <f>[2]!RcCMaC(C68/10,D68/10,E68,G68*10,H68*10, I68/10, J68,3)</f>
        <v>50.244623471575316</v>
      </c>
      <c r="L68" s="47">
        <f>[2]!RcCMaC(C68/10,D68/10,E68,G68*10,H68*10,I68/10,J68,4)</f>
        <v>57.939743400844101</v>
      </c>
      <c r="M68" s="48">
        <f>[2]!RcCMaC(C68/10,D68/10,E68,G68*10,H68*10, I68/10, J68,0)*10</f>
        <v>24.369646608829498</v>
      </c>
      <c r="N68" s="119">
        <v>108</v>
      </c>
      <c r="O68" s="120" t="str">
        <f t="shared" si="18"/>
        <v>NG</v>
      </c>
    </row>
    <row r="69" spans="3:15" x14ac:dyDescent="0.15">
      <c r="C69" s="52">
        <f t="shared" si="11"/>
        <v>500</v>
      </c>
      <c r="D69" s="35">
        <f t="shared" si="12"/>
        <v>190</v>
      </c>
      <c r="E69" s="28" t="str">
        <f t="shared" si="13"/>
        <v>6-D19</v>
      </c>
      <c r="F69" s="112">
        <f t="shared" si="14"/>
        <v>1721.9999313354492</v>
      </c>
      <c r="G69" s="112">
        <f t="shared" si="15"/>
        <v>14</v>
      </c>
      <c r="H69" s="112">
        <f t="shared" si="16"/>
        <v>345</v>
      </c>
      <c r="I69" s="111">
        <f t="shared" si="8"/>
        <v>-320</v>
      </c>
      <c r="J69" s="112">
        <f t="shared" si="17"/>
        <v>15</v>
      </c>
      <c r="K69" s="123">
        <f>[2]!RcCMaC(C69/10,D69/10,E69,G69*10,H69*10, I69/10, J69,3)</f>
        <v>51.715747180861008</v>
      </c>
      <c r="L69" s="47">
        <f>[2]!RcCMaC(C69/10,D69/10,E69,G69*10,H69*10,I69/10,J69,4)</f>
        <v>57.939743400844101</v>
      </c>
      <c r="M69" s="48">
        <f>[2]!RcCMaC(C69/10,D69/10,E69,G69*10,H69*10, I69/10, J69,0)*10</f>
        <v>27.658852934837341</v>
      </c>
      <c r="N69" s="119">
        <v>109</v>
      </c>
      <c r="O69" s="120" t="str">
        <f t="shared" si="18"/>
        <v>NG</v>
      </c>
    </row>
    <row r="70" spans="3:15" x14ac:dyDescent="0.15">
      <c r="C70" s="52">
        <f t="shared" si="11"/>
        <v>500</v>
      </c>
      <c r="D70" s="35">
        <f t="shared" si="12"/>
        <v>190</v>
      </c>
      <c r="E70" s="28" t="str">
        <f t="shared" si="13"/>
        <v>6-D19</v>
      </c>
      <c r="F70" s="112">
        <f t="shared" si="14"/>
        <v>1721.9999313354492</v>
      </c>
      <c r="G70" s="112">
        <f t="shared" si="15"/>
        <v>14</v>
      </c>
      <c r="H70" s="112">
        <f t="shared" si="16"/>
        <v>345</v>
      </c>
      <c r="I70" s="111">
        <f t="shared" si="8"/>
        <v>-300</v>
      </c>
      <c r="J70" s="112">
        <f t="shared" si="17"/>
        <v>15</v>
      </c>
      <c r="K70" s="123">
        <f>[2]!RcCMaC(C70/10,D70/10,E70,G70*10,H70*10, I70/10, J70,3)</f>
        <v>53.073711731087293</v>
      </c>
      <c r="L70" s="47">
        <f>[2]!RcCMaC(C70/10,D70/10,E70,G70*10,H70*10,I70/10,J70,4)</f>
        <v>57.939743400844101</v>
      </c>
      <c r="M70" s="48">
        <f>[2]!RcCMaC(C70/10,D70/10,E70,G70*10,H70*10, I70/10, J70,0)*10</f>
        <v>30.941471457481384</v>
      </c>
      <c r="N70" s="119">
        <v>110</v>
      </c>
      <c r="O70" s="120" t="str">
        <f t="shared" si="18"/>
        <v>NG</v>
      </c>
    </row>
    <row r="71" spans="3:15" x14ac:dyDescent="0.15">
      <c r="C71" s="52">
        <f t="shared" si="11"/>
        <v>500</v>
      </c>
      <c r="D71" s="35">
        <f t="shared" si="12"/>
        <v>190</v>
      </c>
      <c r="E71" s="28" t="str">
        <f t="shared" si="13"/>
        <v>6-D19</v>
      </c>
      <c r="F71" s="112">
        <f t="shared" si="14"/>
        <v>1721.9999313354492</v>
      </c>
      <c r="G71" s="112">
        <f t="shared" si="15"/>
        <v>14</v>
      </c>
      <c r="H71" s="112">
        <f t="shared" si="16"/>
        <v>345</v>
      </c>
      <c r="I71" s="111">
        <f t="shared" ref="I71:I134" si="19">+I70+20</f>
        <v>-280</v>
      </c>
      <c r="J71" s="112">
        <f t="shared" si="17"/>
        <v>15</v>
      </c>
      <c r="K71" s="123">
        <f>[2]!RcCMaC(C71/10,D71/10,E71,G71*10,H71*10, I71/10, J71,3)</f>
        <v>54.318510292064992</v>
      </c>
      <c r="L71" s="47">
        <f>[2]!RcCMaC(C71/10,D71/10,E71,G71*10,H71*10,I71/10,J71,4)</f>
        <v>57.939743400844101</v>
      </c>
      <c r="M71" s="48">
        <f>[2]!RcCMaC(C71/10,D71/10,E71,G71*10,H71*10, I71/10, J71,0)*10</f>
        <v>34.218037128448486</v>
      </c>
      <c r="N71" s="119">
        <v>111</v>
      </c>
      <c r="O71" s="120" t="str">
        <f t="shared" si="18"/>
        <v>NG</v>
      </c>
    </row>
    <row r="72" spans="3:15" x14ac:dyDescent="0.15">
      <c r="C72" s="52">
        <f t="shared" si="11"/>
        <v>500</v>
      </c>
      <c r="D72" s="35">
        <f t="shared" si="12"/>
        <v>190</v>
      </c>
      <c r="E72" s="28" t="str">
        <f t="shared" si="13"/>
        <v>6-D19</v>
      </c>
      <c r="F72" s="112">
        <f t="shared" si="14"/>
        <v>1721.9999313354492</v>
      </c>
      <c r="G72" s="112">
        <f t="shared" si="15"/>
        <v>14</v>
      </c>
      <c r="H72" s="112">
        <f t="shared" si="16"/>
        <v>345</v>
      </c>
      <c r="I72" s="111">
        <f t="shared" si="19"/>
        <v>-260</v>
      </c>
      <c r="J72" s="112">
        <f t="shared" si="17"/>
        <v>15</v>
      </c>
      <c r="K72" s="123">
        <f>[2]!RcCMaC(C72/10,D72/10,E72,G72*10,H72*10, I72/10, J72,3)</f>
        <v>55.450146278888703</v>
      </c>
      <c r="L72" s="47">
        <f>[2]!RcCMaC(C72/10,D72/10,E72,G72*10,H72*10,I72/10,J72,4)</f>
        <v>57.939743400844101</v>
      </c>
      <c r="M72" s="48">
        <f>[2]!RcCMaC(C72/10,D72/10,E72,G72*10,H72*10, I72/10, J72,0)*10</f>
        <v>37.483310699462891</v>
      </c>
      <c r="N72" s="119">
        <v>112</v>
      </c>
      <c r="O72" s="120" t="str">
        <f t="shared" si="18"/>
        <v>NG</v>
      </c>
    </row>
    <row r="73" spans="3:15" x14ac:dyDescent="0.15">
      <c r="C73" s="52">
        <f t="shared" si="11"/>
        <v>500</v>
      </c>
      <c r="D73" s="35">
        <f t="shared" si="12"/>
        <v>190</v>
      </c>
      <c r="E73" s="28" t="str">
        <f t="shared" si="13"/>
        <v>6-D19</v>
      </c>
      <c r="F73" s="112">
        <f t="shared" si="14"/>
        <v>1721.9999313354492</v>
      </c>
      <c r="G73" s="112">
        <f t="shared" si="15"/>
        <v>14</v>
      </c>
      <c r="H73" s="112">
        <f t="shared" si="16"/>
        <v>345</v>
      </c>
      <c r="I73" s="111">
        <f t="shared" si="19"/>
        <v>-240</v>
      </c>
      <c r="J73" s="112">
        <f t="shared" si="17"/>
        <v>15</v>
      </c>
      <c r="K73" s="123">
        <f>[2]!RcCMaC(C73/10,D73/10,E73,G73*10,H73*10, I73/10, J73,3)</f>
        <v>56.468616276463827</v>
      </c>
      <c r="L73" s="47">
        <f>[2]!RcCMaC(C73/10,D73/10,E73,G73*10,H73*10,I73/10,J73,4)</f>
        <v>57.939743400844101</v>
      </c>
      <c r="M73" s="48">
        <f>[2]!RcCMaC(C73/10,D73/10,E73,G73*10,H73*10, I73/10, J73,0)*10</f>
        <v>40.726837515830994</v>
      </c>
      <c r="N73" s="119">
        <v>113</v>
      </c>
      <c r="O73" s="120" t="str">
        <f t="shared" si="18"/>
        <v>NG</v>
      </c>
    </row>
    <row r="74" spans="3:15" x14ac:dyDescent="0.15">
      <c r="C74" s="52">
        <f t="shared" si="11"/>
        <v>500</v>
      </c>
      <c r="D74" s="35">
        <f t="shared" si="12"/>
        <v>190</v>
      </c>
      <c r="E74" s="28" t="str">
        <f t="shared" si="13"/>
        <v>6-D19</v>
      </c>
      <c r="F74" s="112">
        <f t="shared" si="14"/>
        <v>1721.9999313354492</v>
      </c>
      <c r="G74" s="112">
        <f t="shared" si="15"/>
        <v>14</v>
      </c>
      <c r="H74" s="112">
        <f t="shared" si="16"/>
        <v>345</v>
      </c>
      <c r="I74" s="111">
        <f t="shared" si="19"/>
        <v>-220</v>
      </c>
      <c r="J74" s="112">
        <f t="shared" si="17"/>
        <v>15</v>
      </c>
      <c r="K74" s="123">
        <f>[2]!RcCMaC(C74/10,D74/10,E74,G74*10,H74*10, I74/10, J74,3)</f>
        <v>57.373930530074126</v>
      </c>
      <c r="L74" s="47">
        <f>[2]!RcCMaC(C74/10,D74/10,E74,G74*10,H74*10,I74/10,J74,4)</f>
        <v>57.939743400844101</v>
      </c>
      <c r="M74" s="48">
        <f>[2]!RcCMaC(C74/10,D74/10,E74,G74*10,H74*10, I74/10, J74,0)*10</f>
        <v>43.934032320976257</v>
      </c>
      <c r="N74" s="119">
        <v>114</v>
      </c>
      <c r="O74" s="120" t="str">
        <f t="shared" si="18"/>
        <v>NG</v>
      </c>
    </row>
    <row r="75" spans="3:15" x14ac:dyDescent="0.15">
      <c r="C75" s="52">
        <f t="shared" si="11"/>
        <v>500</v>
      </c>
      <c r="D75" s="35">
        <f t="shared" si="12"/>
        <v>190</v>
      </c>
      <c r="E75" s="28" t="str">
        <f t="shared" si="13"/>
        <v>6-D19</v>
      </c>
      <c r="F75" s="112">
        <f t="shared" si="14"/>
        <v>1721.9999313354492</v>
      </c>
      <c r="G75" s="112">
        <f t="shared" si="15"/>
        <v>14</v>
      </c>
      <c r="H75" s="112">
        <f t="shared" si="16"/>
        <v>345</v>
      </c>
      <c r="I75" s="111">
        <f t="shared" si="19"/>
        <v>-200</v>
      </c>
      <c r="J75" s="112">
        <f t="shared" si="17"/>
        <v>15</v>
      </c>
      <c r="K75" s="123">
        <f>[2]!RcCMaC(C75/10,D75/10,E75,G75*10,H75*10, I75/10, J75,3)</f>
        <v>58.1781443236031</v>
      </c>
      <c r="L75" s="47">
        <f>[2]!RcCMaC(C75/10,D75/10,E75,G75*10,H75*10,I75/10,J75,4)</f>
        <v>57.939743400844101</v>
      </c>
      <c r="M75" s="48">
        <f>[2]!RcCMaC(C75/10,D75/10,E75,G75*10,H75*10, I75/10, J75,0)*10</f>
        <v>46.212843060493469</v>
      </c>
      <c r="N75" s="119">
        <v>115</v>
      </c>
      <c r="O75" s="120" t="str">
        <f t="shared" si="18"/>
        <v>NG</v>
      </c>
    </row>
    <row r="76" spans="3:15" x14ac:dyDescent="0.15">
      <c r="C76" s="52">
        <f t="shared" si="11"/>
        <v>500</v>
      </c>
      <c r="D76" s="35">
        <f t="shared" si="12"/>
        <v>190</v>
      </c>
      <c r="E76" s="28" t="str">
        <f t="shared" si="13"/>
        <v>6-D19</v>
      </c>
      <c r="F76" s="112">
        <f t="shared" si="14"/>
        <v>1721.9999313354492</v>
      </c>
      <c r="G76" s="112">
        <f t="shared" si="15"/>
        <v>14</v>
      </c>
      <c r="H76" s="112">
        <f t="shared" si="16"/>
        <v>345</v>
      </c>
      <c r="I76" s="111">
        <f t="shared" si="19"/>
        <v>-180</v>
      </c>
      <c r="J76" s="112">
        <f t="shared" si="17"/>
        <v>15</v>
      </c>
      <c r="K76" s="123">
        <f>[2]!RcCMaC(C76/10,D76/10,E76,G76*10,H76*10, I76/10, J76,3)</f>
        <v>58.774146630500589</v>
      </c>
      <c r="L76" s="47">
        <f>[2]!RcCMaC(C76/10,D76/10,E76,G76*10,H76*10,I76/10,J76,4)</f>
        <v>57.939743400844101</v>
      </c>
      <c r="M76" s="48">
        <f>[2]!RcCMaC(C76/10,D76/10,E76,G76*10,H76*10, I76/10, J76,0)*10</f>
        <v>47.076326608657837</v>
      </c>
      <c r="N76" s="119">
        <v>116</v>
      </c>
      <c r="O76" s="120" t="str">
        <f t="shared" si="18"/>
        <v>NG</v>
      </c>
    </row>
    <row r="77" spans="3:15" x14ac:dyDescent="0.15">
      <c r="C77" s="52">
        <f t="shared" si="11"/>
        <v>500</v>
      </c>
      <c r="D77" s="35">
        <f t="shared" si="12"/>
        <v>190</v>
      </c>
      <c r="E77" s="28" t="str">
        <f t="shared" si="13"/>
        <v>6-D19</v>
      </c>
      <c r="F77" s="112">
        <f t="shared" si="14"/>
        <v>1721.9999313354492</v>
      </c>
      <c r="G77" s="112">
        <f t="shared" si="15"/>
        <v>14</v>
      </c>
      <c r="H77" s="112">
        <f t="shared" si="16"/>
        <v>345</v>
      </c>
      <c r="I77" s="111">
        <f t="shared" si="19"/>
        <v>-160</v>
      </c>
      <c r="J77" s="112">
        <f t="shared" si="17"/>
        <v>15</v>
      </c>
      <c r="K77" s="123">
        <f>[2]!RcCMaC(C77/10,D77/10,E77,G77*10,H77*10, I77/10, J77,3)</f>
        <v>59.429735507709495</v>
      </c>
      <c r="L77" s="47">
        <f>[2]!RcCMaC(C77/10,D77/10,E77,G77*10,H77*10,I77/10,J77,4)</f>
        <v>57.939743400844101</v>
      </c>
      <c r="M77" s="48">
        <f>[2]!RcCMaC(C77/10,D77/10,E77,G77*10,H77*10, I77/10, J77,0)*10</f>
        <v>47.82899022102356</v>
      </c>
      <c r="N77" s="119">
        <v>117</v>
      </c>
      <c r="O77" s="120" t="str">
        <f t="shared" si="18"/>
        <v>NG</v>
      </c>
    </row>
    <row r="78" spans="3:15" x14ac:dyDescent="0.15">
      <c r="C78" s="52">
        <f t="shared" si="11"/>
        <v>500</v>
      </c>
      <c r="D78" s="35">
        <f t="shared" si="12"/>
        <v>190</v>
      </c>
      <c r="E78" s="28" t="str">
        <f t="shared" si="13"/>
        <v>6-D19</v>
      </c>
      <c r="F78" s="112">
        <f t="shared" si="14"/>
        <v>1721.9999313354492</v>
      </c>
      <c r="G78" s="112">
        <f t="shared" si="15"/>
        <v>14</v>
      </c>
      <c r="H78" s="112">
        <f t="shared" si="16"/>
        <v>345</v>
      </c>
      <c r="I78" s="111">
        <f t="shared" si="19"/>
        <v>-140</v>
      </c>
      <c r="J78" s="112">
        <f t="shared" si="17"/>
        <v>15</v>
      </c>
      <c r="K78" s="123">
        <f>[2]!RcCMaC(C78/10,D78/10,E78,G78*10,H78*10, I78/10, J78,3)</f>
        <v>60.025737814606984</v>
      </c>
      <c r="L78" s="47">
        <f>[2]!RcCMaC(C78/10,D78/10,E78,G78*10,H78*10,I78/10,J78,4)</f>
        <v>57.939743400844101</v>
      </c>
      <c r="M78" s="48">
        <f>[2]!RcCMaC(C78/10,D78/10,E78,G78*10,H78*10, I78/10, J78,0)*10</f>
        <v>48.795482516288757</v>
      </c>
      <c r="N78" s="119">
        <v>118</v>
      </c>
      <c r="O78" s="120" t="str">
        <f t="shared" si="18"/>
        <v>NG</v>
      </c>
    </row>
    <row r="79" spans="3:15" x14ac:dyDescent="0.15">
      <c r="C79" s="52">
        <f t="shared" si="11"/>
        <v>500</v>
      </c>
      <c r="D79" s="35">
        <f t="shared" si="12"/>
        <v>190</v>
      </c>
      <c r="E79" s="28" t="str">
        <f t="shared" si="13"/>
        <v>6-D19</v>
      </c>
      <c r="F79" s="112">
        <f t="shared" si="14"/>
        <v>1721.9999313354492</v>
      </c>
      <c r="G79" s="112">
        <f t="shared" si="15"/>
        <v>14</v>
      </c>
      <c r="H79" s="112">
        <f t="shared" si="16"/>
        <v>345</v>
      </c>
      <c r="I79" s="111">
        <f t="shared" si="19"/>
        <v>-120</v>
      </c>
      <c r="J79" s="112">
        <f t="shared" si="17"/>
        <v>15</v>
      </c>
      <c r="K79" s="123">
        <f>[2]!RcCMaC(C79/10,D79/10,E79,G79*10,H79*10, I79/10, J79,3)</f>
        <v>60.681340352194219</v>
      </c>
      <c r="L79" s="47">
        <f>[2]!RcCMaC(C79/10,D79/10,E79,G79*10,H79*10,I79/10,J79,4)</f>
        <v>57.939743400844101</v>
      </c>
      <c r="M79" s="48">
        <f>[2]!RcCMaC(C79/10,D79/10,E79,G79*10,H79*10, I79/10, J79,0)*10</f>
        <v>49.659362435340881</v>
      </c>
      <c r="N79" s="119">
        <v>119</v>
      </c>
      <c r="O79" s="120" t="str">
        <f t="shared" si="18"/>
        <v>NG</v>
      </c>
    </row>
    <row r="80" spans="3:15" x14ac:dyDescent="0.15">
      <c r="C80" s="52">
        <f t="shared" si="11"/>
        <v>500</v>
      </c>
      <c r="D80" s="35">
        <f t="shared" si="12"/>
        <v>190</v>
      </c>
      <c r="E80" s="28" t="str">
        <f t="shared" si="13"/>
        <v>6-D19</v>
      </c>
      <c r="F80" s="112">
        <f t="shared" si="14"/>
        <v>1721.9999313354492</v>
      </c>
      <c r="G80" s="112">
        <f t="shared" si="15"/>
        <v>14</v>
      </c>
      <c r="H80" s="112">
        <f t="shared" si="16"/>
        <v>345</v>
      </c>
      <c r="I80" s="111">
        <f t="shared" si="19"/>
        <v>-100</v>
      </c>
      <c r="J80" s="112">
        <f t="shared" si="17"/>
        <v>15</v>
      </c>
      <c r="K80" s="123">
        <f>[2]!RcCMaC(C80/10,D80/10,E80,G80*10,H80*10, I80/10, J80,3)</f>
        <v>61.336929229403125</v>
      </c>
      <c r="L80" s="47">
        <f>[2]!RcCMaC(C80/10,D80/10,E80,G80*10,H80*10,I80/10,J80,4)</f>
        <v>57.939743400844101</v>
      </c>
      <c r="M80" s="48">
        <f>[2]!RcCMaC(C80/10,D80/10,E80,G80*10,H80*10, I80/10, J80,0)*10</f>
        <v>50.575321912765503</v>
      </c>
      <c r="N80" s="119">
        <v>120</v>
      </c>
      <c r="O80" s="120" t="str">
        <f t="shared" si="18"/>
        <v>NG</v>
      </c>
    </row>
    <row r="81" spans="3:15" x14ac:dyDescent="0.15">
      <c r="C81" s="52">
        <f t="shared" si="11"/>
        <v>500</v>
      </c>
      <c r="D81" s="35">
        <f t="shared" si="12"/>
        <v>190</v>
      </c>
      <c r="E81" s="28" t="str">
        <f t="shared" si="13"/>
        <v>6-D19</v>
      </c>
      <c r="F81" s="112">
        <f t="shared" si="14"/>
        <v>1721.9999313354492</v>
      </c>
      <c r="G81" s="112">
        <f t="shared" si="15"/>
        <v>14</v>
      </c>
      <c r="H81" s="112">
        <f t="shared" si="16"/>
        <v>345</v>
      </c>
      <c r="I81" s="111">
        <f t="shared" si="19"/>
        <v>-80</v>
      </c>
      <c r="J81" s="112">
        <f t="shared" si="17"/>
        <v>15</v>
      </c>
      <c r="K81" s="123">
        <f>[2]!RcCMaC(C81/10,D81/10,E81,G81*10,H81*10, I81/10, J81,3)</f>
        <v>61.992531766990368</v>
      </c>
      <c r="L81" s="47">
        <f>[2]!RcCMaC(C81/10,D81/10,E81,G81*10,H81*10,I81/10,J81,4)</f>
        <v>57.939743400844101</v>
      </c>
      <c r="M81" s="48">
        <f>[2]!RcCMaC(C81/10,D81/10,E81,G81*10,H81*10, I81/10, J81,0)*10</f>
        <v>51.537811756134033</v>
      </c>
      <c r="N81" s="119">
        <v>121</v>
      </c>
      <c r="O81" s="120" t="str">
        <f t="shared" si="18"/>
        <v>NG</v>
      </c>
    </row>
    <row r="82" spans="3:15" x14ac:dyDescent="0.15">
      <c r="C82" s="52">
        <f t="shared" si="11"/>
        <v>500</v>
      </c>
      <c r="D82" s="35">
        <f t="shared" si="12"/>
        <v>190</v>
      </c>
      <c r="E82" s="28" t="str">
        <f t="shared" si="13"/>
        <v>6-D19</v>
      </c>
      <c r="F82" s="112">
        <f t="shared" si="14"/>
        <v>1721.9999313354492</v>
      </c>
      <c r="G82" s="112">
        <f t="shared" si="15"/>
        <v>14</v>
      </c>
      <c r="H82" s="112">
        <f t="shared" si="16"/>
        <v>345</v>
      </c>
      <c r="I82" s="111">
        <f t="shared" si="19"/>
        <v>-60</v>
      </c>
      <c r="J82" s="112">
        <f t="shared" si="17"/>
        <v>15</v>
      </c>
      <c r="K82" s="123">
        <f>[2]!RcCMaC(C82/10,D82/10,E82,G82*10,H82*10, I82/10, J82,3)</f>
        <v>62.707727705078184</v>
      </c>
      <c r="L82" s="47">
        <f>[2]!RcCMaC(C82/10,D82/10,E82,G82*10,H82*10,I82/10,J82,4)</f>
        <v>57.939743400844101</v>
      </c>
      <c r="M82" s="48">
        <f>[2]!RcCMaC(C82/10,D82/10,E82,G82*10,H82*10, I82/10, J82,0)*10</f>
        <v>52.426344156265259</v>
      </c>
      <c r="N82" s="119">
        <v>122</v>
      </c>
      <c r="O82" s="120" t="str">
        <f t="shared" si="18"/>
        <v>NG</v>
      </c>
    </row>
    <row r="83" spans="3:15" x14ac:dyDescent="0.15">
      <c r="C83" s="52">
        <f t="shared" si="11"/>
        <v>500</v>
      </c>
      <c r="D83" s="35">
        <f t="shared" si="12"/>
        <v>190</v>
      </c>
      <c r="E83" s="28" t="str">
        <f t="shared" si="13"/>
        <v>6-D19</v>
      </c>
      <c r="F83" s="112">
        <f t="shared" si="14"/>
        <v>1721.9999313354492</v>
      </c>
      <c r="G83" s="112">
        <f t="shared" si="15"/>
        <v>14</v>
      </c>
      <c r="H83" s="112">
        <f t="shared" si="16"/>
        <v>345</v>
      </c>
      <c r="I83" s="111">
        <f t="shared" si="19"/>
        <v>-40</v>
      </c>
      <c r="J83" s="112">
        <f t="shared" si="17"/>
        <v>15</v>
      </c>
      <c r="K83" s="123">
        <f>[2]!RcCMaC(C83/10,D83/10,E83,G83*10,H83*10, I83/10, J83,3)</f>
        <v>63.363323412476255</v>
      </c>
      <c r="L83" s="47">
        <f>[2]!RcCMaC(C83/10,D83/10,E83,G83*10,H83*10,I83/10,J83,4)</f>
        <v>57.939743400844101</v>
      </c>
      <c r="M83" s="48">
        <f>[2]!RcCMaC(C83/10,D83/10,E83,G83*10,H83*10, I83/10, J83,0)*10</f>
        <v>53.474205732345581</v>
      </c>
      <c r="N83" s="119">
        <v>123</v>
      </c>
      <c r="O83" s="120" t="str">
        <f t="shared" si="18"/>
        <v>NG</v>
      </c>
    </row>
    <row r="84" spans="3:15" x14ac:dyDescent="0.15">
      <c r="C84" s="52">
        <f t="shared" si="11"/>
        <v>500</v>
      </c>
      <c r="D84" s="35">
        <f t="shared" si="12"/>
        <v>190</v>
      </c>
      <c r="E84" s="28" t="str">
        <f t="shared" si="13"/>
        <v>6-D19</v>
      </c>
      <c r="F84" s="112">
        <f t="shared" si="14"/>
        <v>1721.9999313354492</v>
      </c>
      <c r="G84" s="112">
        <f t="shared" si="15"/>
        <v>14</v>
      </c>
      <c r="H84" s="112">
        <f t="shared" si="16"/>
        <v>345</v>
      </c>
      <c r="I84" s="111">
        <f t="shared" si="19"/>
        <v>-20</v>
      </c>
      <c r="J84" s="112">
        <f t="shared" si="17"/>
        <v>15</v>
      </c>
      <c r="K84" s="123">
        <f>[2]!RcCMaC(C84/10,D84/10,E84,G84*10,H84*10, I84/10, J84,3)</f>
        <v>64.078526180753244</v>
      </c>
      <c r="L84" s="47">
        <f>[2]!RcCMaC(C84/10,D84/10,E84,G84*10,H84*10,I84/10,J84,4)</f>
        <v>57.939743400844101</v>
      </c>
      <c r="M84" s="48">
        <f>[2]!RcCMaC(C84/10,D84/10,E84,G84*10,H84*10, I84/10, J84,0)*10</f>
        <v>54.45406436920166</v>
      </c>
      <c r="N84" s="119">
        <v>124</v>
      </c>
      <c r="O84" s="120" t="str">
        <f t="shared" si="18"/>
        <v>NG</v>
      </c>
    </row>
    <row r="85" spans="3:15" x14ac:dyDescent="0.15">
      <c r="C85" s="52">
        <f t="shared" si="11"/>
        <v>500</v>
      </c>
      <c r="D85" s="35">
        <f t="shared" si="12"/>
        <v>190</v>
      </c>
      <c r="E85" s="28" t="str">
        <f t="shared" si="13"/>
        <v>6-D19</v>
      </c>
      <c r="F85" s="112">
        <f t="shared" si="14"/>
        <v>1721.9999313354492</v>
      </c>
      <c r="G85" s="112">
        <f t="shared" si="15"/>
        <v>14</v>
      </c>
      <c r="H85" s="112">
        <f t="shared" si="16"/>
        <v>345</v>
      </c>
      <c r="I85" s="111">
        <f t="shared" si="19"/>
        <v>0</v>
      </c>
      <c r="J85" s="112">
        <f t="shared" si="17"/>
        <v>15</v>
      </c>
      <c r="K85" s="123">
        <f>[2]!RcCMaC(C85/10,D85/10,E85,G85*10,H85*10, I85/10, J85,3)</f>
        <v>64.793715288651896</v>
      </c>
      <c r="L85" s="47">
        <f>[2]!RcCMaC(C85/10,D85/10,E85,G85*10,H85*10,I85/10,J85,4)</f>
        <v>57.939743400844101</v>
      </c>
      <c r="M85" s="48">
        <f>[2]!RcCMaC(C85/10,D85/10,E85,G85*10,H85*10, I85/10, J85,0)*10</f>
        <v>55.475533008575439</v>
      </c>
      <c r="N85" s="119">
        <v>125</v>
      </c>
      <c r="O85" s="120" t="str">
        <f t="shared" si="18"/>
        <v>NG</v>
      </c>
    </row>
    <row r="86" spans="3:15" x14ac:dyDescent="0.15">
      <c r="C86" s="52">
        <f t="shared" si="11"/>
        <v>500</v>
      </c>
      <c r="D86" s="35">
        <f t="shared" si="12"/>
        <v>190</v>
      </c>
      <c r="E86" s="28" t="str">
        <f t="shared" si="13"/>
        <v>6-D19</v>
      </c>
      <c r="F86" s="112">
        <f t="shared" si="14"/>
        <v>1721.9999313354492</v>
      </c>
      <c r="G86" s="112">
        <f t="shared" si="15"/>
        <v>14</v>
      </c>
      <c r="H86" s="112">
        <f t="shared" si="16"/>
        <v>345</v>
      </c>
      <c r="I86" s="111">
        <f t="shared" si="19"/>
        <v>20</v>
      </c>
      <c r="J86" s="112">
        <f t="shared" si="17"/>
        <v>15</v>
      </c>
      <c r="K86" s="123">
        <f>[2]!RcCMaC(C86/10,D86/10,E86,G86*10,H86*10, I86/10, J86,3)</f>
        <v>65.508918056928877</v>
      </c>
      <c r="L86" s="47">
        <f>[2]!RcCMaC(C86/10,D86/10,E86,G86*10,H86*10,I86/10,J86,4)</f>
        <v>57.939743400844101</v>
      </c>
      <c r="M86" s="48">
        <f>[2]!RcCMaC(C86/10,D86/10,E86,G86*10,H86*10, I86/10, J86,0)*10</f>
        <v>56.533145904541016</v>
      </c>
      <c r="N86" s="119">
        <v>126</v>
      </c>
      <c r="O86" s="120" t="str">
        <f t="shared" si="18"/>
        <v>NG</v>
      </c>
    </row>
    <row r="87" spans="3:15" x14ac:dyDescent="0.15">
      <c r="C87" s="52">
        <f t="shared" si="11"/>
        <v>500</v>
      </c>
      <c r="D87" s="35">
        <f t="shared" si="12"/>
        <v>190</v>
      </c>
      <c r="E87" s="28" t="str">
        <f t="shared" si="13"/>
        <v>6-D19</v>
      </c>
      <c r="F87" s="112">
        <f t="shared" si="14"/>
        <v>1721.9999313354492</v>
      </c>
      <c r="G87" s="112">
        <f t="shared" si="15"/>
        <v>14</v>
      </c>
      <c r="H87" s="112">
        <f t="shared" si="16"/>
        <v>345</v>
      </c>
      <c r="I87" s="111">
        <f t="shared" si="19"/>
        <v>40</v>
      </c>
      <c r="J87" s="112">
        <f t="shared" si="17"/>
        <v>15</v>
      </c>
      <c r="K87" s="123">
        <f>[2]!RcCMaC(C87/10,D87/10,E87,G87*10,H87*10, I87/10, J87,3)</f>
        <v>66.224107164827529</v>
      </c>
      <c r="L87" s="47">
        <f>[2]!RcCMaC(C87/10,D87/10,E87,G87*10,H87*10,I87/10,J87,4)</f>
        <v>57.939743400844101</v>
      </c>
      <c r="M87" s="48">
        <f>[2]!RcCMaC(C87/10,D87/10,E87,G87*10,H87*10, I87/10, J87,0)*10</f>
        <v>57.62181282043457</v>
      </c>
      <c r="N87" s="119">
        <v>127</v>
      </c>
      <c r="O87" s="120" t="str">
        <f t="shared" si="18"/>
        <v>NG</v>
      </c>
    </row>
    <row r="88" spans="3:15" x14ac:dyDescent="0.15">
      <c r="C88" s="52">
        <f t="shared" si="11"/>
        <v>500</v>
      </c>
      <c r="D88" s="35">
        <f t="shared" si="12"/>
        <v>190</v>
      </c>
      <c r="E88" s="28" t="str">
        <f t="shared" si="13"/>
        <v>6-D19</v>
      </c>
      <c r="F88" s="112">
        <f t="shared" si="14"/>
        <v>1721.9999313354492</v>
      </c>
      <c r="G88" s="112">
        <f t="shared" si="15"/>
        <v>14</v>
      </c>
      <c r="H88" s="112">
        <f t="shared" si="16"/>
        <v>345</v>
      </c>
      <c r="I88" s="111">
        <f t="shared" si="19"/>
        <v>60</v>
      </c>
      <c r="J88" s="112">
        <f t="shared" si="17"/>
        <v>15</v>
      </c>
      <c r="K88" s="123">
        <f>[2]!RcCMaC(C88/10,D88/10,E88,G88*10,H88*10, I88/10, J88,3)</f>
        <v>66.998903333605099</v>
      </c>
      <c r="L88" s="47">
        <f>[2]!RcCMaC(C88/10,D88/10,E88,G88*10,H88*10,I88/10,J88,4)</f>
        <v>57.939743400844101</v>
      </c>
      <c r="M88" s="48">
        <f>[2]!RcCMaC(C88/10,D88/10,E88,G88*10,H88*10, I88/10, J88,0)*10</f>
        <v>58.667731285095215</v>
      </c>
      <c r="N88" s="119">
        <v>128</v>
      </c>
      <c r="O88" s="120" t="str">
        <f t="shared" si="18"/>
        <v>NG</v>
      </c>
    </row>
    <row r="89" spans="3:15" x14ac:dyDescent="0.15">
      <c r="C89" s="52">
        <f t="shared" si="11"/>
        <v>500</v>
      </c>
      <c r="D89" s="35">
        <f t="shared" si="12"/>
        <v>190</v>
      </c>
      <c r="E89" s="28" t="str">
        <f t="shared" si="13"/>
        <v>6-D19</v>
      </c>
      <c r="F89" s="112">
        <f t="shared" si="14"/>
        <v>1721.9999313354492</v>
      </c>
      <c r="G89" s="112">
        <f t="shared" si="15"/>
        <v>14</v>
      </c>
      <c r="H89" s="112">
        <f t="shared" si="16"/>
        <v>345</v>
      </c>
      <c r="I89" s="111">
        <f t="shared" si="19"/>
        <v>80</v>
      </c>
      <c r="J89" s="112">
        <f t="shared" si="17"/>
        <v>15</v>
      </c>
      <c r="K89" s="123">
        <f>[2]!RcCMaC(C89/10,D89/10,E89,G89*10,H89*10, I89/10, J89,3)</f>
        <v>67.71409927169293</v>
      </c>
      <c r="L89" s="47">
        <f>[2]!RcCMaC(C89/10,D89/10,E89,G89*10,H89*10,I89/10,J89,4)</f>
        <v>57.939743400844101</v>
      </c>
      <c r="M89" s="48">
        <f>[2]!RcCMaC(C89/10,D89/10,E89,G89*10,H89*10, I89/10, J89,0)*10</f>
        <v>59.810447692871094</v>
      </c>
      <c r="N89" s="119">
        <v>129</v>
      </c>
      <c r="O89" s="120" t="str">
        <f t="shared" si="18"/>
        <v>NG</v>
      </c>
    </row>
    <row r="90" spans="3:15" x14ac:dyDescent="0.15">
      <c r="C90" s="52">
        <f t="shared" si="11"/>
        <v>500</v>
      </c>
      <c r="D90" s="35">
        <f t="shared" si="12"/>
        <v>190</v>
      </c>
      <c r="E90" s="28" t="str">
        <f t="shared" si="13"/>
        <v>6-D19</v>
      </c>
      <c r="F90" s="112">
        <f t="shared" si="14"/>
        <v>1721.9999313354492</v>
      </c>
      <c r="G90" s="112">
        <f t="shared" si="15"/>
        <v>14</v>
      </c>
      <c r="H90" s="112">
        <f t="shared" si="16"/>
        <v>345</v>
      </c>
      <c r="I90" s="111">
        <f t="shared" si="19"/>
        <v>100</v>
      </c>
      <c r="J90" s="112">
        <f t="shared" si="17"/>
        <v>15</v>
      </c>
      <c r="K90" s="123">
        <f>[2]!RcCMaC(C90/10,D90/10,E90,G90*10,H90*10, I90/10, J90,3)</f>
        <v>68.488888610281322</v>
      </c>
      <c r="L90" s="47">
        <f>[2]!RcCMaC(C90/10,D90/10,E90,G90*10,H90*10,I90/10,J90,4)</f>
        <v>57.939743400844101</v>
      </c>
      <c r="M90" s="48">
        <f>[2]!RcCMaC(C90/10,D90/10,E90,G90*10,H90*10, I90/10, J90,0)*10</f>
        <v>60.914421081542969</v>
      </c>
      <c r="N90" s="119">
        <v>130</v>
      </c>
      <c r="O90" s="120" t="str">
        <f t="shared" si="18"/>
        <v>NG</v>
      </c>
    </row>
    <row r="91" spans="3:15" x14ac:dyDescent="0.15">
      <c r="C91" s="52">
        <f t="shared" si="11"/>
        <v>500</v>
      </c>
      <c r="D91" s="35">
        <f t="shared" si="12"/>
        <v>190</v>
      </c>
      <c r="E91" s="28" t="str">
        <f t="shared" si="13"/>
        <v>6-D19</v>
      </c>
      <c r="F91" s="112">
        <f t="shared" si="14"/>
        <v>1721.9999313354492</v>
      </c>
      <c r="G91" s="112">
        <f t="shared" si="15"/>
        <v>14</v>
      </c>
      <c r="H91" s="112">
        <f t="shared" si="16"/>
        <v>345</v>
      </c>
      <c r="I91" s="111">
        <f t="shared" si="19"/>
        <v>120</v>
      </c>
      <c r="J91" s="112">
        <f t="shared" si="17"/>
        <v>15</v>
      </c>
      <c r="K91" s="123">
        <f>[2]!RcCMaC(C91/10,D91/10,E91,G91*10,H91*10, I91/10, J91,3)</f>
        <v>69.263691609248056</v>
      </c>
      <c r="L91" s="47">
        <f>[2]!RcCMaC(C91/10,D91/10,E91,G91*10,H91*10,I91/10,J91,4)</f>
        <v>57.939743400844101</v>
      </c>
      <c r="M91" s="48">
        <f>[2]!RcCMaC(C91/10,D91/10,E91,G91*10,H91*10, I91/10, J91,0)*10</f>
        <v>62.043333053588867</v>
      </c>
      <c r="N91" s="119">
        <v>131</v>
      </c>
      <c r="O91" s="120" t="str">
        <f t="shared" si="18"/>
        <v>NG</v>
      </c>
    </row>
    <row r="92" spans="3:15" x14ac:dyDescent="0.15">
      <c r="C92" s="52">
        <f t="shared" si="11"/>
        <v>500</v>
      </c>
      <c r="D92" s="35">
        <f t="shared" si="12"/>
        <v>190</v>
      </c>
      <c r="E92" s="28" t="str">
        <f t="shared" si="13"/>
        <v>6-D19</v>
      </c>
      <c r="F92" s="112">
        <f t="shared" si="14"/>
        <v>1721.9999313354492</v>
      </c>
      <c r="G92" s="112">
        <f t="shared" si="15"/>
        <v>14</v>
      </c>
      <c r="H92" s="112">
        <f t="shared" si="16"/>
        <v>345</v>
      </c>
      <c r="I92" s="111">
        <f t="shared" si="19"/>
        <v>140</v>
      </c>
      <c r="J92" s="112">
        <f t="shared" si="17"/>
        <v>15</v>
      </c>
      <c r="K92" s="123">
        <f>[2]!RcCMaC(C92/10,D92/10,E92,G92*10,H92*10, I92/10, J92,3)</f>
        <v>70.098094838904544</v>
      </c>
      <c r="L92" s="47">
        <f>[2]!RcCMaC(C92/10,D92/10,E92,G92*10,H92*10,I92/10,J92,4)</f>
        <v>57.939743400844101</v>
      </c>
      <c r="M92" s="48">
        <f>[2]!RcCMaC(C92/10,D92/10,E92,G92*10,H92*10, I92/10, J92,0)*10</f>
        <v>63.150399923324585</v>
      </c>
      <c r="N92" s="119">
        <v>132</v>
      </c>
      <c r="O92" s="120" t="str">
        <f t="shared" si="18"/>
        <v>NG</v>
      </c>
    </row>
    <row r="93" spans="3:15" x14ac:dyDescent="0.15">
      <c r="C93" s="52">
        <f t="shared" si="11"/>
        <v>500</v>
      </c>
      <c r="D93" s="35">
        <f t="shared" si="12"/>
        <v>190</v>
      </c>
      <c r="E93" s="28" t="str">
        <f t="shared" si="13"/>
        <v>6-D19</v>
      </c>
      <c r="F93" s="112">
        <f t="shared" si="14"/>
        <v>1721.9999313354492</v>
      </c>
      <c r="G93" s="112">
        <f t="shared" si="15"/>
        <v>14</v>
      </c>
      <c r="H93" s="112">
        <f t="shared" si="16"/>
        <v>345</v>
      </c>
      <c r="I93" s="111">
        <f t="shared" si="19"/>
        <v>160</v>
      </c>
      <c r="J93" s="112">
        <f t="shared" si="17"/>
        <v>15</v>
      </c>
      <c r="K93" s="123">
        <f>[2]!RcCMaC(C93/10,D93/10,E93,G93*10,H93*10, I93/10, J93,3)</f>
        <v>70.872884177492949</v>
      </c>
      <c r="L93" s="47">
        <f>[2]!RcCMaC(C93/10,D93/10,E93,G93*10,H93*10,I93/10,J93,4)</f>
        <v>57.939743400844101</v>
      </c>
      <c r="M93" s="48">
        <f>[2]!RcCMaC(C93/10,D93/10,E93,G93*10,H93*10, I93/10, J93,0)*10</f>
        <v>64.320594072341919</v>
      </c>
      <c r="N93" s="119">
        <v>133</v>
      </c>
      <c r="O93" s="120" t="str">
        <f t="shared" si="18"/>
        <v>NG</v>
      </c>
    </row>
    <row r="94" spans="3:15" x14ac:dyDescent="0.15">
      <c r="C94" s="52">
        <f t="shared" si="11"/>
        <v>500</v>
      </c>
      <c r="D94" s="35">
        <f t="shared" si="12"/>
        <v>190</v>
      </c>
      <c r="E94" s="28" t="str">
        <f t="shared" si="13"/>
        <v>6-D19</v>
      </c>
      <c r="F94" s="112">
        <f t="shared" si="14"/>
        <v>1721.9999313354492</v>
      </c>
      <c r="G94" s="112">
        <f t="shared" si="15"/>
        <v>14</v>
      </c>
      <c r="H94" s="112">
        <f t="shared" si="16"/>
        <v>345</v>
      </c>
      <c r="I94" s="111">
        <f t="shared" si="19"/>
        <v>180</v>
      </c>
      <c r="J94" s="112">
        <f t="shared" si="17"/>
        <v>15</v>
      </c>
      <c r="K94" s="123">
        <f>[2]!RcCMaC(C94/10,D94/10,E94,G94*10,H94*10, I94/10, J94,3)</f>
        <v>71.647687176459684</v>
      </c>
      <c r="L94" s="47">
        <f>[2]!RcCMaC(C94/10,D94/10,E94,G94*10,H94*10,I94/10,J94,4)</f>
        <v>57.939743400844101</v>
      </c>
      <c r="M94" s="48">
        <f>[2]!RcCMaC(C94/10,D94/10,E94,G94*10,H94*10, I94/10, J94,0)*10</f>
        <v>65.501409769058228</v>
      </c>
      <c r="N94" s="119">
        <v>134</v>
      </c>
      <c r="O94" s="120" t="str">
        <f t="shared" si="18"/>
        <v>NG</v>
      </c>
    </row>
    <row r="95" spans="3:15" x14ac:dyDescent="0.15">
      <c r="C95" s="52">
        <f t="shared" si="11"/>
        <v>500</v>
      </c>
      <c r="D95" s="35">
        <f t="shared" si="12"/>
        <v>190</v>
      </c>
      <c r="E95" s="28" t="str">
        <f t="shared" si="13"/>
        <v>6-D19</v>
      </c>
      <c r="F95" s="112">
        <f t="shared" si="14"/>
        <v>1721.9999313354492</v>
      </c>
      <c r="G95" s="112">
        <f t="shared" si="15"/>
        <v>14</v>
      </c>
      <c r="H95" s="112">
        <f t="shared" si="16"/>
        <v>345</v>
      </c>
      <c r="I95" s="111">
        <f t="shared" si="19"/>
        <v>200</v>
      </c>
      <c r="J95" s="112">
        <f t="shared" si="17"/>
        <v>15</v>
      </c>
      <c r="K95" s="123">
        <f>[2]!RcCMaC(C95/10,D95/10,E95,G95*10,H95*10, I95/10, J95,3)</f>
        <v>72.482076745737842</v>
      </c>
      <c r="L95" s="47">
        <f>[2]!RcCMaC(C95/10,D95/10,E95,G95*10,H95*10,I95/10,J95,4)</f>
        <v>57.939743400844101</v>
      </c>
      <c r="M95" s="48">
        <f>[2]!RcCMaC(C95/10,D95/10,E95,G95*10,H95*10, I95/10, J95,0)*10</f>
        <v>66.664403676986694</v>
      </c>
      <c r="N95" s="119">
        <v>135</v>
      </c>
      <c r="O95" s="120" t="str">
        <f t="shared" si="18"/>
        <v>NG</v>
      </c>
    </row>
    <row r="96" spans="3:15" x14ac:dyDescent="0.15">
      <c r="C96" s="52">
        <f t="shared" si="11"/>
        <v>500</v>
      </c>
      <c r="D96" s="35">
        <f t="shared" si="12"/>
        <v>190</v>
      </c>
      <c r="E96" s="28" t="str">
        <f t="shared" si="13"/>
        <v>6-D19</v>
      </c>
      <c r="F96" s="112">
        <f t="shared" si="14"/>
        <v>1721.9999313354492</v>
      </c>
      <c r="G96" s="112">
        <f t="shared" si="15"/>
        <v>14</v>
      </c>
      <c r="H96" s="112">
        <f t="shared" si="16"/>
        <v>345</v>
      </c>
      <c r="I96" s="111">
        <f t="shared" si="19"/>
        <v>220</v>
      </c>
      <c r="J96" s="112">
        <f t="shared" si="17"/>
        <v>15</v>
      </c>
      <c r="K96" s="123">
        <f>[2]!RcCMaC(C96/10,D96/10,E96,G96*10,H96*10, I96/10, J96,3)</f>
        <v>73.31647997539433</v>
      </c>
      <c r="L96" s="47">
        <f>[2]!RcCMaC(C96/10,D96/10,E96,G96*10,H96*10,I96/10,J96,4)</f>
        <v>57.939743400844101</v>
      </c>
      <c r="M96" s="48">
        <f>[2]!RcCMaC(C96/10,D96/10,E96,G96*10,H96*10, I96/10, J96,0)*10</f>
        <v>67.840641736984253</v>
      </c>
      <c r="N96" s="119">
        <v>136</v>
      </c>
      <c r="O96" s="120" t="str">
        <f t="shared" si="18"/>
        <v>NG</v>
      </c>
    </row>
    <row r="97" spans="3:15" x14ac:dyDescent="0.15">
      <c r="C97" s="52">
        <f t="shared" si="11"/>
        <v>500</v>
      </c>
      <c r="D97" s="35">
        <f t="shared" si="12"/>
        <v>190</v>
      </c>
      <c r="E97" s="28" t="str">
        <f t="shared" si="13"/>
        <v>6-D19</v>
      </c>
      <c r="F97" s="112">
        <f t="shared" si="14"/>
        <v>1721.9999313354492</v>
      </c>
      <c r="G97" s="112">
        <f t="shared" si="15"/>
        <v>14</v>
      </c>
      <c r="H97" s="112">
        <f t="shared" si="16"/>
        <v>345</v>
      </c>
      <c r="I97" s="111">
        <f t="shared" si="19"/>
        <v>240</v>
      </c>
      <c r="J97" s="112">
        <f t="shared" si="17"/>
        <v>15</v>
      </c>
      <c r="K97" s="123">
        <f>[2]!RcCMaC(C97/10,D97/10,E97,G97*10,H97*10, I97/10, J97,3)</f>
        <v>74.150876374861639</v>
      </c>
      <c r="L97" s="47">
        <f>[2]!RcCMaC(C97/10,D97/10,E97,G97*10,H97*10,I97/10,J97,4)</f>
        <v>57.939743400844101</v>
      </c>
      <c r="M97" s="48">
        <f>[2]!RcCMaC(C97/10,D97/10,E97,G97*10,H97*10, I97/10, J97,0)*10</f>
        <v>69.025552272796631</v>
      </c>
      <c r="N97" s="119">
        <v>137</v>
      </c>
      <c r="O97" s="120" t="str">
        <f t="shared" si="18"/>
        <v>NG</v>
      </c>
    </row>
    <row r="98" spans="3:15" x14ac:dyDescent="0.15">
      <c r="C98" s="52">
        <f t="shared" si="11"/>
        <v>500</v>
      </c>
      <c r="D98" s="35">
        <f t="shared" si="12"/>
        <v>190</v>
      </c>
      <c r="E98" s="28" t="str">
        <f t="shared" si="13"/>
        <v>6-D19</v>
      </c>
      <c r="F98" s="112">
        <f t="shared" si="14"/>
        <v>1721.9999313354492</v>
      </c>
      <c r="G98" s="112">
        <f t="shared" si="15"/>
        <v>14</v>
      </c>
      <c r="H98" s="112">
        <f t="shared" si="16"/>
        <v>345</v>
      </c>
      <c r="I98" s="111">
        <f t="shared" si="19"/>
        <v>260</v>
      </c>
      <c r="J98" s="112">
        <f t="shared" si="17"/>
        <v>15</v>
      </c>
      <c r="K98" s="123">
        <f>[2]!RcCMaC(C98/10,D98/10,E98,G98*10,H98*10, I98/10, J98,3)</f>
        <v>74.985272774328962</v>
      </c>
      <c r="L98" s="47">
        <f>[2]!RcCMaC(C98/10,D98/10,E98,G98*10,H98*10,I98/10,J98,4)</f>
        <v>57.939743400844101</v>
      </c>
      <c r="M98" s="48">
        <f>[2]!RcCMaC(C98/10,D98/10,E98,G98*10,H98*10, I98/10, J98,0)*10</f>
        <v>70.214760303497314</v>
      </c>
      <c r="N98" s="119">
        <v>138</v>
      </c>
      <c r="O98" s="120" t="str">
        <f t="shared" si="18"/>
        <v>NG</v>
      </c>
    </row>
    <row r="99" spans="3:15" x14ac:dyDescent="0.15">
      <c r="C99" s="52">
        <f t="shared" si="11"/>
        <v>500</v>
      </c>
      <c r="D99" s="35">
        <f t="shared" si="12"/>
        <v>190</v>
      </c>
      <c r="E99" s="28" t="str">
        <f t="shared" si="13"/>
        <v>6-D19</v>
      </c>
      <c r="F99" s="112">
        <f t="shared" si="14"/>
        <v>1721.9999313354492</v>
      </c>
      <c r="G99" s="112">
        <f t="shared" si="15"/>
        <v>14</v>
      </c>
      <c r="H99" s="112">
        <f t="shared" si="16"/>
        <v>345</v>
      </c>
      <c r="I99" s="111">
        <f t="shared" si="19"/>
        <v>280</v>
      </c>
      <c r="J99" s="112">
        <f t="shared" si="17"/>
        <v>15</v>
      </c>
      <c r="K99" s="123">
        <f>[2]!RcCMaC(C99/10,D99/10,E99,G99*10,H99*10, I99/10, J99,3)</f>
        <v>75.87926257429686</v>
      </c>
      <c r="L99" s="47">
        <f>[2]!RcCMaC(C99/10,D99/10,E99,G99*10,H99*10,I99/10,J99,4)</f>
        <v>57.939743400844101</v>
      </c>
      <c r="M99" s="48">
        <f>[2]!RcCMaC(C99/10,D99/10,E99,G99*10,H99*10, I99/10, J99,0)*10</f>
        <v>71.401870250701904</v>
      </c>
      <c r="N99" s="119">
        <v>139</v>
      </c>
      <c r="O99" s="120" t="str">
        <f t="shared" si="18"/>
        <v>NG</v>
      </c>
    </row>
    <row r="100" spans="3:15" x14ac:dyDescent="0.15">
      <c r="C100" s="52">
        <f t="shared" si="11"/>
        <v>500</v>
      </c>
      <c r="D100" s="35">
        <f t="shared" si="12"/>
        <v>190</v>
      </c>
      <c r="E100" s="28" t="str">
        <f t="shared" si="13"/>
        <v>6-D19</v>
      </c>
      <c r="F100" s="112">
        <f t="shared" si="14"/>
        <v>1721.9999313354492</v>
      </c>
      <c r="G100" s="112">
        <f t="shared" si="15"/>
        <v>14</v>
      </c>
      <c r="H100" s="112">
        <f t="shared" si="16"/>
        <v>345</v>
      </c>
      <c r="I100" s="111">
        <f t="shared" si="19"/>
        <v>300</v>
      </c>
      <c r="J100" s="112">
        <f t="shared" si="17"/>
        <v>15</v>
      </c>
      <c r="K100" s="123">
        <f>[2]!RcCMaC(C100/10,D100/10,E100,G100*10,H100*10, I100/10, J100,3)</f>
        <v>76.7732660346431</v>
      </c>
      <c r="L100" s="47">
        <f>[2]!RcCMaC(C100/10,D100/10,E100,G100*10,H100*10,I100/10,J100,4)</f>
        <v>57.939743400844101</v>
      </c>
      <c r="M100" s="48">
        <f>[2]!RcCMaC(C100/10,D100/10,E100,G100*10,H100*10, I100/10, J100,0)*10</f>
        <v>72.59521484375</v>
      </c>
      <c r="N100" s="119">
        <v>140</v>
      </c>
      <c r="O100" s="120" t="str">
        <f t="shared" si="18"/>
        <v>NG</v>
      </c>
    </row>
    <row r="101" spans="3:15" x14ac:dyDescent="0.15">
      <c r="C101" s="52">
        <f t="shared" si="11"/>
        <v>500</v>
      </c>
      <c r="D101" s="35">
        <f t="shared" si="12"/>
        <v>190</v>
      </c>
      <c r="E101" s="28" t="str">
        <f t="shared" si="13"/>
        <v>6-D19</v>
      </c>
      <c r="F101" s="112">
        <f t="shared" si="14"/>
        <v>1721.9999313354492</v>
      </c>
      <c r="G101" s="112">
        <f t="shared" si="15"/>
        <v>14</v>
      </c>
      <c r="H101" s="112">
        <f t="shared" si="16"/>
        <v>345</v>
      </c>
      <c r="I101" s="111">
        <f t="shared" si="19"/>
        <v>320</v>
      </c>
      <c r="J101" s="112">
        <f t="shared" si="17"/>
        <v>15</v>
      </c>
      <c r="K101" s="123">
        <f>[2]!RcCMaC(C101/10,D101/10,E101,G101*10,H101*10, I101/10, J101,3)</f>
        <v>77.607655603921245</v>
      </c>
      <c r="L101" s="47">
        <f>[2]!RcCMaC(C101/10,D101/10,E101,G101*10,H101*10,I101/10,J101,4)</f>
        <v>57.939743400844101</v>
      </c>
      <c r="M101" s="48">
        <f>[2]!RcCMaC(C101/10,D101/10,E101,G101*10,H101*10, I101/10, J101,0)*10</f>
        <v>73.782199621200562</v>
      </c>
      <c r="N101" s="119">
        <v>141</v>
      </c>
      <c r="O101" s="120" t="str">
        <f t="shared" si="18"/>
        <v>NG</v>
      </c>
    </row>
    <row r="102" spans="3:15" x14ac:dyDescent="0.15">
      <c r="C102" s="52">
        <f t="shared" si="11"/>
        <v>500</v>
      </c>
      <c r="D102" s="35">
        <f t="shared" si="12"/>
        <v>190</v>
      </c>
      <c r="E102" s="28" t="str">
        <f t="shared" si="13"/>
        <v>6-D19</v>
      </c>
      <c r="F102" s="112">
        <f t="shared" si="14"/>
        <v>1721.9999313354492</v>
      </c>
      <c r="G102" s="112">
        <f t="shared" si="15"/>
        <v>14</v>
      </c>
      <c r="H102" s="112">
        <f t="shared" si="16"/>
        <v>345</v>
      </c>
      <c r="I102" s="111">
        <f t="shared" si="19"/>
        <v>340</v>
      </c>
      <c r="J102" s="112">
        <f t="shared" si="17"/>
        <v>15</v>
      </c>
      <c r="K102" s="123">
        <f>[2]!RcCMaC(C102/10,D102/10,E102,G102*10,H102*10, I102/10, J102,3)</f>
        <v>78.561245634578896</v>
      </c>
      <c r="L102" s="47">
        <f>[2]!RcCMaC(C102/10,D102/10,E102,G102*10,H102*10,I102/10,J102,4)</f>
        <v>57.939743400844101</v>
      </c>
      <c r="M102" s="48">
        <f>[2]!RcCMaC(C102/10,D102/10,E102,G102*10,H102*10, I102/10, J102,0)*10</f>
        <v>74.982905387878418</v>
      </c>
      <c r="N102" s="119">
        <v>142</v>
      </c>
      <c r="O102" s="120" t="str">
        <f t="shared" si="18"/>
        <v>NG</v>
      </c>
    </row>
    <row r="103" spans="3:15" x14ac:dyDescent="0.15">
      <c r="C103" s="52">
        <f t="shared" si="11"/>
        <v>500</v>
      </c>
      <c r="D103" s="35">
        <f t="shared" si="12"/>
        <v>190</v>
      </c>
      <c r="E103" s="28" t="str">
        <f t="shared" si="13"/>
        <v>6-D19</v>
      </c>
      <c r="F103" s="112">
        <f t="shared" si="14"/>
        <v>1721.9999313354492</v>
      </c>
      <c r="G103" s="112">
        <f t="shared" si="15"/>
        <v>14</v>
      </c>
      <c r="H103" s="112">
        <f t="shared" si="16"/>
        <v>345</v>
      </c>
      <c r="I103" s="111">
        <f t="shared" si="19"/>
        <v>360</v>
      </c>
      <c r="J103" s="112">
        <f t="shared" si="17"/>
        <v>15</v>
      </c>
      <c r="K103" s="123">
        <f>[2]!RcCMaC(C103/10,D103/10,E103,G103*10,H103*10, I103/10, J103,3)</f>
        <v>79.395648864235383</v>
      </c>
      <c r="L103" s="47">
        <f>[2]!RcCMaC(C103/10,D103/10,E103,G103*10,H103*10,I103/10,J103,4)</f>
        <v>57.939743400844101</v>
      </c>
      <c r="M103" s="48">
        <f>[2]!RcCMaC(C103/10,D103/10,E103,G103*10,H103*10, I103/10, J103,0)*10</f>
        <v>76.151555776596069</v>
      </c>
      <c r="N103" s="119">
        <v>143</v>
      </c>
      <c r="O103" s="120" t="str">
        <f t="shared" si="18"/>
        <v>NG</v>
      </c>
    </row>
    <row r="104" spans="3:15" x14ac:dyDescent="0.15">
      <c r="C104" s="52">
        <f t="shared" si="11"/>
        <v>500</v>
      </c>
      <c r="D104" s="35">
        <f t="shared" si="12"/>
        <v>190</v>
      </c>
      <c r="E104" s="28" t="str">
        <f t="shared" si="13"/>
        <v>6-D19</v>
      </c>
      <c r="F104" s="112">
        <f t="shared" si="14"/>
        <v>1721.9999313354492</v>
      </c>
      <c r="G104" s="112">
        <f t="shared" si="15"/>
        <v>14</v>
      </c>
      <c r="H104" s="112">
        <f t="shared" si="16"/>
        <v>345</v>
      </c>
      <c r="I104" s="111">
        <f t="shared" si="19"/>
        <v>380</v>
      </c>
      <c r="J104" s="112">
        <f t="shared" si="17"/>
        <v>15</v>
      </c>
      <c r="K104" s="123">
        <f>[2]!RcCMaC(C104/10,D104/10,E104,G104*10,H104*10, I104/10, J104,3)</f>
        <v>80.34923889489302</v>
      </c>
      <c r="L104" s="47">
        <f>[2]!RcCMaC(C104/10,D104/10,E104,G104*10,H104*10,I104/10,J104,4)</f>
        <v>57.939743400844101</v>
      </c>
      <c r="M104" s="48">
        <f>[2]!RcCMaC(C104/10,D104/10,E104,G104*10,H104*10, I104/10, J104,0)*10</f>
        <v>77.344787120819092</v>
      </c>
      <c r="N104" s="119">
        <v>144</v>
      </c>
      <c r="O104" s="120" t="str">
        <f t="shared" si="18"/>
        <v>NG</v>
      </c>
    </row>
    <row r="105" spans="3:15" x14ac:dyDescent="0.15">
      <c r="C105" s="52">
        <f t="shared" si="11"/>
        <v>500</v>
      </c>
      <c r="D105" s="35">
        <f t="shared" si="12"/>
        <v>190</v>
      </c>
      <c r="E105" s="28" t="str">
        <f t="shared" si="13"/>
        <v>6-D19</v>
      </c>
      <c r="F105" s="112">
        <f t="shared" si="14"/>
        <v>1721.9999313354492</v>
      </c>
      <c r="G105" s="112">
        <f t="shared" si="15"/>
        <v>14</v>
      </c>
      <c r="H105" s="112">
        <f t="shared" si="16"/>
        <v>345</v>
      </c>
      <c r="I105" s="111">
        <f t="shared" si="19"/>
        <v>400</v>
      </c>
      <c r="J105" s="112">
        <f t="shared" si="17"/>
        <v>15</v>
      </c>
      <c r="K105" s="123">
        <f>[2]!RcCMaC(C105/10,D105/10,E105,G105*10,H105*10, I105/10, J105,3)</f>
        <v>81.243242355239261</v>
      </c>
      <c r="L105" s="47">
        <f>[2]!RcCMaC(C105/10,D105/10,E105,G105*10,H105*10,I105/10,J105,4)</f>
        <v>57.939743400844101</v>
      </c>
      <c r="M105" s="48">
        <f>[2]!RcCMaC(C105/10,D105/10,E105,G105*10,H105*10, I105/10, J105,0)*10</f>
        <v>78.506648540496826</v>
      </c>
      <c r="N105" s="119">
        <v>145</v>
      </c>
      <c r="O105" s="120" t="str">
        <f t="shared" si="18"/>
        <v>NG</v>
      </c>
    </row>
    <row r="106" spans="3:15" x14ac:dyDescent="0.15">
      <c r="C106" s="52">
        <f t="shared" si="11"/>
        <v>500</v>
      </c>
      <c r="D106" s="35">
        <f t="shared" si="12"/>
        <v>190</v>
      </c>
      <c r="E106" s="28" t="str">
        <f t="shared" si="13"/>
        <v>6-D19</v>
      </c>
      <c r="F106" s="112">
        <f t="shared" si="14"/>
        <v>1721.9999313354492</v>
      </c>
      <c r="G106" s="112">
        <f t="shared" si="15"/>
        <v>14</v>
      </c>
      <c r="H106" s="112">
        <f t="shared" si="16"/>
        <v>345</v>
      </c>
      <c r="I106" s="111">
        <f t="shared" si="19"/>
        <v>420</v>
      </c>
      <c r="J106" s="112">
        <f t="shared" si="17"/>
        <v>15</v>
      </c>
      <c r="K106" s="123">
        <f>[2]!RcCMaC(C106/10,D106/10,E106,G106*10,H106*10, I106/10, J106,3)</f>
        <v>82.137232155207158</v>
      </c>
      <c r="L106" s="47">
        <f>[2]!RcCMaC(C106/10,D106/10,E106,G106*10,H106*10,I106/10,J106,4)</f>
        <v>57.939743400844101</v>
      </c>
      <c r="M106" s="48">
        <f>[2]!RcCMaC(C106/10,D106/10,E106,G106*10,H106*10, I106/10, J106,0)*10</f>
        <v>79.651141166687012</v>
      </c>
      <c r="N106" s="119">
        <v>146</v>
      </c>
      <c r="O106" s="120" t="str">
        <f t="shared" si="18"/>
        <v>NG</v>
      </c>
    </row>
    <row r="107" spans="3:15" x14ac:dyDescent="0.15">
      <c r="C107" s="52">
        <f t="shared" si="11"/>
        <v>500</v>
      </c>
      <c r="D107" s="35">
        <f t="shared" si="12"/>
        <v>190</v>
      </c>
      <c r="E107" s="28" t="str">
        <f t="shared" si="13"/>
        <v>6-D19</v>
      </c>
      <c r="F107" s="112">
        <f t="shared" si="14"/>
        <v>1721.9999313354492</v>
      </c>
      <c r="G107" s="112">
        <f t="shared" si="15"/>
        <v>14</v>
      </c>
      <c r="H107" s="112">
        <f t="shared" si="16"/>
        <v>345</v>
      </c>
      <c r="I107" s="111">
        <f t="shared" si="19"/>
        <v>440</v>
      </c>
      <c r="J107" s="112">
        <f t="shared" si="17"/>
        <v>15</v>
      </c>
      <c r="K107" s="123">
        <f>[2]!RcCMaC(C107/10,D107/10,E107,G107*10,H107*10, I107/10, J107,3)</f>
        <v>83.090835846243138</v>
      </c>
      <c r="L107" s="47">
        <f>[2]!RcCMaC(C107/10,D107/10,E107,G107*10,H107*10,I107/10,J107,4)</f>
        <v>57.939743400844101</v>
      </c>
      <c r="M107" s="48">
        <f>[2]!RcCMaC(C107/10,D107/10,E107,G107*10,H107*10, I107/10, J107,0)*10</f>
        <v>80.809032917022705</v>
      </c>
      <c r="N107" s="119">
        <v>147</v>
      </c>
      <c r="O107" s="120" t="str">
        <f t="shared" si="18"/>
        <v>NG</v>
      </c>
    </row>
    <row r="108" spans="3:15" x14ac:dyDescent="0.15">
      <c r="C108" s="52">
        <f t="shared" si="11"/>
        <v>500</v>
      </c>
      <c r="D108" s="35">
        <f t="shared" si="12"/>
        <v>190</v>
      </c>
      <c r="E108" s="28" t="str">
        <f t="shared" si="13"/>
        <v>6-D19</v>
      </c>
      <c r="F108" s="112">
        <f t="shared" si="14"/>
        <v>1721.9999313354492</v>
      </c>
      <c r="G108" s="112">
        <f t="shared" si="15"/>
        <v>14</v>
      </c>
      <c r="H108" s="112">
        <f t="shared" si="16"/>
        <v>345</v>
      </c>
      <c r="I108" s="111">
        <f t="shared" si="19"/>
        <v>460</v>
      </c>
      <c r="J108" s="112">
        <f t="shared" si="17"/>
        <v>15</v>
      </c>
      <c r="K108" s="123">
        <f>[2]!RcCMaC(C108/10,D108/10,E108,G108*10,H108*10, I108/10, J108,3)</f>
        <v>84.044425876900789</v>
      </c>
      <c r="L108" s="47">
        <f>[2]!RcCMaC(C108/10,D108/10,E108,G108*10,H108*10,I108/10,J108,4)</f>
        <v>57.939743400844101</v>
      </c>
      <c r="M108" s="48">
        <f>[2]!RcCMaC(C108/10,D108/10,E108,G108*10,H108*10, I108/10, J108,0)*10</f>
        <v>81.950706243515015</v>
      </c>
      <c r="N108" s="119">
        <v>148</v>
      </c>
      <c r="O108" s="120" t="str">
        <f t="shared" si="18"/>
        <v>NG</v>
      </c>
    </row>
    <row r="109" spans="3:15" x14ac:dyDescent="0.15">
      <c r="C109" s="52">
        <f t="shared" si="11"/>
        <v>500</v>
      </c>
      <c r="D109" s="35">
        <f t="shared" si="12"/>
        <v>190</v>
      </c>
      <c r="E109" s="28" t="str">
        <f t="shared" si="13"/>
        <v>6-D19</v>
      </c>
      <c r="F109" s="112">
        <f t="shared" si="14"/>
        <v>1721.9999313354492</v>
      </c>
      <c r="G109" s="112">
        <f t="shared" si="15"/>
        <v>14</v>
      </c>
      <c r="H109" s="112">
        <f t="shared" si="16"/>
        <v>345</v>
      </c>
      <c r="I109" s="111">
        <f t="shared" si="19"/>
        <v>480</v>
      </c>
      <c r="J109" s="112">
        <f t="shared" si="17"/>
        <v>15</v>
      </c>
      <c r="K109" s="123">
        <f>[2]!RcCMaC(C109/10,D109/10,E109,G109*10,H109*10, I109/10, J109,3)</f>
        <v>84.998029567936783</v>
      </c>
      <c r="L109" s="47">
        <f>[2]!RcCMaC(C109/10,D109/10,E109,G109*10,H109*10,I109/10,J109,4)</f>
        <v>57.939743400844101</v>
      </c>
      <c r="M109" s="48">
        <f>[2]!RcCMaC(C109/10,D109/10,E109,G109*10,H109*10, I109/10, J109,0)*10</f>
        <v>83.072632551193237</v>
      </c>
      <c r="N109" s="119">
        <v>149</v>
      </c>
      <c r="O109" s="120" t="str">
        <f t="shared" si="18"/>
        <v>NG</v>
      </c>
    </row>
    <row r="110" spans="3:15" x14ac:dyDescent="0.15">
      <c r="C110" s="52">
        <f t="shared" si="11"/>
        <v>500</v>
      </c>
      <c r="D110" s="35">
        <f t="shared" si="12"/>
        <v>190</v>
      </c>
      <c r="E110" s="28" t="str">
        <f t="shared" si="13"/>
        <v>6-D19</v>
      </c>
      <c r="F110" s="112">
        <f t="shared" si="14"/>
        <v>1721.9999313354492</v>
      </c>
      <c r="G110" s="112">
        <f t="shared" si="15"/>
        <v>14</v>
      </c>
      <c r="H110" s="112">
        <f t="shared" si="16"/>
        <v>345</v>
      </c>
      <c r="I110" s="111">
        <f t="shared" si="19"/>
        <v>500</v>
      </c>
      <c r="J110" s="112">
        <f t="shared" si="17"/>
        <v>15</v>
      </c>
      <c r="K110" s="123">
        <f>[2]!RcCMaC(C110/10,D110/10,E110,G110*10,H110*10, I110/10, J110,3)</f>
        <v>85.951619598594419</v>
      </c>
      <c r="L110" s="47">
        <f>[2]!RcCMaC(C110/10,D110/10,E110,G110*10,H110*10,I110/10,J110,4)</f>
        <v>57.939743400844101</v>
      </c>
      <c r="M110" s="48">
        <f>[2]!RcCMaC(C110/10,D110/10,E110,G110*10,H110*10, I110/10, J110,0)*10</f>
        <v>84.171420335769653</v>
      </c>
      <c r="N110" s="119">
        <v>150</v>
      </c>
      <c r="O110" s="120" t="str">
        <f t="shared" si="18"/>
        <v>NG</v>
      </c>
    </row>
    <row r="111" spans="3:15" x14ac:dyDescent="0.15">
      <c r="C111" s="52">
        <f t="shared" si="11"/>
        <v>500</v>
      </c>
      <c r="D111" s="35">
        <f t="shared" si="12"/>
        <v>190</v>
      </c>
      <c r="E111" s="28" t="str">
        <f t="shared" si="13"/>
        <v>6-D19</v>
      </c>
      <c r="F111" s="112">
        <f t="shared" si="14"/>
        <v>1721.9999313354492</v>
      </c>
      <c r="G111" s="112">
        <f t="shared" si="15"/>
        <v>14</v>
      </c>
      <c r="H111" s="112">
        <f t="shared" si="16"/>
        <v>345</v>
      </c>
      <c r="I111" s="111">
        <f t="shared" si="19"/>
        <v>520</v>
      </c>
      <c r="J111" s="112">
        <f t="shared" si="17"/>
        <v>15</v>
      </c>
      <c r="K111" s="123">
        <f>[2]!RcCMaC(C111/10,D111/10,E111,G111*10,H111*10, I111/10, J111,3)</f>
        <v>86.905223289630413</v>
      </c>
      <c r="L111" s="47">
        <f>[2]!RcCMaC(C111/10,D111/10,E111,G111*10,H111*10,I111/10,J111,4)</f>
        <v>57.939743400844101</v>
      </c>
      <c r="M111" s="48">
        <f>[2]!RcCMaC(C111/10,D111/10,E111,G111*10,H111*10, I111/10, J111,0)*10</f>
        <v>85.243856906890869</v>
      </c>
      <c r="N111" s="119">
        <v>151</v>
      </c>
      <c r="O111" s="120" t="str">
        <f t="shared" si="18"/>
        <v>NG</v>
      </c>
    </row>
    <row r="112" spans="3:15" x14ac:dyDescent="0.15">
      <c r="C112" s="52">
        <f t="shared" si="11"/>
        <v>500</v>
      </c>
      <c r="D112" s="35">
        <f t="shared" si="12"/>
        <v>190</v>
      </c>
      <c r="E112" s="28" t="str">
        <f t="shared" si="13"/>
        <v>6-D19</v>
      </c>
      <c r="F112" s="112">
        <f t="shared" si="14"/>
        <v>1721.9999313354492</v>
      </c>
      <c r="G112" s="112">
        <f t="shared" si="15"/>
        <v>14</v>
      </c>
      <c r="H112" s="112">
        <f t="shared" si="16"/>
        <v>345</v>
      </c>
      <c r="I112" s="111">
        <f t="shared" si="19"/>
        <v>540</v>
      </c>
      <c r="J112" s="112">
        <f t="shared" si="17"/>
        <v>15</v>
      </c>
      <c r="K112" s="123">
        <f>[2]!RcCMaC(C112/10,D112/10,E112,G112*10,H112*10, I112/10, J112,3)</f>
        <v>87.85881332028805</v>
      </c>
      <c r="L112" s="47">
        <f>[2]!RcCMaC(C112/10,D112/10,E112,G112*10,H112*10,I112/10,J112,4)</f>
        <v>57.939743400844101</v>
      </c>
      <c r="M112" s="48">
        <f>[2]!RcCMaC(C112/10,D112/10,E112,G112*10,H112*10, I112/10, J112,0)*10</f>
        <v>86.28685474395752</v>
      </c>
      <c r="N112" s="119">
        <v>152</v>
      </c>
      <c r="O112" s="120" t="str">
        <f t="shared" si="18"/>
        <v>NG</v>
      </c>
    </row>
    <row r="113" spans="3:15" x14ac:dyDescent="0.15">
      <c r="C113" s="52">
        <f t="shared" si="11"/>
        <v>500</v>
      </c>
      <c r="D113" s="35">
        <f t="shared" si="12"/>
        <v>190</v>
      </c>
      <c r="E113" s="28" t="str">
        <f t="shared" si="13"/>
        <v>6-D19</v>
      </c>
      <c r="F113" s="112">
        <f t="shared" si="14"/>
        <v>1721.9999313354492</v>
      </c>
      <c r="G113" s="112">
        <f t="shared" si="15"/>
        <v>14</v>
      </c>
      <c r="H113" s="112">
        <f t="shared" si="16"/>
        <v>345</v>
      </c>
      <c r="I113" s="111">
        <f t="shared" si="19"/>
        <v>560</v>
      </c>
      <c r="J113" s="112">
        <f t="shared" si="17"/>
        <v>15</v>
      </c>
      <c r="K113" s="123">
        <f>[2]!RcCMaC(C113/10,D113/10,E113,G113*10,H113*10, I113/10, J113,3)</f>
        <v>88.812403350945701</v>
      </c>
      <c r="L113" s="47">
        <f>[2]!RcCMaC(C113/10,D113/10,E113,G113*10,H113*10,I113/10,J113,4)</f>
        <v>57.939743400844101</v>
      </c>
      <c r="M113" s="48">
        <f>[2]!RcCMaC(C113/10,D113/10,E113,G113*10,H113*10, I113/10, J113,0)*10</f>
        <v>87.297475337982178</v>
      </c>
      <c r="N113" s="119">
        <v>153</v>
      </c>
      <c r="O113" s="120" t="str">
        <f t="shared" si="18"/>
        <v>NG</v>
      </c>
    </row>
    <row r="114" spans="3:15" x14ac:dyDescent="0.15">
      <c r="C114" s="52">
        <f t="shared" si="11"/>
        <v>500</v>
      </c>
      <c r="D114" s="35">
        <f t="shared" si="12"/>
        <v>190</v>
      </c>
      <c r="E114" s="28" t="str">
        <f t="shared" si="13"/>
        <v>6-D19</v>
      </c>
      <c r="F114" s="112">
        <f t="shared" si="14"/>
        <v>1721.9999313354492</v>
      </c>
      <c r="G114" s="112">
        <f t="shared" si="15"/>
        <v>14</v>
      </c>
      <c r="H114" s="112">
        <f t="shared" si="16"/>
        <v>345</v>
      </c>
      <c r="I114" s="111">
        <f t="shared" si="19"/>
        <v>580</v>
      </c>
      <c r="J114" s="112">
        <f t="shared" si="17"/>
        <v>15</v>
      </c>
      <c r="K114" s="123">
        <f>[2]!RcCMaC(C114/10,D114/10,E114,G114*10,H114*10, I114/10, J114,3)</f>
        <v>89.825607272671434</v>
      </c>
      <c r="L114" s="47">
        <f>[2]!RcCMaC(C114/10,D114/10,E114,G114*10,H114*10,I114/10,J114,4)</f>
        <v>57.939743400844101</v>
      </c>
      <c r="M114" s="48">
        <f>[2]!RcCMaC(C114/10,D114/10,E114,G114*10,H114*10, I114/10, J114,0)*10</f>
        <v>88.331705331802368</v>
      </c>
      <c r="N114" s="119">
        <v>154</v>
      </c>
      <c r="O114" s="120" t="str">
        <f t="shared" si="18"/>
        <v>NG</v>
      </c>
    </row>
    <row r="115" spans="3:15" x14ac:dyDescent="0.15">
      <c r="C115" s="52">
        <f t="shared" si="11"/>
        <v>500</v>
      </c>
      <c r="D115" s="35">
        <f t="shared" si="12"/>
        <v>190</v>
      </c>
      <c r="E115" s="28" t="str">
        <f t="shared" si="13"/>
        <v>6-D19</v>
      </c>
      <c r="F115" s="112">
        <f t="shared" si="14"/>
        <v>1721.9999313354492</v>
      </c>
      <c r="G115" s="112">
        <f t="shared" si="15"/>
        <v>14</v>
      </c>
      <c r="H115" s="112">
        <f t="shared" si="16"/>
        <v>345</v>
      </c>
      <c r="I115" s="111">
        <f t="shared" si="19"/>
        <v>600</v>
      </c>
      <c r="J115" s="112">
        <f t="shared" si="17"/>
        <v>15</v>
      </c>
      <c r="K115" s="123">
        <f>[2]!RcCMaC(C115/10,D115/10,E115,G115*10,H115*10, I115/10, J115,3)</f>
        <v>90.838797534018838</v>
      </c>
      <c r="L115" s="47">
        <f>[2]!RcCMaC(C115/10,D115/10,E115,G115*10,H115*10,I115/10,J115,4)</f>
        <v>57.939743400844101</v>
      </c>
      <c r="M115" s="48">
        <f>[2]!RcCMaC(C115/10,D115/10,E115,G115*10,H115*10, I115/10, J115,0)*10</f>
        <v>89.334022998809814</v>
      </c>
      <c r="N115" s="119">
        <v>155</v>
      </c>
      <c r="O115" s="120" t="str">
        <f t="shared" si="18"/>
        <v>NG</v>
      </c>
    </row>
    <row r="116" spans="3:15" x14ac:dyDescent="0.15">
      <c r="C116" s="52">
        <f t="shared" si="11"/>
        <v>500</v>
      </c>
      <c r="D116" s="35">
        <f t="shared" si="12"/>
        <v>190</v>
      </c>
      <c r="E116" s="28" t="str">
        <f t="shared" si="13"/>
        <v>6-D19</v>
      </c>
      <c r="F116" s="112">
        <f t="shared" si="14"/>
        <v>1721.9999313354492</v>
      </c>
      <c r="G116" s="112">
        <f t="shared" si="15"/>
        <v>14</v>
      </c>
      <c r="H116" s="112">
        <f t="shared" si="16"/>
        <v>345</v>
      </c>
      <c r="I116" s="111">
        <f t="shared" si="19"/>
        <v>620</v>
      </c>
      <c r="J116" s="112">
        <f t="shared" si="17"/>
        <v>15</v>
      </c>
      <c r="K116" s="123">
        <f>[2]!RcCMaC(C116/10,D116/10,E116,G116*10,H116*10, I116/10, J116,3)</f>
        <v>91.792387564676488</v>
      </c>
      <c r="L116" s="47">
        <f>[2]!RcCMaC(C116/10,D116/10,E116,G116*10,H116*10,I116/10,J116,4)</f>
        <v>57.939743400844101</v>
      </c>
      <c r="M116" s="48">
        <f>[2]!RcCMaC(C116/10,D116/10,E116,G116*10,H116*10, I116/10, J116,0)*10</f>
        <v>90.23626446723938</v>
      </c>
      <c r="N116" s="119">
        <v>156</v>
      </c>
      <c r="O116" s="120" t="str">
        <f t="shared" si="18"/>
        <v>NG</v>
      </c>
    </row>
    <row r="117" spans="3:15" x14ac:dyDescent="0.15">
      <c r="C117" s="52">
        <f t="shared" ref="C117:C153" si="20">+C116</f>
        <v>500</v>
      </c>
      <c r="D117" s="35">
        <f t="shared" ref="D117:D153" si="21">+D116</f>
        <v>190</v>
      </c>
      <c r="E117" s="28" t="str">
        <f t="shared" ref="E117:E153" si="22">+E116</f>
        <v>6-D19</v>
      </c>
      <c r="F117" s="112">
        <f t="shared" ref="F117:F153" si="23">+F116</f>
        <v>1721.9999313354492</v>
      </c>
      <c r="G117" s="112">
        <f t="shared" ref="G117:G153" si="24">+G116</f>
        <v>14</v>
      </c>
      <c r="H117" s="112">
        <f t="shared" ref="H117:H153" si="25">+H116</f>
        <v>345</v>
      </c>
      <c r="I117" s="111">
        <f t="shared" si="19"/>
        <v>640</v>
      </c>
      <c r="J117" s="112">
        <f t="shared" ref="J117:J153" si="26">+J116</f>
        <v>15</v>
      </c>
      <c r="K117" s="123">
        <f>[2]!RcCMaC(C117/10,D117/10,E117,G117*10,H117*10, I117/10, J117,3)</f>
        <v>92.86519171709196</v>
      </c>
      <c r="L117" s="47">
        <f>[2]!RcCMaC(C117/10,D117/10,E117,G117*10,H117*10,I117/10,J117,4)</f>
        <v>57.939743400844101</v>
      </c>
      <c r="M117" s="48">
        <f>[2]!RcCMaC(C117/10,D117/10,E117,G117*10,H117*10, I117/10, J117,0)*10</f>
        <v>91.23070240020752</v>
      </c>
      <c r="N117" s="119">
        <v>157</v>
      </c>
      <c r="O117" s="120" t="str">
        <f t="shared" ref="O117:O153" si="27">IF(M117&gt;N117,"OK","NG")</f>
        <v>NG</v>
      </c>
    </row>
    <row r="118" spans="3:15" x14ac:dyDescent="0.15">
      <c r="C118" s="52">
        <f t="shared" si="20"/>
        <v>500</v>
      </c>
      <c r="D118" s="35">
        <f t="shared" si="21"/>
        <v>190</v>
      </c>
      <c r="E118" s="28" t="str">
        <f t="shared" si="22"/>
        <v>6-D19</v>
      </c>
      <c r="F118" s="112">
        <f t="shared" si="23"/>
        <v>1721.9999313354492</v>
      </c>
      <c r="G118" s="112">
        <f t="shared" si="24"/>
        <v>14</v>
      </c>
      <c r="H118" s="112">
        <f t="shared" si="25"/>
        <v>345</v>
      </c>
      <c r="I118" s="111">
        <f t="shared" si="19"/>
        <v>660</v>
      </c>
      <c r="J118" s="112">
        <f t="shared" si="26"/>
        <v>15</v>
      </c>
      <c r="K118" s="123">
        <f>[2]!RcCMaC(C118/10,D118/10,E118,G118*10,H118*10, I118/10, J118,3)</f>
        <v>93.878381978439364</v>
      </c>
      <c r="L118" s="47">
        <f>[2]!RcCMaC(C118/10,D118/10,E118,G118*10,H118*10,I118/10,J118,4)</f>
        <v>57.939743400844101</v>
      </c>
      <c r="M118" s="48">
        <f>[2]!RcCMaC(C118/10,D118/10,E118,G118*10,H118*10, I118/10, J118,0)*10</f>
        <v>92.119210958480835</v>
      </c>
      <c r="N118" s="119">
        <v>158</v>
      </c>
      <c r="O118" s="120" t="str">
        <f t="shared" si="27"/>
        <v>NG</v>
      </c>
    </row>
    <row r="119" spans="3:15" x14ac:dyDescent="0.15">
      <c r="C119" s="52">
        <f t="shared" si="20"/>
        <v>500</v>
      </c>
      <c r="D119" s="35">
        <f t="shared" si="21"/>
        <v>190</v>
      </c>
      <c r="E119" s="28" t="str">
        <f t="shared" si="22"/>
        <v>6-D19</v>
      </c>
      <c r="F119" s="112">
        <f t="shared" si="23"/>
        <v>1721.9999313354492</v>
      </c>
      <c r="G119" s="112">
        <f t="shared" si="24"/>
        <v>14</v>
      </c>
      <c r="H119" s="112">
        <f t="shared" si="25"/>
        <v>345</v>
      </c>
      <c r="I119" s="111">
        <f t="shared" si="19"/>
        <v>680</v>
      </c>
      <c r="J119" s="112">
        <f t="shared" si="26"/>
        <v>15</v>
      </c>
      <c r="K119" s="123">
        <f>[2]!RcCMaC(C119/10,D119/10,E119,G119*10,H119*10, I119/10, J119,3)</f>
        <v>94.891585900165097</v>
      </c>
      <c r="L119" s="47">
        <f>[2]!RcCMaC(C119/10,D119/10,E119,G119*10,H119*10,I119/10,J119,4)</f>
        <v>57.939743400844101</v>
      </c>
      <c r="M119" s="48">
        <f>[2]!RcCMaC(C119/10,D119/10,E119,G119*10,H119*10, I119/10, J119,0)*10</f>
        <v>92.964142560958862</v>
      </c>
      <c r="N119" s="119">
        <v>159</v>
      </c>
      <c r="O119" s="120" t="str">
        <f t="shared" si="27"/>
        <v>NG</v>
      </c>
    </row>
    <row r="120" spans="3:15" x14ac:dyDescent="0.15">
      <c r="C120" s="52">
        <f t="shared" si="20"/>
        <v>500</v>
      </c>
      <c r="D120" s="35">
        <f t="shared" si="21"/>
        <v>190</v>
      </c>
      <c r="E120" s="28" t="str">
        <f t="shared" si="22"/>
        <v>6-D19</v>
      </c>
      <c r="F120" s="112">
        <f t="shared" si="23"/>
        <v>1721.9999313354492</v>
      </c>
      <c r="G120" s="112">
        <f t="shared" si="24"/>
        <v>14</v>
      </c>
      <c r="H120" s="112">
        <f t="shared" si="25"/>
        <v>345</v>
      </c>
      <c r="I120" s="111">
        <f t="shared" si="19"/>
        <v>700</v>
      </c>
      <c r="J120" s="112">
        <f t="shared" si="26"/>
        <v>15</v>
      </c>
      <c r="K120" s="123">
        <f>[2]!RcCMaC(C120/10,D120/10,E120,G120*10,H120*10, I120/10, J120,3)</f>
        <v>95.96437639220224</v>
      </c>
      <c r="L120" s="47">
        <f>[2]!RcCMaC(C120/10,D120/10,E120,G120*10,H120*10,I120/10,J120,4)</f>
        <v>57.939743400844101</v>
      </c>
      <c r="M120" s="48">
        <f>[2]!RcCMaC(C120/10,D120/10,E120,G120*10,H120*10, I120/10, J120,0)*10</f>
        <v>93.83884072303772</v>
      </c>
      <c r="N120" s="119">
        <v>160</v>
      </c>
      <c r="O120" s="120" t="str">
        <f t="shared" si="27"/>
        <v>NG</v>
      </c>
    </row>
    <row r="121" spans="3:15" x14ac:dyDescent="0.15">
      <c r="C121" s="52">
        <f t="shared" si="20"/>
        <v>500</v>
      </c>
      <c r="D121" s="35">
        <f t="shared" si="21"/>
        <v>190</v>
      </c>
      <c r="E121" s="28" t="str">
        <f t="shared" si="22"/>
        <v>6-D19</v>
      </c>
      <c r="F121" s="112">
        <f t="shared" si="23"/>
        <v>1721.9999313354492</v>
      </c>
      <c r="G121" s="112">
        <f t="shared" si="24"/>
        <v>14</v>
      </c>
      <c r="H121" s="112">
        <f t="shared" si="25"/>
        <v>345</v>
      </c>
      <c r="I121" s="111">
        <f t="shared" si="19"/>
        <v>720</v>
      </c>
      <c r="J121" s="112">
        <f t="shared" si="26"/>
        <v>15</v>
      </c>
      <c r="K121" s="123">
        <f>[2]!RcCMaC(C121/10,D121/10,E121,G121*10,H121*10, I121/10, J121,3)</f>
        <v>97.037173714428562</v>
      </c>
      <c r="L121" s="47">
        <f>[2]!RcCMaC(C121/10,D121/10,E121,G121*10,H121*10,I121/10,J121,4)</f>
        <v>57.939743400844101</v>
      </c>
      <c r="M121" s="48">
        <f>[2]!RcCMaC(C121/10,D121/10,E121,G121*10,H121*10, I121/10, J121,0)*10</f>
        <v>94.669586420059204</v>
      </c>
      <c r="N121" s="119">
        <v>161</v>
      </c>
      <c r="O121" s="120" t="str">
        <f t="shared" si="27"/>
        <v>NG</v>
      </c>
    </row>
    <row r="122" spans="3:15" x14ac:dyDescent="0.15">
      <c r="C122" s="52">
        <f t="shared" si="20"/>
        <v>500</v>
      </c>
      <c r="D122" s="35">
        <f t="shared" si="21"/>
        <v>190</v>
      </c>
      <c r="E122" s="28" t="str">
        <f t="shared" si="22"/>
        <v>6-D19</v>
      </c>
      <c r="F122" s="112">
        <f t="shared" si="23"/>
        <v>1721.9999313354492</v>
      </c>
      <c r="G122" s="112">
        <f t="shared" si="24"/>
        <v>14</v>
      </c>
      <c r="H122" s="112">
        <f t="shared" si="25"/>
        <v>345</v>
      </c>
      <c r="I122" s="111">
        <f t="shared" si="19"/>
        <v>740</v>
      </c>
      <c r="J122" s="112">
        <f t="shared" si="26"/>
        <v>15</v>
      </c>
      <c r="K122" s="123">
        <f>[2]!RcCMaC(C122/10,D122/10,E122,G122*10,H122*10, I122/10, J122,3)</f>
        <v>98.050370805965116</v>
      </c>
      <c r="L122" s="47">
        <f>[2]!RcCMaC(C122/10,D122/10,E122,G122*10,H122*10,I122/10,J122,4)</f>
        <v>57.939743400844101</v>
      </c>
      <c r="M122" s="48">
        <f>[2]!RcCMaC(C122/10,D122/10,E122,G122*10,H122*10, I122/10, J122,0)*10</f>
        <v>95.372217893600464</v>
      </c>
      <c r="N122" s="119">
        <v>162</v>
      </c>
      <c r="O122" s="120" t="str">
        <f t="shared" si="27"/>
        <v>NG</v>
      </c>
    </row>
    <row r="123" spans="3:15" x14ac:dyDescent="0.15">
      <c r="C123" s="52">
        <f t="shared" si="20"/>
        <v>500</v>
      </c>
      <c r="D123" s="35">
        <f t="shared" si="21"/>
        <v>190</v>
      </c>
      <c r="E123" s="28" t="str">
        <f t="shared" si="22"/>
        <v>6-D19</v>
      </c>
      <c r="F123" s="112">
        <f t="shared" si="23"/>
        <v>1721.9999313354492</v>
      </c>
      <c r="G123" s="112">
        <f t="shared" si="24"/>
        <v>14</v>
      </c>
      <c r="H123" s="112">
        <f t="shared" si="25"/>
        <v>345</v>
      </c>
      <c r="I123" s="111">
        <f t="shared" si="19"/>
        <v>760</v>
      </c>
      <c r="J123" s="112">
        <f t="shared" si="26"/>
        <v>15</v>
      </c>
      <c r="K123" s="123">
        <f>[2]!RcCMaC(C123/10,D123/10,E123,G123*10,H123*10, I123/10, J123,3)</f>
        <v>99.123161298002273</v>
      </c>
      <c r="L123" s="47">
        <f>[2]!RcCMaC(C123/10,D123/10,E123,G123*10,H123*10,I123/10,J123,4)</f>
        <v>57.939743400844101</v>
      </c>
      <c r="M123" s="48">
        <f>[2]!RcCMaC(C123/10,D123/10,E123,G123*10,H123*10, I123/10, J123,0)*10</f>
        <v>96.103870868682861</v>
      </c>
      <c r="N123" s="119">
        <v>163</v>
      </c>
      <c r="O123" s="120" t="str">
        <f t="shared" si="27"/>
        <v>NG</v>
      </c>
    </row>
    <row r="124" spans="3:15" x14ac:dyDescent="0.15">
      <c r="C124" s="52">
        <f t="shared" si="20"/>
        <v>500</v>
      </c>
      <c r="D124" s="35">
        <f t="shared" si="21"/>
        <v>190</v>
      </c>
      <c r="E124" s="28" t="str">
        <f t="shared" si="22"/>
        <v>6-D19</v>
      </c>
      <c r="F124" s="112">
        <f t="shared" si="23"/>
        <v>1721.9999313354492</v>
      </c>
      <c r="G124" s="112">
        <f t="shared" si="24"/>
        <v>14</v>
      </c>
      <c r="H124" s="112">
        <f t="shared" si="25"/>
        <v>345</v>
      </c>
      <c r="I124" s="111">
        <f t="shared" si="19"/>
        <v>780</v>
      </c>
      <c r="J124" s="112">
        <f t="shared" si="26"/>
        <v>15</v>
      </c>
      <c r="K124" s="123">
        <f>[2]!RcCMaC(C124/10,D124/10,E124,G124*10,H124*10, I124/10, J124,3)</f>
        <v>100.19595179003942</v>
      </c>
      <c r="L124" s="47">
        <f>[2]!RcCMaC(C124/10,D124/10,E124,G124*10,H124*10,I124/10,J124,4)</f>
        <v>57.939743400844101</v>
      </c>
      <c r="M124" s="48">
        <f>[2]!RcCMaC(C124/10,D124/10,E124,G124*10,H124*10, I124/10, J124,0)*10</f>
        <v>96.783041954040527</v>
      </c>
      <c r="N124" s="119">
        <v>164</v>
      </c>
      <c r="O124" s="120" t="str">
        <f t="shared" si="27"/>
        <v>NG</v>
      </c>
    </row>
    <row r="125" spans="3:15" x14ac:dyDescent="0.15">
      <c r="C125" s="52">
        <f t="shared" si="20"/>
        <v>500</v>
      </c>
      <c r="D125" s="35">
        <f t="shared" si="21"/>
        <v>190</v>
      </c>
      <c r="E125" s="28" t="str">
        <f t="shared" si="22"/>
        <v>6-D19</v>
      </c>
      <c r="F125" s="112">
        <f t="shared" si="23"/>
        <v>1721.9999313354492</v>
      </c>
      <c r="G125" s="112">
        <f t="shared" si="24"/>
        <v>14</v>
      </c>
      <c r="H125" s="112">
        <f t="shared" si="25"/>
        <v>345</v>
      </c>
      <c r="I125" s="111">
        <f t="shared" si="19"/>
        <v>800</v>
      </c>
      <c r="J125" s="112">
        <f t="shared" si="26"/>
        <v>15</v>
      </c>
      <c r="K125" s="123">
        <f>[2]!RcCMaC(C125/10,D125/10,E125,G125*10,H125*10, I125/10, J125,3)</f>
        <v>101.32834934295548</v>
      </c>
      <c r="L125" s="47">
        <f>[2]!RcCMaC(C125/10,D125/10,E125,G125*10,H125*10,I125/10,J125,4)</f>
        <v>57.939743400844101</v>
      </c>
      <c r="M125" s="48">
        <f>[2]!RcCMaC(C125/10,D125/10,E125,G125*10,H125*10, I125/10, J125,0)*10</f>
        <v>97.494584321975708</v>
      </c>
      <c r="N125" s="119">
        <v>165</v>
      </c>
      <c r="O125" s="120" t="str">
        <f t="shared" si="27"/>
        <v>NG</v>
      </c>
    </row>
    <row r="126" spans="3:15" x14ac:dyDescent="0.15">
      <c r="C126" s="52">
        <f t="shared" si="20"/>
        <v>500</v>
      </c>
      <c r="D126" s="35">
        <f t="shared" si="21"/>
        <v>190</v>
      </c>
      <c r="E126" s="28" t="str">
        <f t="shared" si="22"/>
        <v>6-D19</v>
      </c>
      <c r="F126" s="112">
        <f t="shared" si="23"/>
        <v>1721.9999313354492</v>
      </c>
      <c r="G126" s="112">
        <f t="shared" si="24"/>
        <v>14</v>
      </c>
      <c r="H126" s="112">
        <f t="shared" si="25"/>
        <v>345</v>
      </c>
      <c r="I126" s="111">
        <f t="shared" si="19"/>
        <v>820</v>
      </c>
      <c r="J126" s="112">
        <f t="shared" si="26"/>
        <v>15</v>
      </c>
      <c r="K126" s="123">
        <f>[2]!RcCMaC(C126/10,D126/10,E126,G126*10,H126*10, I126/10, J126,3)</f>
        <v>102.40114666518178</v>
      </c>
      <c r="L126" s="47">
        <f>[2]!RcCMaC(C126/10,D126/10,E126,G126*10,H126*10,I126/10,J126,4)</f>
        <v>57.939743400844101</v>
      </c>
      <c r="M126" s="48">
        <f>[2]!RcCMaC(C126/10,D126/10,E126,G126*10,H126*10, I126/10, J126,0)*10</f>
        <v>98.062503337860107</v>
      </c>
      <c r="N126" s="119">
        <v>166</v>
      </c>
      <c r="O126" s="120" t="str">
        <f t="shared" si="27"/>
        <v>NG</v>
      </c>
    </row>
    <row r="127" spans="3:15" x14ac:dyDescent="0.15">
      <c r="C127" s="52">
        <f t="shared" si="20"/>
        <v>500</v>
      </c>
      <c r="D127" s="35">
        <f t="shared" si="21"/>
        <v>190</v>
      </c>
      <c r="E127" s="28" t="str">
        <f t="shared" si="22"/>
        <v>6-D19</v>
      </c>
      <c r="F127" s="112">
        <f t="shared" si="23"/>
        <v>1721.9999313354492</v>
      </c>
      <c r="G127" s="112">
        <f t="shared" si="24"/>
        <v>14</v>
      </c>
      <c r="H127" s="112">
        <f t="shared" si="25"/>
        <v>345</v>
      </c>
      <c r="I127" s="111">
        <f t="shared" si="19"/>
        <v>840</v>
      </c>
      <c r="J127" s="112">
        <f t="shared" si="26"/>
        <v>15</v>
      </c>
      <c r="K127" s="123">
        <f>[2]!RcCMaC(C127/10,D127/10,E127,G127*10,H127*10, I127/10, J127,3)</f>
        <v>103.47393715721894</v>
      </c>
      <c r="L127" s="47">
        <f>[2]!RcCMaC(C127/10,D127/10,E127,G127*10,H127*10,I127/10,J127,4)</f>
        <v>57.939743400844101</v>
      </c>
      <c r="M127" s="48">
        <f>[2]!RcCMaC(C127/10,D127/10,E127,G127*10,H127*10, I127/10, J127,0)*10</f>
        <v>98.569804430007935</v>
      </c>
      <c r="N127" s="119">
        <v>167</v>
      </c>
      <c r="O127" s="120" t="str">
        <f t="shared" si="27"/>
        <v>NG</v>
      </c>
    </row>
    <row r="128" spans="3:15" x14ac:dyDescent="0.15">
      <c r="C128" s="52">
        <f t="shared" si="20"/>
        <v>500</v>
      </c>
      <c r="D128" s="35">
        <f t="shared" si="21"/>
        <v>190</v>
      </c>
      <c r="E128" s="28" t="str">
        <f t="shared" si="22"/>
        <v>6-D19</v>
      </c>
      <c r="F128" s="112">
        <f t="shared" si="23"/>
        <v>1721.9999313354492</v>
      </c>
      <c r="G128" s="112">
        <f t="shared" si="24"/>
        <v>14</v>
      </c>
      <c r="H128" s="112">
        <f t="shared" si="25"/>
        <v>345</v>
      </c>
      <c r="I128" s="111">
        <f t="shared" si="19"/>
        <v>860</v>
      </c>
      <c r="J128" s="112">
        <f t="shared" si="26"/>
        <v>15</v>
      </c>
      <c r="K128" s="123">
        <f>[2]!RcCMaC(C128/10,D128/10,E128,G128*10,H128*10, I128/10, J128,3)</f>
        <v>104.66593494082476</v>
      </c>
      <c r="L128" s="47">
        <f>[2]!RcCMaC(C128/10,D128/10,E128,G128*10,H128*10,I128/10,J128,4)</f>
        <v>57.939743400844101</v>
      </c>
      <c r="M128" s="48">
        <f>[2]!RcCMaC(C128/10,D128/10,E128,G128*10,H128*10, I128/10, J128,0)*10</f>
        <v>99.20000433921814</v>
      </c>
      <c r="N128" s="119">
        <v>168</v>
      </c>
      <c r="O128" s="120" t="str">
        <f t="shared" si="27"/>
        <v>NG</v>
      </c>
    </row>
    <row r="129" spans="3:15" x14ac:dyDescent="0.15">
      <c r="C129" s="52">
        <f t="shared" si="20"/>
        <v>500</v>
      </c>
      <c r="D129" s="35">
        <f t="shared" si="21"/>
        <v>190</v>
      </c>
      <c r="E129" s="28" t="str">
        <f t="shared" si="22"/>
        <v>6-D19</v>
      </c>
      <c r="F129" s="112">
        <f t="shared" si="23"/>
        <v>1721.9999313354492</v>
      </c>
      <c r="G129" s="112">
        <f t="shared" si="24"/>
        <v>14</v>
      </c>
      <c r="H129" s="112">
        <f t="shared" si="25"/>
        <v>345</v>
      </c>
      <c r="I129" s="111">
        <f t="shared" si="19"/>
        <v>880</v>
      </c>
      <c r="J129" s="112">
        <f t="shared" si="26"/>
        <v>15</v>
      </c>
      <c r="K129" s="123">
        <f>[2]!RcCMaC(C129/10,D129/10,E129,G129*10,H129*10, I129/10, J129,3)</f>
        <v>105.73873226305106</v>
      </c>
      <c r="L129" s="47">
        <f>[2]!RcCMaC(C129/10,D129/10,E129,G129*10,H129*10,I129/10,J129,4)</f>
        <v>57.939743400844101</v>
      </c>
      <c r="M129" s="48">
        <f>[2]!RcCMaC(C129/10,D129/10,E129,G129*10,H129*10, I129/10, J129,0)*10</f>
        <v>99.581235647201538</v>
      </c>
      <c r="N129" s="119">
        <v>169</v>
      </c>
      <c r="O129" s="120" t="str">
        <f t="shared" si="27"/>
        <v>NG</v>
      </c>
    </row>
    <row r="130" spans="3:15" x14ac:dyDescent="0.15">
      <c r="C130" s="52">
        <f t="shared" si="20"/>
        <v>500</v>
      </c>
      <c r="D130" s="35">
        <f t="shared" si="21"/>
        <v>190</v>
      </c>
      <c r="E130" s="28" t="str">
        <f t="shared" si="22"/>
        <v>6-D19</v>
      </c>
      <c r="F130" s="112">
        <f t="shared" si="23"/>
        <v>1721.9999313354492</v>
      </c>
      <c r="G130" s="112">
        <f t="shared" si="24"/>
        <v>14</v>
      </c>
      <c r="H130" s="112">
        <f t="shared" si="25"/>
        <v>345</v>
      </c>
      <c r="I130" s="111">
        <f t="shared" si="19"/>
        <v>900</v>
      </c>
      <c r="J130" s="112">
        <f t="shared" si="26"/>
        <v>15</v>
      </c>
      <c r="K130" s="123">
        <f>[2]!RcCMaC(C130/10,D130/10,E130,G130*10,H130*10, I130/10, J130,3)</f>
        <v>106.93072321646771</v>
      </c>
      <c r="L130" s="47">
        <f>[2]!RcCMaC(C130/10,D130/10,E130,G130*10,H130*10,I130/10,J130,4)</f>
        <v>57.939743400844101</v>
      </c>
      <c r="M130" s="48">
        <f>[2]!RcCMaC(C130/10,D130/10,E130,G130*10,H130*10, I130/10, J130,0)*10</f>
        <v>100.08643865585327</v>
      </c>
      <c r="N130" s="119">
        <v>170</v>
      </c>
      <c r="O130" s="120" t="str">
        <f t="shared" si="27"/>
        <v>NG</v>
      </c>
    </row>
    <row r="131" spans="3:15" x14ac:dyDescent="0.15">
      <c r="C131" s="52">
        <f t="shared" si="20"/>
        <v>500</v>
      </c>
      <c r="D131" s="35">
        <f t="shared" si="21"/>
        <v>190</v>
      </c>
      <c r="E131" s="28" t="str">
        <f t="shared" si="22"/>
        <v>6-D19</v>
      </c>
      <c r="F131" s="112">
        <f t="shared" si="23"/>
        <v>1721.9999313354492</v>
      </c>
      <c r="G131" s="112">
        <f t="shared" si="24"/>
        <v>14</v>
      </c>
      <c r="H131" s="112">
        <f t="shared" si="25"/>
        <v>345</v>
      </c>
      <c r="I131" s="111">
        <f t="shared" si="19"/>
        <v>920</v>
      </c>
      <c r="J131" s="112">
        <f t="shared" si="26"/>
        <v>15</v>
      </c>
      <c r="K131" s="123">
        <f>[2]!RcCMaC(C131/10,D131/10,E131,G131*10,H131*10, I131/10, J131,3)</f>
        <v>108.12272783026269</v>
      </c>
      <c r="L131" s="47">
        <f>[2]!RcCMaC(C131/10,D131/10,E131,G131*10,H131*10,I131/10,J131,4)</f>
        <v>57.939743400844101</v>
      </c>
      <c r="M131" s="48">
        <f>[2]!RcCMaC(C131/10,D131/10,E131,G131*10,H131*10, I131/10, J131,0)*10</f>
        <v>100.52624940872192</v>
      </c>
      <c r="N131" s="119">
        <v>171</v>
      </c>
      <c r="O131" s="120" t="str">
        <f t="shared" si="27"/>
        <v>NG</v>
      </c>
    </row>
    <row r="132" spans="3:15" x14ac:dyDescent="0.15">
      <c r="C132" s="52">
        <f t="shared" si="20"/>
        <v>500</v>
      </c>
      <c r="D132" s="35">
        <f t="shared" si="21"/>
        <v>190</v>
      </c>
      <c r="E132" s="28" t="str">
        <f t="shared" si="22"/>
        <v>6-D19</v>
      </c>
      <c r="F132" s="112">
        <f t="shared" si="23"/>
        <v>1721.9999313354492</v>
      </c>
      <c r="G132" s="112">
        <f t="shared" si="24"/>
        <v>14</v>
      </c>
      <c r="H132" s="112">
        <f t="shared" si="25"/>
        <v>345</v>
      </c>
      <c r="I132" s="111">
        <f t="shared" si="19"/>
        <v>940</v>
      </c>
      <c r="J132" s="112">
        <f t="shared" si="26"/>
        <v>15</v>
      </c>
      <c r="K132" s="123">
        <f>[2]!RcCMaC(C132/10,D132/10,E132,G132*10,H132*10, I132/10, J132,3)</f>
        <v>109.19551832229983</v>
      </c>
      <c r="L132" s="47">
        <f>[2]!RcCMaC(C132/10,D132/10,E132,G132*10,H132*10,I132/10,J132,4)</f>
        <v>57.939743400844101</v>
      </c>
      <c r="M132" s="48">
        <f>[2]!RcCMaC(C132/10,D132/10,E132,G132*10,H132*10, I132/10, J132,0)*10</f>
        <v>100.69898366928101</v>
      </c>
      <c r="N132" s="119">
        <v>172</v>
      </c>
      <c r="O132" s="120" t="str">
        <f t="shared" si="27"/>
        <v>NG</v>
      </c>
    </row>
    <row r="133" spans="3:15" x14ac:dyDescent="0.15">
      <c r="C133" s="52">
        <f t="shared" si="20"/>
        <v>500</v>
      </c>
      <c r="D133" s="35">
        <f t="shared" si="21"/>
        <v>190</v>
      </c>
      <c r="E133" s="28" t="str">
        <f t="shared" si="22"/>
        <v>6-D19</v>
      </c>
      <c r="F133" s="112">
        <f t="shared" si="23"/>
        <v>1721.9999313354492</v>
      </c>
      <c r="G133" s="112">
        <f t="shared" si="24"/>
        <v>14</v>
      </c>
      <c r="H133" s="112">
        <f t="shared" si="25"/>
        <v>345</v>
      </c>
      <c r="I133" s="111">
        <f t="shared" si="19"/>
        <v>960</v>
      </c>
      <c r="J133" s="112">
        <f t="shared" si="26"/>
        <v>15</v>
      </c>
      <c r="K133" s="123">
        <f>[2]!RcCMaC(C133/10,D133/10,E133,G133*10,H133*10, I133/10, J133,3)</f>
        <v>110.38750927571648</v>
      </c>
      <c r="L133" s="47">
        <f>[2]!RcCMaC(C133/10,D133/10,E133,G133*10,H133*10,I133/10,J133,4)</f>
        <v>57.939743400844101</v>
      </c>
      <c r="M133" s="48">
        <f>[2]!RcCMaC(C133/10,D133/10,E133,G133*10,H133*10, I133/10, J133,0)*10</f>
        <v>100.99563598632813</v>
      </c>
      <c r="N133" s="119">
        <v>173</v>
      </c>
      <c r="O133" s="120" t="str">
        <f t="shared" si="27"/>
        <v>NG</v>
      </c>
    </row>
    <row r="134" spans="3:15" x14ac:dyDescent="0.15">
      <c r="C134" s="52">
        <f t="shared" si="20"/>
        <v>500</v>
      </c>
      <c r="D134" s="35">
        <f t="shared" si="21"/>
        <v>190</v>
      </c>
      <c r="E134" s="28" t="str">
        <f t="shared" si="22"/>
        <v>6-D19</v>
      </c>
      <c r="F134" s="112">
        <f t="shared" si="23"/>
        <v>1721.9999313354492</v>
      </c>
      <c r="G134" s="112">
        <f t="shared" si="24"/>
        <v>14</v>
      </c>
      <c r="H134" s="112">
        <f t="shared" si="25"/>
        <v>345</v>
      </c>
      <c r="I134" s="111">
        <f t="shared" si="19"/>
        <v>980</v>
      </c>
      <c r="J134" s="112">
        <f t="shared" si="26"/>
        <v>15</v>
      </c>
      <c r="K134" s="123">
        <f>[2]!RcCMaC(C134/10,D134/10,E134,G134*10,H134*10, I134/10, J134,3)</f>
        <v>111.69870069051262</v>
      </c>
      <c r="L134" s="47">
        <f>[2]!RcCMaC(C134/10,D134/10,E134,G134*10,H134*10,I134/10,J134,4)</f>
        <v>57.939743400844101</v>
      </c>
      <c r="M134" s="48">
        <f>[2]!RcCMaC(C134/10,D134/10,E134,G134*10,H134*10, I134/10, J134,0)*10</f>
        <v>101.4203667640686</v>
      </c>
      <c r="N134" s="119">
        <v>174</v>
      </c>
      <c r="O134" s="120" t="str">
        <f t="shared" si="27"/>
        <v>NG</v>
      </c>
    </row>
    <row r="135" spans="3:15" x14ac:dyDescent="0.15">
      <c r="C135" s="52">
        <f t="shared" si="20"/>
        <v>500</v>
      </c>
      <c r="D135" s="35">
        <f t="shared" si="21"/>
        <v>190</v>
      </c>
      <c r="E135" s="28" t="str">
        <f t="shared" si="22"/>
        <v>6-D19</v>
      </c>
      <c r="F135" s="112">
        <f t="shared" si="23"/>
        <v>1721.9999313354492</v>
      </c>
      <c r="G135" s="112">
        <f t="shared" si="24"/>
        <v>14</v>
      </c>
      <c r="H135" s="112">
        <f t="shared" si="25"/>
        <v>345</v>
      </c>
      <c r="I135" s="111">
        <f t="shared" ref="I135:I198" si="28">+I134+20</f>
        <v>1000</v>
      </c>
      <c r="J135" s="112">
        <f t="shared" si="26"/>
        <v>15</v>
      </c>
      <c r="K135" s="123">
        <f>[2]!RcCMaC(C135/10,D135/10,E135,G135*10,H135*10, I135/10, J135,3)</f>
        <v>112.89069164392926</v>
      </c>
      <c r="L135" s="47">
        <f>[2]!RcCMaC(C135/10,D135/10,E135,G135*10,H135*10,I135/10,J135,4)</f>
        <v>57.939743400844101</v>
      </c>
      <c r="M135" s="48">
        <f>[2]!RcCMaC(C135/10,D135/10,E135,G135*10,H135*10, I135/10, J135,0)*10</f>
        <v>101.56611204147339</v>
      </c>
      <c r="N135" s="119">
        <v>175</v>
      </c>
      <c r="O135" s="120" t="str">
        <f t="shared" si="27"/>
        <v>NG</v>
      </c>
    </row>
    <row r="136" spans="3:15" x14ac:dyDescent="0.15">
      <c r="C136" s="52">
        <f t="shared" si="20"/>
        <v>500</v>
      </c>
      <c r="D136" s="35">
        <f t="shared" si="21"/>
        <v>190</v>
      </c>
      <c r="E136" s="28" t="str">
        <f t="shared" si="22"/>
        <v>6-D19</v>
      </c>
      <c r="F136" s="112">
        <f t="shared" si="23"/>
        <v>1721.9999313354492</v>
      </c>
      <c r="G136" s="112">
        <f t="shared" si="24"/>
        <v>14</v>
      </c>
      <c r="H136" s="112">
        <f t="shared" si="25"/>
        <v>345</v>
      </c>
      <c r="I136" s="111">
        <f t="shared" si="28"/>
        <v>1020</v>
      </c>
      <c r="J136" s="112">
        <f t="shared" si="26"/>
        <v>15</v>
      </c>
      <c r="K136" s="123">
        <f>[2]!RcCMaC(C136/10,D136/10,E136,G136*10,H136*10, I136/10, J136,3)</f>
        <v>114.08269625772424</v>
      </c>
      <c r="L136" s="47">
        <f>[2]!RcCMaC(C136/10,D136/10,E136,G136*10,H136*10,I136/10,J136,4)</f>
        <v>57.939743400844101</v>
      </c>
      <c r="M136" s="48">
        <f>[2]!RcCMaC(C136/10,D136/10,E136,G136*10,H136*10, I136/10, J136,0)*10</f>
        <v>101.63065195083618</v>
      </c>
      <c r="N136" s="119">
        <v>176</v>
      </c>
      <c r="O136" s="120" t="str">
        <f t="shared" si="27"/>
        <v>NG</v>
      </c>
    </row>
    <row r="137" spans="3:15" x14ac:dyDescent="0.15">
      <c r="C137" s="52">
        <f t="shared" si="20"/>
        <v>500</v>
      </c>
      <c r="D137" s="35">
        <f t="shared" si="21"/>
        <v>190</v>
      </c>
      <c r="E137" s="28" t="str">
        <f t="shared" si="22"/>
        <v>6-D19</v>
      </c>
      <c r="F137" s="112">
        <f t="shared" si="23"/>
        <v>1721.9999313354492</v>
      </c>
      <c r="G137" s="112">
        <f t="shared" si="24"/>
        <v>14</v>
      </c>
      <c r="H137" s="112">
        <f t="shared" si="25"/>
        <v>345</v>
      </c>
      <c r="I137" s="111">
        <f t="shared" si="28"/>
        <v>1040</v>
      </c>
      <c r="J137" s="112">
        <f t="shared" si="26"/>
        <v>15</v>
      </c>
      <c r="K137" s="123">
        <f>[2]!RcCMaC(C137/10,D137/10,E137,G137*10,H137*10, I137/10, J137,3)</f>
        <v>115.39388767252038</v>
      </c>
      <c r="L137" s="47">
        <f>[2]!RcCMaC(C137/10,D137/10,E137,G137*10,H137*10,I137/10,J137,4)</f>
        <v>57.939743400844101</v>
      </c>
      <c r="M137" s="48">
        <f>[2]!RcCMaC(C137/10,D137/10,E137,G137*10,H137*10, I137/10, J137,0)*10</f>
        <v>101.81870460510254</v>
      </c>
      <c r="N137" s="119">
        <v>177</v>
      </c>
      <c r="O137" s="120" t="str">
        <f t="shared" si="27"/>
        <v>NG</v>
      </c>
    </row>
    <row r="138" spans="3:15" x14ac:dyDescent="0.15">
      <c r="C138" s="52">
        <f t="shared" si="20"/>
        <v>500</v>
      </c>
      <c r="D138" s="35">
        <f t="shared" si="21"/>
        <v>190</v>
      </c>
      <c r="E138" s="28" t="str">
        <f t="shared" si="22"/>
        <v>6-D19</v>
      </c>
      <c r="F138" s="112">
        <f t="shared" si="23"/>
        <v>1721.9999313354492</v>
      </c>
      <c r="G138" s="112">
        <f t="shared" si="24"/>
        <v>14</v>
      </c>
      <c r="H138" s="112">
        <f t="shared" si="25"/>
        <v>345</v>
      </c>
      <c r="I138" s="111">
        <f t="shared" si="28"/>
        <v>1060</v>
      </c>
      <c r="J138" s="112">
        <f t="shared" si="26"/>
        <v>15</v>
      </c>
      <c r="K138" s="123">
        <f>[2]!RcCMaC(C138/10,D138/10,E138,G138*10,H138*10, I138/10, J138,3)</f>
        <v>116.70509274769486</v>
      </c>
      <c r="L138" s="47">
        <f>[2]!RcCMaC(C138/10,D138/10,E138,G138*10,H138*10,I138/10,J138,4)</f>
        <v>57.939743400844101</v>
      </c>
      <c r="M138" s="48">
        <f>[2]!RcCMaC(C138/10,D138/10,E138,G138*10,H138*10, I138/10, J138,0)*10</f>
        <v>101.92168951034546</v>
      </c>
      <c r="N138" s="119">
        <v>178</v>
      </c>
      <c r="O138" s="120" t="str">
        <f t="shared" si="27"/>
        <v>NG</v>
      </c>
    </row>
    <row r="139" spans="3:15" x14ac:dyDescent="0.15">
      <c r="C139" s="52">
        <f t="shared" si="20"/>
        <v>500</v>
      </c>
      <c r="D139" s="35">
        <f t="shared" si="21"/>
        <v>190</v>
      </c>
      <c r="E139" s="28" t="str">
        <f t="shared" si="22"/>
        <v>6-D19</v>
      </c>
      <c r="F139" s="112">
        <f t="shared" si="23"/>
        <v>1721.9999313354492</v>
      </c>
      <c r="G139" s="112">
        <f t="shared" si="24"/>
        <v>14</v>
      </c>
      <c r="H139" s="112">
        <f t="shared" si="25"/>
        <v>345</v>
      </c>
      <c r="I139" s="111">
        <f t="shared" si="28"/>
        <v>1080</v>
      </c>
      <c r="J139" s="112">
        <f t="shared" si="26"/>
        <v>15</v>
      </c>
      <c r="K139" s="123">
        <f>[2]!RcCMaC(C139/10,D139/10,E139,G139*10,H139*10, I139/10, J139,3)</f>
        <v>118.01627050211268</v>
      </c>
      <c r="L139" s="47">
        <f>[2]!RcCMaC(C139/10,D139/10,E139,G139*10,H139*10,I139/10,J139,4)</f>
        <v>57.939743400844101</v>
      </c>
      <c r="M139" s="48">
        <f>[2]!RcCMaC(C139/10,D139/10,E139,G139*10,H139*10, I139/10, J139,0)*10</f>
        <v>101.9355297088623</v>
      </c>
      <c r="N139" s="119">
        <v>179</v>
      </c>
      <c r="O139" s="120" t="str">
        <f t="shared" si="27"/>
        <v>NG</v>
      </c>
    </row>
    <row r="140" spans="3:15" x14ac:dyDescent="0.15">
      <c r="C140" s="52">
        <f t="shared" si="20"/>
        <v>500</v>
      </c>
      <c r="D140" s="35">
        <f t="shared" si="21"/>
        <v>190</v>
      </c>
      <c r="E140" s="28" t="str">
        <f t="shared" si="22"/>
        <v>6-D19</v>
      </c>
      <c r="F140" s="112">
        <f t="shared" si="23"/>
        <v>1721.9999313354492</v>
      </c>
      <c r="G140" s="112">
        <f t="shared" si="24"/>
        <v>14</v>
      </c>
      <c r="H140" s="112">
        <f t="shared" si="25"/>
        <v>345</v>
      </c>
      <c r="I140" s="111">
        <f t="shared" si="28"/>
        <v>1100</v>
      </c>
      <c r="J140" s="112">
        <f t="shared" si="26"/>
        <v>15</v>
      </c>
      <c r="K140" s="123">
        <f>[2]!RcCMaC(C140/10,D140/10,E140,G140*10,H140*10, I140/10, J140,3)</f>
        <v>119.32747557728715</v>
      </c>
      <c r="L140" s="47">
        <f>[2]!RcCMaC(C140/10,D140/10,E140,G140*10,H140*10,I140/10,J140,4)</f>
        <v>57.939743400844101</v>
      </c>
      <c r="M140" s="48">
        <f>[2]!RcCMaC(C140/10,D140/10,E140,G140*10,H140*10, I140/10, J140,0)*10</f>
        <v>101.85638666152954</v>
      </c>
      <c r="N140" s="119">
        <v>180</v>
      </c>
      <c r="O140" s="120" t="str">
        <f t="shared" si="27"/>
        <v>NG</v>
      </c>
    </row>
    <row r="141" spans="3:15" x14ac:dyDescent="0.15">
      <c r="C141" s="52">
        <f t="shared" si="20"/>
        <v>500</v>
      </c>
      <c r="D141" s="35">
        <f t="shared" si="21"/>
        <v>190</v>
      </c>
      <c r="E141" s="28" t="str">
        <f t="shared" si="22"/>
        <v>6-D19</v>
      </c>
      <c r="F141" s="112">
        <f t="shared" si="23"/>
        <v>1721.9999313354492</v>
      </c>
      <c r="G141" s="112">
        <f t="shared" si="24"/>
        <v>14</v>
      </c>
      <c r="H141" s="112">
        <f t="shared" si="25"/>
        <v>345</v>
      </c>
      <c r="I141" s="111">
        <f t="shared" si="28"/>
        <v>1120</v>
      </c>
      <c r="J141" s="112">
        <f t="shared" si="26"/>
        <v>15</v>
      </c>
      <c r="K141" s="123">
        <f>[2]!RcCMaC(C141/10,D141/10,E141,G141*10,H141*10, I141/10, J141,3)</f>
        <v>120.63868065246163</v>
      </c>
      <c r="L141" s="47">
        <f>[2]!RcCMaC(C141/10,D141/10,E141,G141*10,H141*10,I141/10,J141,4)</f>
        <v>57.939743400844101</v>
      </c>
      <c r="M141" s="48">
        <f>[2]!RcCMaC(C141/10,D141/10,E141,G141*10,H141*10, I141/10, J141,0)*10</f>
        <v>101.68043375015259</v>
      </c>
      <c r="N141" s="119">
        <v>181</v>
      </c>
      <c r="O141" s="120" t="str">
        <f t="shared" si="27"/>
        <v>NG</v>
      </c>
    </row>
    <row r="142" spans="3:15" x14ac:dyDescent="0.15">
      <c r="C142" s="52">
        <f t="shared" si="20"/>
        <v>500</v>
      </c>
      <c r="D142" s="35">
        <f t="shared" si="21"/>
        <v>190</v>
      </c>
      <c r="E142" s="28" t="str">
        <f t="shared" si="22"/>
        <v>6-D19</v>
      </c>
      <c r="F142" s="112">
        <f t="shared" si="23"/>
        <v>1721.9999313354492</v>
      </c>
      <c r="G142" s="112">
        <f t="shared" si="24"/>
        <v>14</v>
      </c>
      <c r="H142" s="112">
        <f t="shared" si="25"/>
        <v>345</v>
      </c>
      <c r="I142" s="111">
        <f t="shared" si="28"/>
        <v>1140</v>
      </c>
      <c r="J142" s="112">
        <f t="shared" si="26"/>
        <v>15</v>
      </c>
      <c r="K142" s="123">
        <f>[2]!RcCMaC(C142/10,D142/10,E142,G142*10,H142*10, I142/10, J142,3)</f>
        <v>122.06905886825894</v>
      </c>
      <c r="L142" s="47">
        <f>[2]!RcCMaC(C142/10,D142/10,E142,G142*10,H142*10,I142/10,J142,4)</f>
        <v>57.939743400844101</v>
      </c>
      <c r="M142" s="48">
        <f>[2]!RcCMaC(C142/10,D142/10,E142,G142*10,H142*10, I142/10, J142,0)*10</f>
        <v>101.61502361297607</v>
      </c>
      <c r="N142" s="119">
        <v>182</v>
      </c>
      <c r="O142" s="120" t="str">
        <f t="shared" si="27"/>
        <v>NG</v>
      </c>
    </row>
    <row r="143" spans="3:15" x14ac:dyDescent="0.15">
      <c r="C143" s="52">
        <f t="shared" si="20"/>
        <v>500</v>
      </c>
      <c r="D143" s="35">
        <f t="shared" si="21"/>
        <v>190</v>
      </c>
      <c r="E143" s="28" t="str">
        <f t="shared" si="22"/>
        <v>6-D19</v>
      </c>
      <c r="F143" s="112">
        <f t="shared" si="23"/>
        <v>1721.9999313354492</v>
      </c>
      <c r="G143" s="112">
        <f t="shared" si="24"/>
        <v>14</v>
      </c>
      <c r="H143" s="112">
        <f t="shared" si="25"/>
        <v>345</v>
      </c>
      <c r="I143" s="111">
        <f t="shared" si="28"/>
        <v>1160</v>
      </c>
      <c r="J143" s="112">
        <f t="shared" si="26"/>
        <v>15</v>
      </c>
      <c r="K143" s="123">
        <f>[2]!RcCMaC(C143/10,D143/10,E143,G143*10,H143*10, I143/10, J143,3)</f>
        <v>123.49946440481291</v>
      </c>
      <c r="L143" s="47">
        <f>[2]!RcCMaC(C143/10,D143/10,E143,G143*10,H143*10,I143/10,J143,4)</f>
        <v>57.939743400844101</v>
      </c>
      <c r="M143" s="48">
        <f>[2]!RcCMaC(C143/10,D143/10,E143,G143*10,H143*10, I143/10, J143,0)*10</f>
        <v>101.4445424079895</v>
      </c>
      <c r="N143" s="119">
        <v>183</v>
      </c>
      <c r="O143" s="120" t="str">
        <f t="shared" si="27"/>
        <v>NG</v>
      </c>
    </row>
    <row r="144" spans="3:15" x14ac:dyDescent="0.15">
      <c r="C144" s="52">
        <f t="shared" si="20"/>
        <v>500</v>
      </c>
      <c r="D144" s="35">
        <f t="shared" si="21"/>
        <v>190</v>
      </c>
      <c r="E144" s="28" t="str">
        <f t="shared" si="22"/>
        <v>6-D19</v>
      </c>
      <c r="F144" s="112">
        <f t="shared" si="23"/>
        <v>1721.9999313354492</v>
      </c>
      <c r="G144" s="112">
        <f t="shared" si="24"/>
        <v>14</v>
      </c>
      <c r="H144" s="112">
        <f t="shared" si="25"/>
        <v>345</v>
      </c>
      <c r="I144" s="111">
        <f t="shared" si="28"/>
        <v>1180</v>
      </c>
      <c r="J144" s="112">
        <f t="shared" si="26"/>
        <v>15</v>
      </c>
      <c r="K144" s="123">
        <f>[2]!RcCMaC(C144/10,D144/10,E144,G144*10,H144*10, I144/10, J144,3)</f>
        <v>124.92984262061022</v>
      </c>
      <c r="L144" s="47">
        <f>[2]!RcCMaC(C144/10,D144/10,E144,G144*10,H144*10,I144/10,J144,4)</f>
        <v>57.939743400844101</v>
      </c>
      <c r="M144" s="48">
        <f>[2]!RcCMaC(C144/10,D144/10,E144,G144*10,H144*10, I144/10, J144,0)*10</f>
        <v>101.16406679153442</v>
      </c>
      <c r="N144" s="119">
        <v>184</v>
      </c>
      <c r="O144" s="120" t="str">
        <f t="shared" si="27"/>
        <v>NG</v>
      </c>
    </row>
    <row r="145" spans="3:15" x14ac:dyDescent="0.15">
      <c r="C145" s="52">
        <f t="shared" si="20"/>
        <v>500</v>
      </c>
      <c r="D145" s="35">
        <f t="shared" si="21"/>
        <v>190</v>
      </c>
      <c r="E145" s="28" t="str">
        <f t="shared" si="22"/>
        <v>6-D19</v>
      </c>
      <c r="F145" s="112">
        <f t="shared" si="23"/>
        <v>1721.9999313354492</v>
      </c>
      <c r="G145" s="112">
        <f t="shared" si="24"/>
        <v>14</v>
      </c>
      <c r="H145" s="112">
        <f t="shared" si="25"/>
        <v>345</v>
      </c>
      <c r="I145" s="111">
        <f t="shared" si="28"/>
        <v>1200</v>
      </c>
      <c r="J145" s="112">
        <f t="shared" si="26"/>
        <v>15</v>
      </c>
      <c r="K145" s="123">
        <f>[2]!RcCMaC(C145/10,D145/10,E145,G145*10,H145*10, I145/10, J145,3)</f>
        <v>126.36024815716419</v>
      </c>
      <c r="L145" s="47">
        <f>[2]!RcCMaC(C145/10,D145/10,E145,G145*10,H145*10,I145/10,J145,4)</f>
        <v>57.939743400844101</v>
      </c>
      <c r="M145" s="48">
        <f>[2]!RcCMaC(C145/10,D145/10,E145,G145*10,H145*10, I145/10, J145,0)*10</f>
        <v>100.76901912689209</v>
      </c>
      <c r="N145" s="119">
        <v>185</v>
      </c>
      <c r="O145" s="120" t="str">
        <f t="shared" si="27"/>
        <v>NG</v>
      </c>
    </row>
    <row r="146" spans="3:15" x14ac:dyDescent="0.15">
      <c r="C146" s="52">
        <f t="shared" si="20"/>
        <v>500</v>
      </c>
      <c r="D146" s="35">
        <f t="shared" si="21"/>
        <v>190</v>
      </c>
      <c r="E146" s="28" t="str">
        <f t="shared" si="22"/>
        <v>6-D19</v>
      </c>
      <c r="F146" s="112">
        <f t="shared" si="23"/>
        <v>1721.9999313354492</v>
      </c>
      <c r="G146" s="112">
        <f t="shared" si="24"/>
        <v>14</v>
      </c>
      <c r="H146" s="112">
        <f t="shared" si="25"/>
        <v>345</v>
      </c>
      <c r="I146" s="111">
        <f t="shared" si="28"/>
        <v>1220</v>
      </c>
      <c r="J146" s="112">
        <f t="shared" si="26"/>
        <v>15</v>
      </c>
      <c r="K146" s="123">
        <f>[2]!RcCMaC(C146/10,D146/10,E146,G146*10,H146*10, I146/10, J146,3)</f>
        <v>127.90985415509766</v>
      </c>
      <c r="L146" s="47">
        <f>[2]!RcCMaC(C146/10,D146/10,E146,G146*10,H146*10,I146/10,J146,4)</f>
        <v>57.939743400844101</v>
      </c>
      <c r="M146" s="48">
        <f>[2]!RcCMaC(C146/10,D146/10,E146,G146*10,H146*10, I146/10, J146,0)*10</f>
        <v>100.46255588531494</v>
      </c>
      <c r="N146" s="119">
        <v>186</v>
      </c>
      <c r="O146" s="120" t="str">
        <f t="shared" si="27"/>
        <v>NG</v>
      </c>
    </row>
    <row r="147" spans="3:15" x14ac:dyDescent="0.15">
      <c r="C147" s="52">
        <f t="shared" si="20"/>
        <v>500</v>
      </c>
      <c r="D147" s="35">
        <f t="shared" si="21"/>
        <v>190</v>
      </c>
      <c r="E147" s="28" t="str">
        <f t="shared" si="22"/>
        <v>6-D19</v>
      </c>
      <c r="F147" s="112">
        <f t="shared" si="23"/>
        <v>1721.9999313354492</v>
      </c>
      <c r="G147" s="112">
        <f t="shared" si="24"/>
        <v>14</v>
      </c>
      <c r="H147" s="112">
        <f t="shared" si="25"/>
        <v>345</v>
      </c>
      <c r="I147" s="111">
        <f t="shared" si="28"/>
        <v>1240</v>
      </c>
      <c r="J147" s="112">
        <f t="shared" si="26"/>
        <v>15</v>
      </c>
      <c r="K147" s="123">
        <f>[2]!RcCMaC(C147/10,D147/10,E147,G147*10,H147*10, I147/10, J147,3)</f>
        <v>129.45943283227447</v>
      </c>
      <c r="L147" s="47">
        <f>[2]!RcCMaC(C147/10,D147/10,E147,G147*10,H147*10,I147/10,J147,4)</f>
        <v>57.939743400844101</v>
      </c>
      <c r="M147" s="48">
        <f>[2]!RcCMaC(C147/10,D147/10,E147,G147*10,H147*10, I147/10, J147,0)*10</f>
        <v>100.02856254577637</v>
      </c>
      <c r="N147" s="119">
        <v>187</v>
      </c>
      <c r="O147" s="120" t="str">
        <f t="shared" si="27"/>
        <v>NG</v>
      </c>
    </row>
    <row r="148" spans="3:15" x14ac:dyDescent="0.15">
      <c r="C148" s="52">
        <f t="shared" si="20"/>
        <v>500</v>
      </c>
      <c r="D148" s="35">
        <f t="shared" si="21"/>
        <v>190</v>
      </c>
      <c r="E148" s="28" t="str">
        <f t="shared" si="22"/>
        <v>6-D19</v>
      </c>
      <c r="F148" s="112">
        <f t="shared" si="23"/>
        <v>1721.9999313354492</v>
      </c>
      <c r="G148" s="112">
        <f t="shared" si="24"/>
        <v>14</v>
      </c>
      <c r="H148" s="112">
        <f t="shared" si="25"/>
        <v>345</v>
      </c>
      <c r="I148" s="111">
        <f t="shared" si="28"/>
        <v>1260</v>
      </c>
      <c r="J148" s="112">
        <f t="shared" si="26"/>
        <v>15</v>
      </c>
      <c r="K148" s="123">
        <f>[2]!RcCMaC(C148/10,D148/10,E148,G148*10,H148*10, I148/10, J148,3)</f>
        <v>131.12823929158745</v>
      </c>
      <c r="L148" s="47">
        <f>[2]!RcCMaC(C148/10,D148/10,E148,G148*10,H148*10,I148/10,J148,4)</f>
        <v>57.939743400844101</v>
      </c>
      <c r="M148" s="48">
        <f>[2]!RcCMaC(C148/10,D148/10,E148,G148*10,H148*10, I148/10, J148,0)*10</f>
        <v>99.665164947509766</v>
      </c>
      <c r="N148" s="119">
        <v>188</v>
      </c>
      <c r="O148" s="120" t="str">
        <f t="shared" si="27"/>
        <v>NG</v>
      </c>
    </row>
    <row r="149" spans="3:15" x14ac:dyDescent="0.15">
      <c r="C149" s="52">
        <f t="shared" si="20"/>
        <v>500</v>
      </c>
      <c r="D149" s="35">
        <f t="shared" si="21"/>
        <v>190</v>
      </c>
      <c r="E149" s="28" t="str">
        <f t="shared" si="22"/>
        <v>6-D19</v>
      </c>
      <c r="F149" s="112">
        <f t="shared" si="23"/>
        <v>1721.9999313354492</v>
      </c>
      <c r="G149" s="112">
        <f t="shared" si="24"/>
        <v>14</v>
      </c>
      <c r="H149" s="112">
        <f t="shared" si="25"/>
        <v>345</v>
      </c>
      <c r="I149" s="111">
        <f t="shared" si="28"/>
        <v>1280</v>
      </c>
      <c r="J149" s="112">
        <f t="shared" si="26"/>
        <v>15</v>
      </c>
      <c r="K149" s="123">
        <f>[2]!RcCMaC(C149/10,D149/10,E149,G149*10,H149*10, I149/10, J149,3)</f>
        <v>132.79701843014374</v>
      </c>
      <c r="L149" s="47">
        <f>[2]!RcCMaC(C149/10,D149/10,E149,G149*10,H149*10,I149/10,J149,4)</f>
        <v>57.939743400844101</v>
      </c>
      <c r="M149" s="48">
        <f>[2]!RcCMaC(C149/10,D149/10,E149,G149*10,H149*10, I149/10, J149,0)*10</f>
        <v>99.157488346099854</v>
      </c>
      <c r="N149" s="119">
        <v>189</v>
      </c>
      <c r="O149" s="120" t="str">
        <f t="shared" si="27"/>
        <v>NG</v>
      </c>
    </row>
    <row r="150" spans="3:15" x14ac:dyDescent="0.15">
      <c r="C150" s="52">
        <f t="shared" si="20"/>
        <v>500</v>
      </c>
      <c r="D150" s="35">
        <f t="shared" si="21"/>
        <v>190</v>
      </c>
      <c r="E150" s="28" t="str">
        <f t="shared" si="22"/>
        <v>6-D19</v>
      </c>
      <c r="F150" s="112">
        <f t="shared" si="23"/>
        <v>1721.9999313354492</v>
      </c>
      <c r="G150" s="112">
        <f t="shared" si="24"/>
        <v>14</v>
      </c>
      <c r="H150" s="112">
        <f t="shared" si="25"/>
        <v>345</v>
      </c>
      <c r="I150" s="111">
        <f t="shared" si="28"/>
        <v>1300</v>
      </c>
      <c r="J150" s="112">
        <f t="shared" si="26"/>
        <v>15</v>
      </c>
      <c r="K150" s="123">
        <f>[2]!RcCMaC(C150/10,D150/10,E150,G150*10,H150*10, I150/10, J150,3)</f>
        <v>134.46579756870003</v>
      </c>
      <c r="L150" s="47">
        <f>[2]!RcCMaC(C150/10,D150/10,E150,G150*10,H150*10,I150/10,J150,4)</f>
        <v>57.939743400844101</v>
      </c>
      <c r="M150" s="48">
        <f>[2]!RcCMaC(C150/10,D150/10,E150,G150*10,H150*10, I150/10, J150,0)*10</f>
        <v>98.498773574829102</v>
      </c>
      <c r="N150" s="119">
        <v>190</v>
      </c>
      <c r="O150" s="120" t="str">
        <f t="shared" si="27"/>
        <v>NG</v>
      </c>
    </row>
    <row r="151" spans="3:15" x14ac:dyDescent="0.15">
      <c r="C151" s="52">
        <f t="shared" si="20"/>
        <v>500</v>
      </c>
      <c r="D151" s="35">
        <f t="shared" si="21"/>
        <v>190</v>
      </c>
      <c r="E151" s="28" t="str">
        <f t="shared" si="22"/>
        <v>6-D19</v>
      </c>
      <c r="F151" s="112">
        <f t="shared" si="23"/>
        <v>1721.9999313354492</v>
      </c>
      <c r="G151" s="112">
        <f t="shared" si="24"/>
        <v>14</v>
      </c>
      <c r="H151" s="112">
        <f t="shared" si="25"/>
        <v>345</v>
      </c>
      <c r="I151" s="111">
        <f t="shared" si="28"/>
        <v>1320</v>
      </c>
      <c r="J151" s="112">
        <f t="shared" si="26"/>
        <v>15</v>
      </c>
      <c r="K151" s="123">
        <f>[2]!RcCMaC(C151/10,D151/10,E151,G151*10,H151*10, I151/10, J151,3)</f>
        <v>136.37300495077201</v>
      </c>
      <c r="L151" s="47">
        <f>[2]!RcCMaC(C151/10,D151/10,E151,G151*10,H151*10,I151/10,J151,4)</f>
        <v>57.939743400844101</v>
      </c>
      <c r="M151" s="48">
        <f>[2]!RcCMaC(C151/10,D151/10,E151,G151*10,H151*10, I151/10, J151,0)*10</f>
        <v>98.070120811462402</v>
      </c>
      <c r="N151" s="119">
        <v>191</v>
      </c>
      <c r="O151" s="120" t="str">
        <f t="shared" si="27"/>
        <v>NG</v>
      </c>
    </row>
    <row r="152" spans="3:15" x14ac:dyDescent="0.15">
      <c r="C152" s="52">
        <f t="shared" si="20"/>
        <v>500</v>
      </c>
      <c r="D152" s="35">
        <f t="shared" si="21"/>
        <v>190</v>
      </c>
      <c r="E152" s="28" t="str">
        <f t="shared" si="22"/>
        <v>6-D19</v>
      </c>
      <c r="F152" s="112">
        <f t="shared" si="23"/>
        <v>1721.9999313354492</v>
      </c>
      <c r="G152" s="112">
        <f t="shared" si="24"/>
        <v>14</v>
      </c>
      <c r="H152" s="112">
        <f t="shared" si="25"/>
        <v>345</v>
      </c>
      <c r="I152" s="111">
        <f t="shared" si="28"/>
        <v>1340</v>
      </c>
      <c r="J152" s="112">
        <f t="shared" si="26"/>
        <v>15</v>
      </c>
      <c r="K152" s="123">
        <f>[2]!RcCMaC(C152/10,D152/10,E152,G152*10,H152*10, I152/10, J152,3)</f>
        <v>138.16098455070781</v>
      </c>
      <c r="L152" s="47">
        <f>[2]!RcCMaC(C152/10,D152/10,E152,G152*10,H152*10,I152/10,J152,4)</f>
        <v>57.939743400844101</v>
      </c>
      <c r="M152" s="48">
        <f>[2]!RcCMaC(C152/10,D152/10,E152,G152*10,H152*10, I152/10, J152,0)*10</f>
        <v>97.270578145980835</v>
      </c>
      <c r="N152" s="119">
        <v>192</v>
      </c>
      <c r="O152" s="120" t="str">
        <f t="shared" si="27"/>
        <v>NG</v>
      </c>
    </row>
    <row r="153" spans="3:15" x14ac:dyDescent="0.15">
      <c r="C153" s="52">
        <f t="shared" si="20"/>
        <v>500</v>
      </c>
      <c r="D153" s="35">
        <f t="shared" si="21"/>
        <v>190</v>
      </c>
      <c r="E153" s="28" t="str">
        <f t="shared" si="22"/>
        <v>6-D19</v>
      </c>
      <c r="F153" s="112">
        <f t="shared" si="23"/>
        <v>1721.9999313354492</v>
      </c>
      <c r="G153" s="112">
        <f t="shared" si="24"/>
        <v>14</v>
      </c>
      <c r="H153" s="112">
        <f t="shared" si="25"/>
        <v>345</v>
      </c>
      <c r="I153" s="111">
        <f t="shared" si="28"/>
        <v>1360</v>
      </c>
      <c r="J153" s="112">
        <f t="shared" si="26"/>
        <v>15</v>
      </c>
      <c r="K153" s="123">
        <f>[2]!RcCMaC(C153/10,D153/10,E153,G153*10,H153*10, I153/10, J153,3)</f>
        <v>140.18736507340259</v>
      </c>
      <c r="L153" s="47">
        <f>[2]!RcCMaC(C153/10,D153/10,E153,G153*10,H153*10,I153/10,J153,4)</f>
        <v>57.939743400844101</v>
      </c>
      <c r="M153" s="48">
        <f>[2]!RcCMaC(C153/10,D153/10,E153,G153*10,H153*10, I153/10, J153,0)*10</f>
        <v>96.65837287902832</v>
      </c>
      <c r="N153" s="119">
        <v>193</v>
      </c>
      <c r="O153" s="120" t="str">
        <f t="shared" si="27"/>
        <v>NG</v>
      </c>
    </row>
    <row r="154" spans="3:15" x14ac:dyDescent="0.15">
      <c r="C154" s="52">
        <f t="shared" ref="C154:C217" si="29">+C153</f>
        <v>500</v>
      </c>
      <c r="D154" s="35">
        <f t="shared" ref="D154:D217" si="30">+D153</f>
        <v>190</v>
      </c>
      <c r="E154" s="28" t="str">
        <f t="shared" ref="E154:E217" si="31">+E153</f>
        <v>6-D19</v>
      </c>
      <c r="F154" s="112">
        <f t="shared" ref="F154:F217" si="32">+F153</f>
        <v>1721.9999313354492</v>
      </c>
      <c r="G154" s="112">
        <f t="shared" ref="G154:G217" si="33">+G153</f>
        <v>14</v>
      </c>
      <c r="H154" s="112">
        <f t="shared" ref="H154:H217" si="34">+H153</f>
        <v>345</v>
      </c>
      <c r="I154" s="111">
        <f t="shared" si="28"/>
        <v>1380</v>
      </c>
      <c r="J154" s="112">
        <f t="shared" ref="J154:J217" si="35">+J153</f>
        <v>15</v>
      </c>
      <c r="K154" s="123">
        <f>[2]!RcCMaC(C154/10,D154/10,E154,G154*10,H154*10, I154/10, J154,3)</f>
        <v>142.09457245547458</v>
      </c>
      <c r="L154" s="47">
        <f>[2]!RcCMaC(C154/10,D154/10,E154,G154*10,H154*10,I154/10,J154,4)</f>
        <v>57.939743400844101</v>
      </c>
      <c r="M154" s="48">
        <f>[2]!RcCMaC(C154/10,D154/10,E154,G154*10,H154*10, I154/10, J154,0)*10</f>
        <v>95.657700300216675</v>
      </c>
      <c r="N154" s="119">
        <v>194</v>
      </c>
      <c r="O154" s="120" t="str">
        <f t="shared" ref="O154:O217" si="36">IF(M154&gt;N154,"OK","NG")</f>
        <v>NG</v>
      </c>
    </row>
    <row r="155" spans="3:15" x14ac:dyDescent="0.15">
      <c r="C155" s="52">
        <f t="shared" si="29"/>
        <v>500</v>
      </c>
      <c r="D155" s="35">
        <f t="shared" si="30"/>
        <v>190</v>
      </c>
      <c r="E155" s="28" t="str">
        <f t="shared" si="31"/>
        <v>6-D19</v>
      </c>
      <c r="F155" s="112">
        <f t="shared" si="32"/>
        <v>1721.9999313354492</v>
      </c>
      <c r="G155" s="112">
        <f t="shared" si="33"/>
        <v>14</v>
      </c>
      <c r="H155" s="112">
        <f t="shared" si="34"/>
        <v>345</v>
      </c>
      <c r="I155" s="111">
        <f t="shared" si="28"/>
        <v>1400</v>
      </c>
      <c r="J155" s="112">
        <f t="shared" si="35"/>
        <v>15</v>
      </c>
      <c r="K155" s="123">
        <f>[2]!RcCMaC(C155/10,D155/10,E155,G155*10,H155*10, I155/10, J155,3)</f>
        <v>144.35935390092834</v>
      </c>
      <c r="L155" s="47">
        <f>[2]!RcCMaC(C155/10,D155/10,E155,G155*10,H155*10,I155/10,J155,4)</f>
        <v>57.939743400844101</v>
      </c>
      <c r="M155" s="48">
        <f>[2]!RcCMaC(C155/10,D155/10,E155,G155*10,H155*10, I155/10, J155,0)*10</f>
        <v>94.962221384048462</v>
      </c>
      <c r="N155" s="119">
        <v>195</v>
      </c>
      <c r="O155" s="120" t="str">
        <f t="shared" si="36"/>
        <v>NG</v>
      </c>
    </row>
    <row r="156" spans="3:15" x14ac:dyDescent="0.15">
      <c r="C156" s="52">
        <f t="shared" si="29"/>
        <v>500</v>
      </c>
      <c r="D156" s="35">
        <f t="shared" si="30"/>
        <v>190</v>
      </c>
      <c r="E156" s="28" t="str">
        <f t="shared" si="31"/>
        <v>6-D19</v>
      </c>
      <c r="F156" s="112">
        <f t="shared" si="32"/>
        <v>1721.9999313354492</v>
      </c>
      <c r="G156" s="112">
        <f t="shared" si="33"/>
        <v>14</v>
      </c>
      <c r="H156" s="112">
        <f t="shared" si="34"/>
        <v>345</v>
      </c>
      <c r="I156" s="111">
        <f t="shared" si="28"/>
        <v>1420</v>
      </c>
      <c r="J156" s="112">
        <f t="shared" si="35"/>
        <v>15</v>
      </c>
      <c r="K156" s="123">
        <f>[2]!RcCMaC(C156/10,D156/10,E156,G156*10,H156*10, I156/10, J156,3)</f>
        <v>146.62416266713882</v>
      </c>
      <c r="L156" s="47">
        <f>[2]!RcCMaC(C156/10,D156/10,E156,G156*10,H156*10,I156/10,J156,4)</f>
        <v>57.939743400844101</v>
      </c>
      <c r="M156" s="48">
        <f>[2]!RcCMaC(C156/10,D156/10,E156,G156*10,H156*10, I156/10, J156,0)*10</f>
        <v>94.006955623626709</v>
      </c>
      <c r="N156" s="119">
        <v>196</v>
      </c>
      <c r="O156" s="120" t="str">
        <f t="shared" si="36"/>
        <v>NG</v>
      </c>
    </row>
    <row r="157" spans="3:15" x14ac:dyDescent="0.15">
      <c r="C157" s="52">
        <f t="shared" si="29"/>
        <v>500</v>
      </c>
      <c r="D157" s="35">
        <f t="shared" si="30"/>
        <v>190</v>
      </c>
      <c r="E157" s="28" t="str">
        <f t="shared" si="31"/>
        <v>6-D19</v>
      </c>
      <c r="F157" s="112">
        <f t="shared" si="32"/>
        <v>1721.9999313354492</v>
      </c>
      <c r="G157" s="112">
        <f t="shared" si="33"/>
        <v>14</v>
      </c>
      <c r="H157" s="112">
        <f t="shared" si="34"/>
        <v>345</v>
      </c>
      <c r="I157" s="111">
        <f t="shared" si="28"/>
        <v>1440</v>
      </c>
      <c r="J157" s="112">
        <f t="shared" si="35"/>
        <v>15</v>
      </c>
      <c r="K157" s="123">
        <f>[2]!RcCMaC(C157/10,D157/10,E157,G157*10,H157*10, I157/10, J157,3)</f>
        <v>149.2465454967311</v>
      </c>
      <c r="L157" s="47">
        <f>[2]!RcCMaC(C157/10,D157/10,E157,G157*10,H157*10,I157/10,J157,4)</f>
        <v>57.939743400844101</v>
      </c>
      <c r="M157" s="48">
        <f>[2]!RcCMaC(C157/10,D157/10,E157,G157*10,H157*10, I157/10, J157,0)*10</f>
        <v>93.239235877990723</v>
      </c>
      <c r="N157" s="119">
        <v>197</v>
      </c>
      <c r="O157" s="120" t="str">
        <f t="shared" si="36"/>
        <v>NG</v>
      </c>
    </row>
    <row r="158" spans="3:15" x14ac:dyDescent="0.15">
      <c r="C158" s="52">
        <f t="shared" si="29"/>
        <v>500</v>
      </c>
      <c r="D158" s="35">
        <f t="shared" si="30"/>
        <v>190</v>
      </c>
      <c r="E158" s="28" t="str">
        <f t="shared" si="31"/>
        <v>6-D19</v>
      </c>
      <c r="F158" s="112">
        <f t="shared" si="32"/>
        <v>1721.9999313354492</v>
      </c>
      <c r="G158" s="112">
        <f t="shared" si="33"/>
        <v>14</v>
      </c>
      <c r="H158" s="112">
        <f t="shared" si="34"/>
        <v>345</v>
      </c>
      <c r="I158" s="111">
        <f t="shared" si="28"/>
        <v>1460</v>
      </c>
      <c r="J158" s="112">
        <f t="shared" si="35"/>
        <v>15</v>
      </c>
      <c r="K158" s="123">
        <f>[2]!RcCMaC(C158/10,D158/10,E158,G158*10,H158*10, I158/10, J158,3)</f>
        <v>151.86892832632338</v>
      </c>
      <c r="L158" s="47">
        <f>[2]!RcCMaC(C158/10,D158/10,E158,G158*10,H158*10,I158/10,J158,4)</f>
        <v>57.939743400844101</v>
      </c>
      <c r="M158" s="48">
        <f>[2]!RcCMaC(C158/10,D158/10,E158,G158*10,H158*10, I158/10, J158,0)*10</f>
        <v>92.128211259841919</v>
      </c>
      <c r="N158" s="119">
        <v>198</v>
      </c>
      <c r="O158" s="120" t="str">
        <f t="shared" si="36"/>
        <v>NG</v>
      </c>
    </row>
    <row r="159" spans="3:15" x14ac:dyDescent="0.15">
      <c r="C159" s="52">
        <f t="shared" si="29"/>
        <v>500</v>
      </c>
      <c r="D159" s="35">
        <f t="shared" si="30"/>
        <v>190</v>
      </c>
      <c r="E159" s="28" t="str">
        <f t="shared" si="31"/>
        <v>6-D19</v>
      </c>
      <c r="F159" s="112">
        <f t="shared" si="32"/>
        <v>1721.9999313354492</v>
      </c>
      <c r="G159" s="112">
        <f t="shared" si="33"/>
        <v>14</v>
      </c>
      <c r="H159" s="112">
        <f t="shared" si="34"/>
        <v>345</v>
      </c>
      <c r="I159" s="111">
        <f t="shared" si="28"/>
        <v>1480</v>
      </c>
      <c r="J159" s="112">
        <f t="shared" si="35"/>
        <v>15</v>
      </c>
      <c r="K159" s="123">
        <f>[2]!RcCMaC(C159/10,D159/10,E159,G159*10,H159*10, I159/10, J159,3)</f>
        <v>155.20651392419265</v>
      </c>
      <c r="L159" s="47">
        <f>[2]!RcCMaC(C159/10,D159/10,E159,G159*10,H159*10,I159/10,J159,4)</f>
        <v>57.939743400844101</v>
      </c>
      <c r="M159" s="48">
        <f>[2]!RcCMaC(C159/10,D159/10,E159,G159*10,H159*10, I159/10, J159,0)*10</f>
        <v>91.432631015777588</v>
      </c>
      <c r="N159" s="119">
        <v>199</v>
      </c>
      <c r="O159" s="120" t="str">
        <f t="shared" si="36"/>
        <v>NG</v>
      </c>
    </row>
    <row r="160" spans="3:15" x14ac:dyDescent="0.15">
      <c r="C160" s="52">
        <f t="shared" si="29"/>
        <v>500</v>
      </c>
      <c r="D160" s="35">
        <f t="shared" si="30"/>
        <v>190</v>
      </c>
      <c r="E160" s="28" t="str">
        <f t="shared" si="31"/>
        <v>6-D19</v>
      </c>
      <c r="F160" s="112">
        <f t="shared" si="32"/>
        <v>1721.9999313354492</v>
      </c>
      <c r="G160" s="112">
        <f t="shared" si="33"/>
        <v>14</v>
      </c>
      <c r="H160" s="112">
        <f t="shared" si="34"/>
        <v>345</v>
      </c>
      <c r="I160" s="111">
        <f t="shared" si="28"/>
        <v>1500</v>
      </c>
      <c r="J160" s="112">
        <f t="shared" si="35"/>
        <v>15</v>
      </c>
      <c r="K160" s="123">
        <f>[2]!RcCMaC(C160/10,D160/10,E160,G160*10,H160*10, I160/10, J160,3)</f>
        <v>158.54409952206194</v>
      </c>
      <c r="L160" s="47">
        <f>[2]!RcCMaC(C160/10,D160/10,E160,G160*10,H160*10,I160/10,J160,4)</f>
        <v>57.939743400844101</v>
      </c>
      <c r="M160" s="48">
        <f>[2]!RcCMaC(C160/10,D160/10,E160,G160*10,H160*10, I160/10, J160,0)*10</f>
        <v>90.19855260848999</v>
      </c>
      <c r="N160" s="119">
        <v>200</v>
      </c>
      <c r="O160" s="120" t="str">
        <f t="shared" si="36"/>
        <v>NG</v>
      </c>
    </row>
    <row r="161" spans="3:15" x14ac:dyDescent="0.15">
      <c r="C161" s="52">
        <f t="shared" si="29"/>
        <v>500</v>
      </c>
      <c r="D161" s="35">
        <f t="shared" si="30"/>
        <v>190</v>
      </c>
      <c r="E161" s="28" t="str">
        <f t="shared" si="31"/>
        <v>6-D19</v>
      </c>
      <c r="F161" s="112">
        <f t="shared" si="32"/>
        <v>1721.9999313354492</v>
      </c>
      <c r="G161" s="112">
        <f t="shared" si="33"/>
        <v>14</v>
      </c>
      <c r="H161" s="112">
        <f t="shared" si="34"/>
        <v>345</v>
      </c>
      <c r="I161" s="111">
        <f t="shared" si="28"/>
        <v>1520</v>
      </c>
      <c r="J161" s="112">
        <f t="shared" si="35"/>
        <v>15</v>
      </c>
      <c r="K161" s="123">
        <f>[2]!RcCMaC(C161/10,D161/10,E161,G161*10,H161*10, I161/10, J161,3)</f>
        <v>162.83527515058884</v>
      </c>
      <c r="L161" s="47">
        <f>[2]!RcCMaC(C161/10,D161/10,E161,G161*10,H161*10,I161/10,J161,4)</f>
        <v>57.939743400844101</v>
      </c>
      <c r="M161" s="48">
        <f>[2]!RcCMaC(C161/10,D161/10,E161,G161*10,H161*10, I161/10, J161,0)*10</f>
        <v>89.150130748748779</v>
      </c>
      <c r="N161" s="119">
        <v>201</v>
      </c>
      <c r="O161" s="120" t="str">
        <f t="shared" si="36"/>
        <v>NG</v>
      </c>
    </row>
    <row r="162" spans="3:15" x14ac:dyDescent="0.15">
      <c r="C162" s="52">
        <f t="shared" si="29"/>
        <v>500</v>
      </c>
      <c r="D162" s="35">
        <f t="shared" si="30"/>
        <v>190</v>
      </c>
      <c r="E162" s="28" t="str">
        <f t="shared" si="31"/>
        <v>6-D19</v>
      </c>
      <c r="F162" s="112">
        <f t="shared" si="32"/>
        <v>1721.9999313354492</v>
      </c>
      <c r="G162" s="112">
        <f t="shared" si="33"/>
        <v>14</v>
      </c>
      <c r="H162" s="112">
        <f t="shared" si="34"/>
        <v>345</v>
      </c>
      <c r="I162" s="111">
        <f t="shared" si="28"/>
        <v>1540</v>
      </c>
      <c r="J162" s="112">
        <f t="shared" si="35"/>
        <v>15</v>
      </c>
      <c r="K162" s="123">
        <f>[2]!RcCMaC(C162/10,D162/10,E162,G162*10,H162*10, I162/10, J162,3)</f>
        <v>168.55685631566976</v>
      </c>
      <c r="L162" s="47">
        <f>[2]!RcCMaC(C162/10,D162/10,E162,G162*10,H162*10,I162/10,J162,4)</f>
        <v>57.939743400844101</v>
      </c>
      <c r="M162" s="48">
        <f>[2]!RcCMaC(C162/10,D162/10,E162,G162*10,H162*10, I162/10, J162,0)*10</f>
        <v>87.992900609970093</v>
      </c>
      <c r="N162" s="119">
        <v>202</v>
      </c>
      <c r="O162" s="120" t="str">
        <f t="shared" si="36"/>
        <v>NG</v>
      </c>
    </row>
    <row r="163" spans="3:15" x14ac:dyDescent="0.15">
      <c r="C163" s="52">
        <f t="shared" si="29"/>
        <v>500</v>
      </c>
      <c r="D163" s="35">
        <f t="shared" si="30"/>
        <v>190</v>
      </c>
      <c r="E163" s="28" t="str">
        <f t="shared" si="31"/>
        <v>6-D19</v>
      </c>
      <c r="F163" s="112">
        <f t="shared" si="32"/>
        <v>1721.9999313354492</v>
      </c>
      <c r="G163" s="112">
        <f t="shared" si="33"/>
        <v>14</v>
      </c>
      <c r="H163" s="112">
        <f t="shared" si="34"/>
        <v>345</v>
      </c>
      <c r="I163" s="111">
        <f t="shared" si="28"/>
        <v>1560</v>
      </c>
      <c r="J163" s="112">
        <f t="shared" si="35"/>
        <v>15</v>
      </c>
      <c r="K163" s="123">
        <f>[2]!RcCMaC(C163/10,D163/10,E163,G163*10,H163*10, I163/10, J163,3)</f>
        <v>180.00000498545322</v>
      </c>
      <c r="L163" s="47">
        <f>[2]!RcCMaC(C163/10,D163/10,E163,G163*10,H163*10,I163/10,J163,4)</f>
        <v>57.939743400844101</v>
      </c>
      <c r="M163" s="48">
        <f>[2]!RcCMaC(C163/10,D163/10,E163,G163*10,H163*10, I163/10, J163,0)*10</f>
        <v>86.938798427581787</v>
      </c>
      <c r="N163" s="119">
        <v>203</v>
      </c>
      <c r="O163" s="120" t="str">
        <f t="shared" si="36"/>
        <v>NG</v>
      </c>
    </row>
    <row r="164" spans="3:15" x14ac:dyDescent="0.15">
      <c r="C164" s="52">
        <f t="shared" si="29"/>
        <v>500</v>
      </c>
      <c r="D164" s="35">
        <f t="shared" si="30"/>
        <v>190</v>
      </c>
      <c r="E164" s="28" t="str">
        <f t="shared" si="31"/>
        <v>6-D19</v>
      </c>
      <c r="F164" s="112">
        <f t="shared" si="32"/>
        <v>1721.9999313354492</v>
      </c>
      <c r="G164" s="112">
        <f t="shared" si="33"/>
        <v>14</v>
      </c>
      <c r="H164" s="112">
        <f t="shared" si="34"/>
        <v>345</v>
      </c>
      <c r="I164" s="111">
        <f t="shared" si="28"/>
        <v>1580</v>
      </c>
      <c r="J164" s="112">
        <f t="shared" si="35"/>
        <v>15</v>
      </c>
      <c r="K164" s="123">
        <f>[2]!RcCMaC(C164/10,D164/10,E164,G164*10,H164*10, I164/10, J164,3)</f>
        <v>180.00000498545322</v>
      </c>
      <c r="L164" s="47">
        <f>[2]!RcCMaC(C164/10,D164/10,E164,G164*10,H164*10,I164/10,J164,4)</f>
        <v>57.939743400844101</v>
      </c>
      <c r="M164" s="48">
        <f>[2]!RcCMaC(C164/10,D164/10,E164,G164*10,H164*10, I164/10, J164,0)*10</f>
        <v>85.817360877990723</v>
      </c>
      <c r="N164" s="119">
        <v>204</v>
      </c>
      <c r="O164" s="120" t="str">
        <f t="shared" si="36"/>
        <v>NG</v>
      </c>
    </row>
    <row r="165" spans="3:15" x14ac:dyDescent="0.15">
      <c r="C165" s="52">
        <f t="shared" si="29"/>
        <v>500</v>
      </c>
      <c r="D165" s="35">
        <f t="shared" si="30"/>
        <v>190</v>
      </c>
      <c r="E165" s="28" t="str">
        <f t="shared" si="31"/>
        <v>6-D19</v>
      </c>
      <c r="F165" s="112">
        <f t="shared" si="32"/>
        <v>1721.9999313354492</v>
      </c>
      <c r="G165" s="112">
        <f t="shared" si="33"/>
        <v>14</v>
      </c>
      <c r="H165" s="112">
        <f t="shared" si="34"/>
        <v>345</v>
      </c>
      <c r="I165" s="111">
        <f t="shared" si="28"/>
        <v>1600</v>
      </c>
      <c r="J165" s="112">
        <f t="shared" si="35"/>
        <v>15</v>
      </c>
      <c r="K165" s="123">
        <f>[2]!RcCMaC(C165/10,D165/10,E165,G165*10,H165*10, I165/10, J165,3)</f>
        <v>180.00000498545322</v>
      </c>
      <c r="L165" s="47">
        <f>[2]!RcCMaC(C165/10,D165/10,E165,G165*10,H165*10,I165/10,J165,4)</f>
        <v>57.939743400844101</v>
      </c>
      <c r="M165" s="48">
        <f>[2]!RcCMaC(C165/10,D165/10,E165,G165*10,H165*10, I165/10, J165,0)*10</f>
        <v>84.695976972579956</v>
      </c>
      <c r="N165" s="119">
        <v>205</v>
      </c>
      <c r="O165" s="120" t="str">
        <f t="shared" si="36"/>
        <v>NG</v>
      </c>
    </row>
    <row r="166" spans="3:15" x14ac:dyDescent="0.15">
      <c r="C166" s="52">
        <f t="shared" si="29"/>
        <v>500</v>
      </c>
      <c r="D166" s="35">
        <f t="shared" si="30"/>
        <v>190</v>
      </c>
      <c r="E166" s="28" t="str">
        <f t="shared" si="31"/>
        <v>6-D19</v>
      </c>
      <c r="F166" s="112">
        <f t="shared" si="32"/>
        <v>1721.9999313354492</v>
      </c>
      <c r="G166" s="112">
        <f t="shared" si="33"/>
        <v>14</v>
      </c>
      <c r="H166" s="112">
        <f t="shared" si="34"/>
        <v>345</v>
      </c>
      <c r="I166" s="111">
        <f t="shared" si="28"/>
        <v>1620</v>
      </c>
      <c r="J166" s="112">
        <f t="shared" si="35"/>
        <v>15</v>
      </c>
      <c r="K166" s="123">
        <f>[2]!RcCMaC(C166/10,D166/10,E166,G166*10,H166*10, I166/10, J166,3)</f>
        <v>180.00000498545322</v>
      </c>
      <c r="L166" s="47">
        <f>[2]!RcCMaC(C166/10,D166/10,E166,G166*10,H166*10,I166/10,J166,4)</f>
        <v>57.939743400844101</v>
      </c>
      <c r="M166" s="48">
        <f>[2]!RcCMaC(C166/10,D166/10,E166,G166*10,H166*10, I166/10, J166,0)*10</f>
        <v>83.574527502059937</v>
      </c>
      <c r="N166" s="119">
        <v>206</v>
      </c>
      <c r="O166" s="120" t="str">
        <f t="shared" si="36"/>
        <v>NG</v>
      </c>
    </row>
    <row r="167" spans="3:15" x14ac:dyDescent="0.15">
      <c r="C167" s="52">
        <f t="shared" si="29"/>
        <v>500</v>
      </c>
      <c r="D167" s="35">
        <f t="shared" si="30"/>
        <v>190</v>
      </c>
      <c r="E167" s="28" t="str">
        <f t="shared" si="31"/>
        <v>6-D19</v>
      </c>
      <c r="F167" s="112">
        <f t="shared" si="32"/>
        <v>1721.9999313354492</v>
      </c>
      <c r="G167" s="112">
        <f t="shared" si="33"/>
        <v>14</v>
      </c>
      <c r="H167" s="112">
        <f t="shared" si="34"/>
        <v>345</v>
      </c>
      <c r="I167" s="111">
        <f t="shared" si="28"/>
        <v>1640</v>
      </c>
      <c r="J167" s="112">
        <f t="shared" si="35"/>
        <v>15</v>
      </c>
      <c r="K167" s="123">
        <f>[2]!RcCMaC(C167/10,D167/10,E167,G167*10,H167*10, I167/10, J167,3)</f>
        <v>180.00000498545322</v>
      </c>
      <c r="L167" s="47">
        <f>[2]!RcCMaC(C167/10,D167/10,E167,G167*10,H167*10,I167/10,J167,4)</f>
        <v>57.939743400844101</v>
      </c>
      <c r="M167" s="48">
        <f>[2]!RcCMaC(C167/10,D167/10,E167,G167*10,H167*10, I167/10, J167,0)*10</f>
        <v>82.45311975479126</v>
      </c>
      <c r="N167" s="119">
        <v>207</v>
      </c>
      <c r="O167" s="120" t="str">
        <f t="shared" si="36"/>
        <v>NG</v>
      </c>
    </row>
    <row r="168" spans="3:15" x14ac:dyDescent="0.15">
      <c r="C168" s="52">
        <f t="shared" si="29"/>
        <v>500</v>
      </c>
      <c r="D168" s="35">
        <f t="shared" si="30"/>
        <v>190</v>
      </c>
      <c r="E168" s="28" t="str">
        <f t="shared" si="31"/>
        <v>6-D19</v>
      </c>
      <c r="F168" s="112">
        <f t="shared" si="32"/>
        <v>1721.9999313354492</v>
      </c>
      <c r="G168" s="112">
        <f t="shared" si="33"/>
        <v>14</v>
      </c>
      <c r="H168" s="112">
        <f t="shared" si="34"/>
        <v>345</v>
      </c>
      <c r="I168" s="111">
        <f t="shared" si="28"/>
        <v>1660</v>
      </c>
      <c r="J168" s="112">
        <f t="shared" si="35"/>
        <v>15</v>
      </c>
      <c r="K168" s="123">
        <f>[2]!RcCMaC(C168/10,D168/10,E168,G168*10,H168*10, I168/10, J168,3)</f>
        <v>180.00000498545322</v>
      </c>
      <c r="L168" s="47">
        <f>[2]!RcCMaC(C168/10,D168/10,E168,G168*10,H168*10,I168/10,J168,4)</f>
        <v>57.939743400844101</v>
      </c>
      <c r="M168" s="48">
        <f>[2]!RcCMaC(C168/10,D168/10,E168,G168*10,H168*10, I168/10, J168,0)*10</f>
        <v>81.331700086593628</v>
      </c>
      <c r="N168" s="119">
        <v>208</v>
      </c>
      <c r="O168" s="120" t="str">
        <f t="shared" si="36"/>
        <v>NG</v>
      </c>
    </row>
    <row r="169" spans="3:15" x14ac:dyDescent="0.15">
      <c r="C169" s="52">
        <f t="shared" si="29"/>
        <v>500</v>
      </c>
      <c r="D169" s="35">
        <f t="shared" si="30"/>
        <v>190</v>
      </c>
      <c r="E169" s="28" t="str">
        <f t="shared" si="31"/>
        <v>6-D19</v>
      </c>
      <c r="F169" s="112">
        <f t="shared" si="32"/>
        <v>1721.9999313354492</v>
      </c>
      <c r="G169" s="112">
        <f t="shared" si="33"/>
        <v>14</v>
      </c>
      <c r="H169" s="112">
        <f t="shared" si="34"/>
        <v>345</v>
      </c>
      <c r="I169" s="111">
        <f t="shared" si="28"/>
        <v>1680</v>
      </c>
      <c r="J169" s="112">
        <f t="shared" si="35"/>
        <v>15</v>
      </c>
      <c r="K169" s="123">
        <f>[2]!RcCMaC(C169/10,D169/10,E169,G169*10,H169*10, I169/10, J169,3)</f>
        <v>180.00000498545322</v>
      </c>
      <c r="L169" s="47">
        <f>[2]!RcCMaC(C169/10,D169/10,E169,G169*10,H169*10,I169/10,J169,4)</f>
        <v>57.939743400844101</v>
      </c>
      <c r="M169" s="48">
        <f>[2]!RcCMaC(C169/10,D169/10,E169,G169*10,H169*10, I169/10, J169,0)*10</f>
        <v>80.210274457931519</v>
      </c>
      <c r="N169" s="119">
        <v>209</v>
      </c>
      <c r="O169" s="120" t="str">
        <f t="shared" si="36"/>
        <v>NG</v>
      </c>
    </row>
    <row r="170" spans="3:15" x14ac:dyDescent="0.15">
      <c r="C170" s="52">
        <f t="shared" si="29"/>
        <v>500</v>
      </c>
      <c r="D170" s="35">
        <f t="shared" si="30"/>
        <v>190</v>
      </c>
      <c r="E170" s="28" t="str">
        <f t="shared" si="31"/>
        <v>6-D19</v>
      </c>
      <c r="F170" s="112">
        <f t="shared" si="32"/>
        <v>1721.9999313354492</v>
      </c>
      <c r="G170" s="112">
        <f t="shared" si="33"/>
        <v>14</v>
      </c>
      <c r="H170" s="112">
        <f t="shared" si="34"/>
        <v>345</v>
      </c>
      <c r="I170" s="111">
        <f t="shared" si="28"/>
        <v>1700</v>
      </c>
      <c r="J170" s="112">
        <f t="shared" si="35"/>
        <v>15</v>
      </c>
      <c r="K170" s="123">
        <f>[2]!RcCMaC(C170/10,D170/10,E170,G170*10,H170*10, I170/10, J170,3)</f>
        <v>180.00000498545322</v>
      </c>
      <c r="L170" s="47">
        <f>[2]!RcCMaC(C170/10,D170/10,E170,G170*10,H170*10,I170/10,J170,4)</f>
        <v>57.939743400844101</v>
      </c>
      <c r="M170" s="48">
        <f>[2]!RcCMaC(C170/10,D170/10,E170,G170*10,H170*10, I170/10, J170,0)*10</f>
        <v>79.088860750198364</v>
      </c>
      <c r="N170" s="119">
        <v>210</v>
      </c>
      <c r="O170" s="120" t="str">
        <f t="shared" si="36"/>
        <v>NG</v>
      </c>
    </row>
    <row r="171" spans="3:15" x14ac:dyDescent="0.15">
      <c r="C171" s="52">
        <f t="shared" si="29"/>
        <v>500</v>
      </c>
      <c r="D171" s="35">
        <f t="shared" si="30"/>
        <v>190</v>
      </c>
      <c r="E171" s="28" t="str">
        <f t="shared" si="31"/>
        <v>6-D19</v>
      </c>
      <c r="F171" s="112">
        <f t="shared" si="32"/>
        <v>1721.9999313354492</v>
      </c>
      <c r="G171" s="112">
        <f t="shared" si="33"/>
        <v>14</v>
      </c>
      <c r="H171" s="112">
        <f t="shared" si="34"/>
        <v>345</v>
      </c>
      <c r="I171" s="111">
        <f t="shared" si="28"/>
        <v>1720</v>
      </c>
      <c r="J171" s="112">
        <f t="shared" si="35"/>
        <v>15</v>
      </c>
      <c r="K171" s="123">
        <f>[2]!RcCMaC(C171/10,D171/10,E171,G171*10,H171*10, I171/10, J171,3)</f>
        <v>180.00000498545322</v>
      </c>
      <c r="L171" s="47">
        <f>[2]!RcCMaC(C171/10,D171/10,E171,G171*10,H171*10,I171/10,J171,4)</f>
        <v>57.939743400844101</v>
      </c>
      <c r="M171" s="48">
        <f>[2]!RcCMaC(C171/10,D171/10,E171,G171*10,H171*10, I171/10, J171,0)*10</f>
        <v>77.967453002929688</v>
      </c>
      <c r="N171" s="119">
        <v>211</v>
      </c>
      <c r="O171" s="120" t="str">
        <f t="shared" si="36"/>
        <v>NG</v>
      </c>
    </row>
    <row r="172" spans="3:15" x14ac:dyDescent="0.15">
      <c r="C172" s="52">
        <f t="shared" si="29"/>
        <v>500</v>
      </c>
      <c r="D172" s="35">
        <f t="shared" si="30"/>
        <v>190</v>
      </c>
      <c r="E172" s="28" t="str">
        <f t="shared" si="31"/>
        <v>6-D19</v>
      </c>
      <c r="F172" s="112">
        <f t="shared" si="32"/>
        <v>1721.9999313354492</v>
      </c>
      <c r="G172" s="112">
        <f t="shared" si="33"/>
        <v>14</v>
      </c>
      <c r="H172" s="112">
        <f t="shared" si="34"/>
        <v>345</v>
      </c>
      <c r="I172" s="111">
        <f t="shared" si="28"/>
        <v>1740</v>
      </c>
      <c r="J172" s="112">
        <f t="shared" si="35"/>
        <v>15</v>
      </c>
      <c r="K172" s="123">
        <f>[2]!RcCMaC(C172/10,D172/10,E172,G172*10,H172*10, I172/10, J172,3)</f>
        <v>180.00000498545322</v>
      </c>
      <c r="L172" s="47">
        <f>[2]!RcCMaC(C172/10,D172/10,E172,G172*10,H172*10,I172/10,J172,4)</f>
        <v>57.939743400844101</v>
      </c>
      <c r="M172" s="48">
        <f>[2]!RcCMaC(C172/10,D172/10,E172,G172*10,H172*10, I172/10, J172,0)*10</f>
        <v>76.846033334732056</v>
      </c>
      <c r="N172" s="119">
        <v>212</v>
      </c>
      <c r="O172" s="120" t="str">
        <f t="shared" si="36"/>
        <v>NG</v>
      </c>
    </row>
    <row r="173" spans="3:15" x14ac:dyDescent="0.15">
      <c r="C173" s="52">
        <f t="shared" si="29"/>
        <v>500</v>
      </c>
      <c r="D173" s="35">
        <f t="shared" si="30"/>
        <v>190</v>
      </c>
      <c r="E173" s="28" t="str">
        <f t="shared" si="31"/>
        <v>6-D19</v>
      </c>
      <c r="F173" s="112">
        <f t="shared" si="32"/>
        <v>1721.9999313354492</v>
      </c>
      <c r="G173" s="112">
        <f t="shared" si="33"/>
        <v>14</v>
      </c>
      <c r="H173" s="112">
        <f t="shared" si="34"/>
        <v>345</v>
      </c>
      <c r="I173" s="111">
        <f t="shared" si="28"/>
        <v>1760</v>
      </c>
      <c r="J173" s="112">
        <f t="shared" si="35"/>
        <v>15</v>
      </c>
      <c r="K173" s="123">
        <f>[2]!RcCMaC(C173/10,D173/10,E173,G173*10,H173*10, I173/10, J173,3)</f>
        <v>180.00000498545322</v>
      </c>
      <c r="L173" s="47">
        <f>[2]!RcCMaC(C173/10,D173/10,E173,G173*10,H173*10,I173/10,J173,4)</f>
        <v>57.939743400844101</v>
      </c>
      <c r="M173" s="48">
        <f>[2]!RcCMaC(C173/10,D173/10,E173,G173*10,H173*10, I173/10, J173,0)*10</f>
        <v>75.724619626998901</v>
      </c>
      <c r="N173" s="119">
        <v>213</v>
      </c>
      <c r="O173" s="120" t="str">
        <f t="shared" si="36"/>
        <v>NG</v>
      </c>
    </row>
    <row r="174" spans="3:15" x14ac:dyDescent="0.15">
      <c r="C174" s="52">
        <f t="shared" si="29"/>
        <v>500</v>
      </c>
      <c r="D174" s="35">
        <f t="shared" si="30"/>
        <v>190</v>
      </c>
      <c r="E174" s="28" t="str">
        <f t="shared" si="31"/>
        <v>6-D19</v>
      </c>
      <c r="F174" s="112">
        <f t="shared" si="32"/>
        <v>1721.9999313354492</v>
      </c>
      <c r="G174" s="112">
        <f t="shared" si="33"/>
        <v>14</v>
      </c>
      <c r="H174" s="112">
        <f t="shared" si="34"/>
        <v>345</v>
      </c>
      <c r="I174" s="111">
        <f t="shared" si="28"/>
        <v>1780</v>
      </c>
      <c r="J174" s="112">
        <f t="shared" si="35"/>
        <v>15</v>
      </c>
      <c r="K174" s="123">
        <f>[2]!RcCMaC(C174/10,D174/10,E174,G174*10,H174*10, I174/10, J174,3)</f>
        <v>180.00000498545322</v>
      </c>
      <c r="L174" s="47">
        <f>[2]!RcCMaC(C174/10,D174/10,E174,G174*10,H174*10,I174/10,J174,4)</f>
        <v>57.939743400844101</v>
      </c>
      <c r="M174" s="48">
        <f>[2]!RcCMaC(C174/10,D174/10,E174,G174*10,H174*10, I174/10, J174,0)*10</f>
        <v>74.603188037872314</v>
      </c>
      <c r="N174" s="119">
        <v>214</v>
      </c>
      <c r="O174" s="120" t="str">
        <f t="shared" si="36"/>
        <v>NG</v>
      </c>
    </row>
    <row r="175" spans="3:15" x14ac:dyDescent="0.15">
      <c r="C175" s="52">
        <f t="shared" si="29"/>
        <v>500</v>
      </c>
      <c r="D175" s="35">
        <f t="shared" si="30"/>
        <v>190</v>
      </c>
      <c r="E175" s="28" t="str">
        <f t="shared" si="31"/>
        <v>6-D19</v>
      </c>
      <c r="F175" s="112">
        <f t="shared" si="32"/>
        <v>1721.9999313354492</v>
      </c>
      <c r="G175" s="112">
        <f t="shared" si="33"/>
        <v>14</v>
      </c>
      <c r="H175" s="112">
        <f t="shared" si="34"/>
        <v>345</v>
      </c>
      <c r="I175" s="111">
        <f t="shared" si="28"/>
        <v>1800</v>
      </c>
      <c r="J175" s="112">
        <f t="shared" si="35"/>
        <v>15</v>
      </c>
      <c r="K175" s="123">
        <f>[2]!RcCMaC(C175/10,D175/10,E175,G175*10,H175*10, I175/10, J175,3)</f>
        <v>180.00000498545322</v>
      </c>
      <c r="L175" s="47">
        <f>[2]!RcCMaC(C175/10,D175/10,E175,G175*10,H175*10,I175/10,J175,4)</f>
        <v>57.939743400844101</v>
      </c>
      <c r="M175" s="48">
        <f>[2]!RcCMaC(C175/10,D175/10,E175,G175*10,H175*10, I175/10, J175,0)*10</f>
        <v>73.481756448745728</v>
      </c>
      <c r="N175" s="119">
        <v>215</v>
      </c>
      <c r="O175" s="120" t="str">
        <f t="shared" si="36"/>
        <v>NG</v>
      </c>
    </row>
    <row r="176" spans="3:15" x14ac:dyDescent="0.15">
      <c r="C176" s="52">
        <f t="shared" si="29"/>
        <v>500</v>
      </c>
      <c r="D176" s="35">
        <f t="shared" si="30"/>
        <v>190</v>
      </c>
      <c r="E176" s="28" t="str">
        <f t="shared" si="31"/>
        <v>6-D19</v>
      </c>
      <c r="F176" s="112">
        <f t="shared" si="32"/>
        <v>1721.9999313354492</v>
      </c>
      <c r="G176" s="112">
        <f t="shared" si="33"/>
        <v>14</v>
      </c>
      <c r="H176" s="112">
        <f t="shared" si="34"/>
        <v>345</v>
      </c>
      <c r="I176" s="111">
        <f t="shared" si="28"/>
        <v>1820</v>
      </c>
      <c r="J176" s="112">
        <f t="shared" si="35"/>
        <v>15</v>
      </c>
      <c r="K176" s="123">
        <f>[2]!RcCMaC(C176/10,D176/10,E176,G176*10,H176*10, I176/10, J176,3)</f>
        <v>180.00000498545322</v>
      </c>
      <c r="L176" s="47">
        <f>[2]!RcCMaC(C176/10,D176/10,E176,G176*10,H176*10,I176/10,J176,4)</f>
        <v>57.939743400844101</v>
      </c>
      <c r="M176" s="48">
        <f>[2]!RcCMaC(C176/10,D176/10,E176,G176*10,H176*10, I176/10, J176,0)*10</f>
        <v>72.360348701477051</v>
      </c>
      <c r="N176" s="119">
        <v>216</v>
      </c>
      <c r="O176" s="120" t="str">
        <f t="shared" si="36"/>
        <v>NG</v>
      </c>
    </row>
    <row r="177" spans="3:15" x14ac:dyDescent="0.15">
      <c r="C177" s="52">
        <f t="shared" si="29"/>
        <v>500</v>
      </c>
      <c r="D177" s="35">
        <f t="shared" si="30"/>
        <v>190</v>
      </c>
      <c r="E177" s="28" t="str">
        <f t="shared" si="31"/>
        <v>6-D19</v>
      </c>
      <c r="F177" s="112">
        <f t="shared" si="32"/>
        <v>1721.9999313354492</v>
      </c>
      <c r="G177" s="112">
        <f t="shared" si="33"/>
        <v>14</v>
      </c>
      <c r="H177" s="112">
        <f t="shared" si="34"/>
        <v>345</v>
      </c>
      <c r="I177" s="111">
        <f t="shared" si="28"/>
        <v>1840</v>
      </c>
      <c r="J177" s="112">
        <f t="shared" si="35"/>
        <v>15</v>
      </c>
      <c r="K177" s="123">
        <f>[2]!RcCMaC(C177/10,D177/10,E177,G177*10,H177*10, I177/10, J177,3)</f>
        <v>180.00000498545322</v>
      </c>
      <c r="L177" s="47">
        <f>[2]!RcCMaC(C177/10,D177/10,E177,G177*10,H177*10,I177/10,J177,4)</f>
        <v>57.939743400844101</v>
      </c>
      <c r="M177" s="48">
        <f>[2]!RcCMaC(C177/10,D177/10,E177,G177*10,H177*10, I177/10, J177,0)*10</f>
        <v>71.238923072814941</v>
      </c>
      <c r="N177" s="119">
        <v>217</v>
      </c>
      <c r="O177" s="120" t="str">
        <f t="shared" si="36"/>
        <v>NG</v>
      </c>
    </row>
    <row r="178" spans="3:15" x14ac:dyDescent="0.15">
      <c r="C178" s="52">
        <f t="shared" si="29"/>
        <v>500</v>
      </c>
      <c r="D178" s="35">
        <f t="shared" si="30"/>
        <v>190</v>
      </c>
      <c r="E178" s="28" t="str">
        <f t="shared" si="31"/>
        <v>6-D19</v>
      </c>
      <c r="F178" s="112">
        <f t="shared" si="32"/>
        <v>1721.9999313354492</v>
      </c>
      <c r="G178" s="112">
        <f t="shared" si="33"/>
        <v>14</v>
      </c>
      <c r="H178" s="112">
        <f t="shared" si="34"/>
        <v>345</v>
      </c>
      <c r="I178" s="111">
        <f t="shared" si="28"/>
        <v>1860</v>
      </c>
      <c r="J178" s="112">
        <f t="shared" si="35"/>
        <v>15</v>
      </c>
      <c r="K178" s="123">
        <f>[2]!RcCMaC(C178/10,D178/10,E178,G178*10,H178*10, I178/10, J178,3)</f>
        <v>180.00000498545322</v>
      </c>
      <c r="L178" s="47">
        <f>[2]!RcCMaC(C178/10,D178/10,E178,G178*10,H178*10,I178/10,J178,4)</f>
        <v>57.939743400844101</v>
      </c>
      <c r="M178" s="48">
        <f>[2]!RcCMaC(C178/10,D178/10,E178,G178*10,H178*10, I178/10, J178,0)*10</f>
        <v>70.117521286010742</v>
      </c>
      <c r="N178" s="119">
        <v>218</v>
      </c>
      <c r="O178" s="120" t="str">
        <f t="shared" si="36"/>
        <v>NG</v>
      </c>
    </row>
    <row r="179" spans="3:15" x14ac:dyDescent="0.15">
      <c r="C179" s="52">
        <f t="shared" si="29"/>
        <v>500</v>
      </c>
      <c r="D179" s="35">
        <f t="shared" si="30"/>
        <v>190</v>
      </c>
      <c r="E179" s="28" t="str">
        <f t="shared" si="31"/>
        <v>6-D19</v>
      </c>
      <c r="F179" s="112">
        <f t="shared" si="32"/>
        <v>1721.9999313354492</v>
      </c>
      <c r="G179" s="112">
        <f t="shared" si="33"/>
        <v>14</v>
      </c>
      <c r="H179" s="112">
        <f t="shared" si="34"/>
        <v>345</v>
      </c>
      <c r="I179" s="111">
        <f t="shared" si="28"/>
        <v>1880</v>
      </c>
      <c r="J179" s="112">
        <f t="shared" si="35"/>
        <v>15</v>
      </c>
      <c r="K179" s="123">
        <f>[2]!RcCMaC(C179/10,D179/10,E179,G179*10,H179*10, I179/10, J179,3)</f>
        <v>180.00000498545322</v>
      </c>
      <c r="L179" s="47">
        <f>[2]!RcCMaC(C179/10,D179/10,E179,G179*10,H179*10,I179/10,J179,4)</f>
        <v>57.939743400844101</v>
      </c>
      <c r="M179" s="48">
        <f>[2]!RcCMaC(C179/10,D179/10,E179,G179*10,H179*10, I179/10, J179,0)*10</f>
        <v>68.996095657348633</v>
      </c>
      <c r="N179" s="119">
        <v>219</v>
      </c>
      <c r="O179" s="120" t="str">
        <f t="shared" si="36"/>
        <v>NG</v>
      </c>
    </row>
    <row r="180" spans="3:15" x14ac:dyDescent="0.15">
      <c r="C180" s="52">
        <f t="shared" si="29"/>
        <v>500</v>
      </c>
      <c r="D180" s="35">
        <f t="shared" si="30"/>
        <v>190</v>
      </c>
      <c r="E180" s="28" t="str">
        <f t="shared" si="31"/>
        <v>6-D19</v>
      </c>
      <c r="F180" s="112">
        <f t="shared" si="32"/>
        <v>1721.9999313354492</v>
      </c>
      <c r="G180" s="112">
        <f t="shared" si="33"/>
        <v>14</v>
      </c>
      <c r="H180" s="112">
        <f t="shared" si="34"/>
        <v>345</v>
      </c>
      <c r="I180" s="111">
        <f t="shared" si="28"/>
        <v>1900</v>
      </c>
      <c r="J180" s="112">
        <f t="shared" si="35"/>
        <v>15</v>
      </c>
      <c r="K180" s="123">
        <f>[2]!RcCMaC(C180/10,D180/10,E180,G180*10,H180*10, I180/10, J180,3)</f>
        <v>180.00000498545322</v>
      </c>
      <c r="L180" s="47">
        <f>[2]!RcCMaC(C180/10,D180/10,E180,G180*10,H180*10,I180/10,J180,4)</f>
        <v>57.939743400844101</v>
      </c>
      <c r="M180" s="48">
        <f>[2]!RcCMaC(C180/10,D180/10,E180,G180*10,H180*10, I180/10, J180,0)*10</f>
        <v>67.874670028686523</v>
      </c>
      <c r="N180" s="119">
        <v>220</v>
      </c>
      <c r="O180" s="120" t="str">
        <f t="shared" si="36"/>
        <v>NG</v>
      </c>
    </row>
    <row r="181" spans="3:15" x14ac:dyDescent="0.15">
      <c r="C181" s="52">
        <f t="shared" si="29"/>
        <v>500</v>
      </c>
      <c r="D181" s="35">
        <f t="shared" si="30"/>
        <v>190</v>
      </c>
      <c r="E181" s="28" t="str">
        <f t="shared" si="31"/>
        <v>6-D19</v>
      </c>
      <c r="F181" s="112">
        <f t="shared" si="32"/>
        <v>1721.9999313354492</v>
      </c>
      <c r="G181" s="112">
        <f t="shared" si="33"/>
        <v>14</v>
      </c>
      <c r="H181" s="112">
        <f t="shared" si="34"/>
        <v>345</v>
      </c>
      <c r="I181" s="111">
        <f t="shared" si="28"/>
        <v>1920</v>
      </c>
      <c r="J181" s="112">
        <f t="shared" si="35"/>
        <v>15</v>
      </c>
      <c r="K181" s="123">
        <f>[2]!RcCMaC(C181/10,D181/10,E181,G181*10,H181*10, I181/10, J181,3)</f>
        <v>180.00000498545322</v>
      </c>
      <c r="L181" s="47">
        <f>[2]!RcCMaC(C181/10,D181/10,E181,G181*10,H181*10,I181/10,J181,4)</f>
        <v>57.939743400844101</v>
      </c>
      <c r="M181" s="48">
        <f>[2]!RcCMaC(C181/10,D181/10,E181,G181*10,H181*10, I181/10, J181,0)*10</f>
        <v>66.753250360488892</v>
      </c>
      <c r="N181" s="119">
        <v>221</v>
      </c>
      <c r="O181" s="120" t="str">
        <f t="shared" si="36"/>
        <v>NG</v>
      </c>
    </row>
    <row r="182" spans="3:15" x14ac:dyDescent="0.15">
      <c r="C182" s="52">
        <f t="shared" si="29"/>
        <v>500</v>
      </c>
      <c r="D182" s="35">
        <f t="shared" si="30"/>
        <v>190</v>
      </c>
      <c r="E182" s="28" t="str">
        <f t="shared" si="31"/>
        <v>6-D19</v>
      </c>
      <c r="F182" s="112">
        <f t="shared" si="32"/>
        <v>1721.9999313354492</v>
      </c>
      <c r="G182" s="112">
        <f t="shared" si="33"/>
        <v>14</v>
      </c>
      <c r="H182" s="112">
        <f t="shared" si="34"/>
        <v>345</v>
      </c>
      <c r="I182" s="111">
        <f t="shared" si="28"/>
        <v>1940</v>
      </c>
      <c r="J182" s="112">
        <f t="shared" si="35"/>
        <v>15</v>
      </c>
      <c r="K182" s="123">
        <f>[2]!RcCMaC(C182/10,D182/10,E182,G182*10,H182*10, I182/10, J182,3)</f>
        <v>180.00000498545322</v>
      </c>
      <c r="L182" s="47">
        <f>[2]!RcCMaC(C182/10,D182/10,E182,G182*10,H182*10,I182/10,J182,4)</f>
        <v>57.939743400844101</v>
      </c>
      <c r="M182" s="48">
        <f>[2]!RcCMaC(C182/10,D182/10,E182,G182*10,H182*10, I182/10, J182,0)*10</f>
        <v>65.631824731826782</v>
      </c>
      <c r="N182" s="119">
        <v>222</v>
      </c>
      <c r="O182" s="120" t="str">
        <f t="shared" si="36"/>
        <v>NG</v>
      </c>
    </row>
    <row r="183" spans="3:15" x14ac:dyDescent="0.15">
      <c r="C183" s="52">
        <f t="shared" si="29"/>
        <v>500</v>
      </c>
      <c r="D183" s="35">
        <f t="shared" si="30"/>
        <v>190</v>
      </c>
      <c r="E183" s="28" t="str">
        <f t="shared" si="31"/>
        <v>6-D19</v>
      </c>
      <c r="F183" s="112">
        <f t="shared" si="32"/>
        <v>1721.9999313354492</v>
      </c>
      <c r="G183" s="112">
        <f t="shared" si="33"/>
        <v>14</v>
      </c>
      <c r="H183" s="112">
        <f t="shared" si="34"/>
        <v>345</v>
      </c>
      <c r="I183" s="111">
        <f t="shared" si="28"/>
        <v>1960</v>
      </c>
      <c r="J183" s="112">
        <f t="shared" si="35"/>
        <v>15</v>
      </c>
      <c r="K183" s="123">
        <f>[2]!RcCMaC(C183/10,D183/10,E183,G183*10,H183*10, I183/10, J183,3)</f>
        <v>180.00000498545322</v>
      </c>
      <c r="L183" s="47">
        <f>[2]!RcCMaC(C183/10,D183/10,E183,G183*10,H183*10,I183/10,J183,4)</f>
        <v>57.939743400844101</v>
      </c>
      <c r="M183" s="48">
        <f>[2]!RcCMaC(C183/10,D183/10,E183,G183*10,H183*10, I183/10, J183,0)*10</f>
        <v>64.510399103164673</v>
      </c>
      <c r="N183" s="119">
        <v>223</v>
      </c>
      <c r="O183" s="120" t="str">
        <f t="shared" si="36"/>
        <v>NG</v>
      </c>
    </row>
    <row r="184" spans="3:15" x14ac:dyDescent="0.15">
      <c r="C184" s="52">
        <f t="shared" si="29"/>
        <v>500</v>
      </c>
      <c r="D184" s="35">
        <f t="shared" si="30"/>
        <v>190</v>
      </c>
      <c r="E184" s="28" t="str">
        <f t="shared" si="31"/>
        <v>6-D19</v>
      </c>
      <c r="F184" s="112">
        <f t="shared" si="32"/>
        <v>1721.9999313354492</v>
      </c>
      <c r="G184" s="112">
        <f t="shared" si="33"/>
        <v>14</v>
      </c>
      <c r="H184" s="112">
        <f t="shared" si="34"/>
        <v>345</v>
      </c>
      <c r="I184" s="111">
        <f t="shared" si="28"/>
        <v>1980</v>
      </c>
      <c r="J184" s="112">
        <f t="shared" si="35"/>
        <v>15</v>
      </c>
      <c r="K184" s="123">
        <f>[2]!RcCMaC(C184/10,D184/10,E184,G184*10,H184*10, I184/10, J184,3)</f>
        <v>180.00000498545322</v>
      </c>
      <c r="L184" s="47">
        <f>[2]!RcCMaC(C184/10,D184/10,E184,G184*10,H184*10,I184/10,J184,4)</f>
        <v>57.939743400844101</v>
      </c>
      <c r="M184" s="48">
        <f>[2]!RcCMaC(C184/10,D184/10,E184,G184*10,H184*10, I184/10, J184,0)*10</f>
        <v>63.388991355895996</v>
      </c>
      <c r="N184" s="119">
        <v>224</v>
      </c>
      <c r="O184" s="120" t="str">
        <f t="shared" si="36"/>
        <v>NG</v>
      </c>
    </row>
    <row r="185" spans="3:15" x14ac:dyDescent="0.15">
      <c r="C185" s="52">
        <f t="shared" si="29"/>
        <v>500</v>
      </c>
      <c r="D185" s="35">
        <f t="shared" si="30"/>
        <v>190</v>
      </c>
      <c r="E185" s="28" t="str">
        <f t="shared" si="31"/>
        <v>6-D19</v>
      </c>
      <c r="F185" s="112">
        <f t="shared" si="32"/>
        <v>1721.9999313354492</v>
      </c>
      <c r="G185" s="112">
        <f t="shared" si="33"/>
        <v>14</v>
      </c>
      <c r="H185" s="112">
        <f t="shared" si="34"/>
        <v>345</v>
      </c>
      <c r="I185" s="111">
        <f t="shared" si="28"/>
        <v>2000</v>
      </c>
      <c r="J185" s="112">
        <f t="shared" si="35"/>
        <v>15</v>
      </c>
      <c r="K185" s="123">
        <f>[2]!RcCMaC(C185/10,D185/10,E185,G185*10,H185*10, I185/10, J185,3)</f>
        <v>180.00000498545322</v>
      </c>
      <c r="L185" s="47">
        <f>[2]!RcCMaC(C185/10,D185/10,E185,G185*10,H185*10,I185/10,J185,4)</f>
        <v>57.939743400844101</v>
      </c>
      <c r="M185" s="48">
        <f>[2]!RcCMaC(C185/10,D185/10,E185,G185*10,H185*10, I185/10, J185,0)*10</f>
        <v>62.267589569091797</v>
      </c>
      <c r="N185" s="119">
        <v>225</v>
      </c>
      <c r="O185" s="120" t="str">
        <f t="shared" si="36"/>
        <v>NG</v>
      </c>
    </row>
    <row r="186" spans="3:15" x14ac:dyDescent="0.15">
      <c r="C186" s="52">
        <f t="shared" si="29"/>
        <v>500</v>
      </c>
      <c r="D186" s="35">
        <f t="shared" si="30"/>
        <v>190</v>
      </c>
      <c r="E186" s="28" t="str">
        <f t="shared" si="31"/>
        <v>6-D19</v>
      </c>
      <c r="F186" s="112">
        <f t="shared" si="32"/>
        <v>1721.9999313354492</v>
      </c>
      <c r="G186" s="112">
        <f t="shared" si="33"/>
        <v>14</v>
      </c>
      <c r="H186" s="112">
        <f t="shared" si="34"/>
        <v>345</v>
      </c>
      <c r="I186" s="111">
        <f t="shared" si="28"/>
        <v>2020</v>
      </c>
      <c r="J186" s="112">
        <f t="shared" si="35"/>
        <v>15</v>
      </c>
      <c r="K186" s="123">
        <f>[2]!RcCMaC(C186/10,D186/10,E186,G186*10,H186*10, I186/10, J186,3)</f>
        <v>180.00000498545322</v>
      </c>
      <c r="L186" s="47">
        <f>[2]!RcCMaC(C186/10,D186/10,E186,G186*10,H186*10,I186/10,J186,4)</f>
        <v>57.939743400844101</v>
      </c>
      <c r="M186" s="48">
        <f>[2]!RcCMaC(C186/10,D186/10,E186,G186*10,H186*10, I186/10, J186,0)*10</f>
        <v>61.146163940429688</v>
      </c>
      <c r="N186" s="119">
        <v>226</v>
      </c>
      <c r="O186" s="120" t="str">
        <f t="shared" si="36"/>
        <v>NG</v>
      </c>
    </row>
    <row r="187" spans="3:15" x14ac:dyDescent="0.15">
      <c r="C187" s="52">
        <f t="shared" si="29"/>
        <v>500</v>
      </c>
      <c r="D187" s="35">
        <f t="shared" si="30"/>
        <v>190</v>
      </c>
      <c r="E187" s="28" t="str">
        <f t="shared" si="31"/>
        <v>6-D19</v>
      </c>
      <c r="F187" s="112">
        <f t="shared" si="32"/>
        <v>1721.9999313354492</v>
      </c>
      <c r="G187" s="112">
        <f t="shared" si="33"/>
        <v>14</v>
      </c>
      <c r="H187" s="112">
        <f t="shared" si="34"/>
        <v>345</v>
      </c>
      <c r="I187" s="111">
        <f t="shared" si="28"/>
        <v>2040</v>
      </c>
      <c r="J187" s="112">
        <f t="shared" si="35"/>
        <v>15</v>
      </c>
      <c r="K187" s="123">
        <f>[2]!RcCMaC(C187/10,D187/10,E187,G187*10,H187*10, I187/10, J187,3)</f>
        <v>180.00000498545322</v>
      </c>
      <c r="L187" s="47">
        <f>[2]!RcCMaC(C187/10,D187/10,E187,G187*10,H187*10,I187/10,J187,4)</f>
        <v>57.939743400844101</v>
      </c>
      <c r="M187" s="48">
        <f>[2]!RcCMaC(C187/10,D187/10,E187,G187*10,H187*10, I187/10, J187,0)*10</f>
        <v>60.024726390838623</v>
      </c>
      <c r="N187" s="119">
        <v>227</v>
      </c>
      <c r="O187" s="120" t="str">
        <f t="shared" si="36"/>
        <v>NG</v>
      </c>
    </row>
    <row r="188" spans="3:15" x14ac:dyDescent="0.15">
      <c r="C188" s="52">
        <f t="shared" si="29"/>
        <v>500</v>
      </c>
      <c r="D188" s="35">
        <f t="shared" si="30"/>
        <v>190</v>
      </c>
      <c r="E188" s="28" t="str">
        <f t="shared" si="31"/>
        <v>6-D19</v>
      </c>
      <c r="F188" s="112">
        <f t="shared" si="32"/>
        <v>1721.9999313354492</v>
      </c>
      <c r="G188" s="112">
        <f t="shared" si="33"/>
        <v>14</v>
      </c>
      <c r="H188" s="112">
        <f t="shared" si="34"/>
        <v>345</v>
      </c>
      <c r="I188" s="111">
        <f t="shared" si="28"/>
        <v>2060</v>
      </c>
      <c r="J188" s="112">
        <f t="shared" si="35"/>
        <v>15</v>
      </c>
      <c r="K188" s="123">
        <f>[2]!RcCMaC(C188/10,D188/10,E188,G188*10,H188*10, I188/10, J188,3)</f>
        <v>180.00000498545322</v>
      </c>
      <c r="L188" s="47">
        <f>[2]!RcCMaC(C188/10,D188/10,E188,G188*10,H188*10,I188/10,J188,4)</f>
        <v>57.939743400844101</v>
      </c>
      <c r="M188" s="48">
        <f>[2]!RcCMaC(C188/10,D188/10,E188,G188*10,H188*10, I188/10, J188,0)*10</f>
        <v>58.903324604034424</v>
      </c>
      <c r="N188" s="119">
        <v>228</v>
      </c>
      <c r="O188" s="120" t="str">
        <f t="shared" si="36"/>
        <v>NG</v>
      </c>
    </row>
    <row r="189" spans="3:15" x14ac:dyDescent="0.15">
      <c r="C189" s="52">
        <f t="shared" si="29"/>
        <v>500</v>
      </c>
      <c r="D189" s="35">
        <f t="shared" si="30"/>
        <v>190</v>
      </c>
      <c r="E189" s="28" t="str">
        <f t="shared" si="31"/>
        <v>6-D19</v>
      </c>
      <c r="F189" s="112">
        <f t="shared" si="32"/>
        <v>1721.9999313354492</v>
      </c>
      <c r="G189" s="112">
        <f t="shared" si="33"/>
        <v>14</v>
      </c>
      <c r="H189" s="112">
        <f t="shared" si="34"/>
        <v>345</v>
      </c>
      <c r="I189" s="111">
        <f t="shared" si="28"/>
        <v>2080</v>
      </c>
      <c r="J189" s="112">
        <f t="shared" si="35"/>
        <v>15</v>
      </c>
      <c r="K189" s="123">
        <f>[2]!RcCMaC(C189/10,D189/10,E189,G189*10,H189*10, I189/10, J189,3)</f>
        <v>180.00000498545322</v>
      </c>
      <c r="L189" s="47">
        <f>[2]!RcCMaC(C189/10,D189/10,E189,G189*10,H189*10,I189/10,J189,4)</f>
        <v>57.939743400844101</v>
      </c>
      <c r="M189" s="48">
        <f>[2]!RcCMaC(C189/10,D189/10,E189,G189*10,H189*10, I189/10, J189,0)*10</f>
        <v>57.78191089630127</v>
      </c>
      <c r="N189" s="119">
        <v>229</v>
      </c>
      <c r="O189" s="120" t="str">
        <f t="shared" si="36"/>
        <v>NG</v>
      </c>
    </row>
    <row r="190" spans="3:15" x14ac:dyDescent="0.15">
      <c r="C190" s="52">
        <f t="shared" si="29"/>
        <v>500</v>
      </c>
      <c r="D190" s="35">
        <f t="shared" si="30"/>
        <v>190</v>
      </c>
      <c r="E190" s="28" t="str">
        <f t="shared" si="31"/>
        <v>6-D19</v>
      </c>
      <c r="F190" s="112">
        <f t="shared" si="32"/>
        <v>1721.9999313354492</v>
      </c>
      <c r="G190" s="112">
        <f t="shared" si="33"/>
        <v>14</v>
      </c>
      <c r="H190" s="112">
        <f t="shared" si="34"/>
        <v>345</v>
      </c>
      <c r="I190" s="111">
        <f t="shared" si="28"/>
        <v>2100</v>
      </c>
      <c r="J190" s="112">
        <f t="shared" si="35"/>
        <v>15</v>
      </c>
      <c r="K190" s="123">
        <f>[2]!RcCMaC(C190/10,D190/10,E190,G190*10,H190*10, I190/10, J190,3)</f>
        <v>180.00000498545322</v>
      </c>
      <c r="L190" s="47">
        <f>[2]!RcCMaC(C190/10,D190/10,E190,G190*10,H190*10,I190/10,J190,4)</f>
        <v>57.939743400844101</v>
      </c>
      <c r="M190" s="48">
        <f>[2]!RcCMaC(C190/10,D190/10,E190,G190*10,H190*10, I190/10, J190,0)*10</f>
        <v>56.660473346710205</v>
      </c>
      <c r="N190" s="119">
        <v>230</v>
      </c>
      <c r="O190" s="120" t="str">
        <f t="shared" si="36"/>
        <v>NG</v>
      </c>
    </row>
    <row r="191" spans="3:15" x14ac:dyDescent="0.15">
      <c r="C191" s="52">
        <f t="shared" si="29"/>
        <v>500</v>
      </c>
      <c r="D191" s="35">
        <f t="shared" si="30"/>
        <v>190</v>
      </c>
      <c r="E191" s="28" t="str">
        <f t="shared" si="31"/>
        <v>6-D19</v>
      </c>
      <c r="F191" s="112">
        <f t="shared" si="32"/>
        <v>1721.9999313354492</v>
      </c>
      <c r="G191" s="112">
        <f t="shared" si="33"/>
        <v>14</v>
      </c>
      <c r="H191" s="112">
        <f t="shared" si="34"/>
        <v>345</v>
      </c>
      <c r="I191" s="111">
        <f t="shared" si="28"/>
        <v>2120</v>
      </c>
      <c r="J191" s="112">
        <f t="shared" si="35"/>
        <v>15</v>
      </c>
      <c r="K191" s="123">
        <f>[2]!RcCMaC(C191/10,D191/10,E191,G191*10,H191*10, I191/10, J191,3)</f>
        <v>180.00000498545322</v>
      </c>
      <c r="L191" s="47">
        <f>[2]!RcCMaC(C191/10,D191/10,E191,G191*10,H191*10,I191/10,J191,4)</f>
        <v>57.939743400844101</v>
      </c>
      <c r="M191" s="48">
        <f>[2]!RcCMaC(C191/10,D191/10,E191,G191*10,H191*10, I191/10, J191,0)*10</f>
        <v>55.539047718048096</v>
      </c>
      <c r="N191" s="119">
        <v>231</v>
      </c>
      <c r="O191" s="120" t="str">
        <f t="shared" si="36"/>
        <v>NG</v>
      </c>
    </row>
    <row r="192" spans="3:15" x14ac:dyDescent="0.15">
      <c r="C192" s="52">
        <f t="shared" si="29"/>
        <v>500</v>
      </c>
      <c r="D192" s="35">
        <f t="shared" si="30"/>
        <v>190</v>
      </c>
      <c r="E192" s="28" t="str">
        <f t="shared" si="31"/>
        <v>6-D19</v>
      </c>
      <c r="F192" s="112">
        <f t="shared" si="32"/>
        <v>1721.9999313354492</v>
      </c>
      <c r="G192" s="112">
        <f t="shared" si="33"/>
        <v>14</v>
      </c>
      <c r="H192" s="112">
        <f t="shared" si="34"/>
        <v>345</v>
      </c>
      <c r="I192" s="111">
        <f t="shared" si="28"/>
        <v>2140</v>
      </c>
      <c r="J192" s="112">
        <f t="shared" si="35"/>
        <v>15</v>
      </c>
      <c r="K192" s="123">
        <f>[2]!RcCMaC(C192/10,D192/10,E192,G192*10,H192*10, I192/10, J192,3)</f>
        <v>180.00000498545322</v>
      </c>
      <c r="L192" s="47">
        <f>[2]!RcCMaC(C192/10,D192/10,E192,G192*10,H192*10,I192/10,J192,4)</f>
        <v>57.939743400844101</v>
      </c>
      <c r="M192" s="48">
        <f>[2]!RcCMaC(C192/10,D192/10,E192,G192*10,H192*10, I192/10, J192,0)*10</f>
        <v>54.417645931243896</v>
      </c>
      <c r="N192" s="119">
        <v>232</v>
      </c>
      <c r="O192" s="120" t="str">
        <f t="shared" si="36"/>
        <v>NG</v>
      </c>
    </row>
    <row r="193" spans="3:15" x14ac:dyDescent="0.15">
      <c r="C193" s="52">
        <f t="shared" si="29"/>
        <v>500</v>
      </c>
      <c r="D193" s="35">
        <f t="shared" si="30"/>
        <v>190</v>
      </c>
      <c r="E193" s="28" t="str">
        <f t="shared" si="31"/>
        <v>6-D19</v>
      </c>
      <c r="F193" s="112">
        <f t="shared" si="32"/>
        <v>1721.9999313354492</v>
      </c>
      <c r="G193" s="112">
        <f t="shared" si="33"/>
        <v>14</v>
      </c>
      <c r="H193" s="112">
        <f t="shared" si="34"/>
        <v>345</v>
      </c>
      <c r="I193" s="111">
        <f t="shared" si="28"/>
        <v>2160</v>
      </c>
      <c r="J193" s="112">
        <f t="shared" si="35"/>
        <v>15</v>
      </c>
      <c r="K193" s="123">
        <f>[2]!RcCMaC(C193/10,D193/10,E193,G193*10,H193*10, I193/10, J193,3)</f>
        <v>180.00000498545322</v>
      </c>
      <c r="L193" s="47">
        <f>[2]!RcCMaC(C193/10,D193/10,E193,G193*10,H193*10,I193/10,J193,4)</f>
        <v>57.939743400844101</v>
      </c>
      <c r="M193" s="48">
        <f>[2]!RcCMaC(C193/10,D193/10,E193,G193*10,H193*10, I193/10, J193,0)*10</f>
        <v>53.296226263046265</v>
      </c>
      <c r="N193" s="119">
        <v>233</v>
      </c>
      <c r="O193" s="120" t="str">
        <f t="shared" si="36"/>
        <v>NG</v>
      </c>
    </row>
    <row r="194" spans="3:15" x14ac:dyDescent="0.15">
      <c r="C194" s="52">
        <f t="shared" si="29"/>
        <v>500</v>
      </c>
      <c r="D194" s="35">
        <f t="shared" si="30"/>
        <v>190</v>
      </c>
      <c r="E194" s="28" t="str">
        <f t="shared" si="31"/>
        <v>6-D19</v>
      </c>
      <c r="F194" s="112">
        <f t="shared" si="32"/>
        <v>1721.9999313354492</v>
      </c>
      <c r="G194" s="112">
        <f t="shared" si="33"/>
        <v>14</v>
      </c>
      <c r="H194" s="112">
        <f t="shared" si="34"/>
        <v>345</v>
      </c>
      <c r="I194" s="111">
        <f t="shared" si="28"/>
        <v>2180</v>
      </c>
      <c r="J194" s="112">
        <f t="shared" si="35"/>
        <v>15</v>
      </c>
      <c r="K194" s="123">
        <f>[2]!RcCMaC(C194/10,D194/10,E194,G194*10,H194*10, I194/10, J194,3)</f>
        <v>180.00000498545322</v>
      </c>
      <c r="L194" s="47">
        <f>[2]!RcCMaC(C194/10,D194/10,E194,G194*10,H194*10,I194/10,J194,4)</f>
        <v>57.939743400844101</v>
      </c>
      <c r="M194" s="48">
        <f>[2]!RcCMaC(C194/10,D194/10,E194,G194*10,H194*10, I194/10, J194,0)*10</f>
        <v>52.174806594848633</v>
      </c>
      <c r="N194" s="119">
        <v>234</v>
      </c>
      <c r="O194" s="120" t="str">
        <f t="shared" si="36"/>
        <v>NG</v>
      </c>
    </row>
    <row r="195" spans="3:15" x14ac:dyDescent="0.15">
      <c r="C195" s="52">
        <f t="shared" si="29"/>
        <v>500</v>
      </c>
      <c r="D195" s="35">
        <f t="shared" si="30"/>
        <v>190</v>
      </c>
      <c r="E195" s="28" t="str">
        <f t="shared" si="31"/>
        <v>6-D19</v>
      </c>
      <c r="F195" s="112">
        <f t="shared" si="32"/>
        <v>1721.9999313354492</v>
      </c>
      <c r="G195" s="112">
        <f t="shared" si="33"/>
        <v>14</v>
      </c>
      <c r="H195" s="112">
        <f t="shared" si="34"/>
        <v>345</v>
      </c>
      <c r="I195" s="111">
        <f t="shared" si="28"/>
        <v>2200</v>
      </c>
      <c r="J195" s="112">
        <f t="shared" si="35"/>
        <v>15</v>
      </c>
      <c r="K195" s="123">
        <f>[2]!RcCMaC(C195/10,D195/10,E195,G195*10,H195*10, I195/10, J195,3)</f>
        <v>180.00000498545322</v>
      </c>
      <c r="L195" s="47">
        <f>[2]!RcCMaC(C195/10,D195/10,E195,G195*10,H195*10,I195/10,J195,4)</f>
        <v>57.939743400844101</v>
      </c>
      <c r="M195" s="48">
        <f>[2]!RcCMaC(C195/10,D195/10,E195,G195*10,H195*10, I195/10, J195,0)*10</f>
        <v>51.053369045257568</v>
      </c>
      <c r="N195" s="119">
        <v>235</v>
      </c>
      <c r="O195" s="120" t="str">
        <f t="shared" si="36"/>
        <v>NG</v>
      </c>
    </row>
    <row r="196" spans="3:15" x14ac:dyDescent="0.15">
      <c r="C196" s="52">
        <f t="shared" si="29"/>
        <v>500</v>
      </c>
      <c r="D196" s="35">
        <f t="shared" si="30"/>
        <v>190</v>
      </c>
      <c r="E196" s="28" t="str">
        <f t="shared" si="31"/>
        <v>6-D19</v>
      </c>
      <c r="F196" s="112">
        <f t="shared" si="32"/>
        <v>1721.9999313354492</v>
      </c>
      <c r="G196" s="112">
        <f t="shared" si="33"/>
        <v>14</v>
      </c>
      <c r="H196" s="112">
        <f t="shared" si="34"/>
        <v>345</v>
      </c>
      <c r="I196" s="111">
        <f t="shared" si="28"/>
        <v>2220</v>
      </c>
      <c r="J196" s="112">
        <f t="shared" si="35"/>
        <v>15</v>
      </c>
      <c r="K196" s="123">
        <f>[2]!RcCMaC(C196/10,D196/10,E196,G196*10,H196*10, I196/10, J196,3)</f>
        <v>180.00000498545322</v>
      </c>
      <c r="L196" s="47">
        <f>[2]!RcCMaC(C196/10,D196/10,E196,G196*10,H196*10,I196/10,J196,4)</f>
        <v>57.939743400844101</v>
      </c>
      <c r="M196" s="48">
        <f>[2]!RcCMaC(C196/10,D196/10,E196,G196*10,H196*10, I196/10, J196,0)*10</f>
        <v>49.931949377059937</v>
      </c>
      <c r="N196" s="119">
        <v>236</v>
      </c>
      <c r="O196" s="120" t="str">
        <f t="shared" si="36"/>
        <v>NG</v>
      </c>
    </row>
    <row r="197" spans="3:15" x14ac:dyDescent="0.15">
      <c r="C197" s="52">
        <f t="shared" si="29"/>
        <v>500</v>
      </c>
      <c r="D197" s="35">
        <f t="shared" si="30"/>
        <v>190</v>
      </c>
      <c r="E197" s="28" t="str">
        <f t="shared" si="31"/>
        <v>6-D19</v>
      </c>
      <c r="F197" s="112">
        <f t="shared" si="32"/>
        <v>1721.9999313354492</v>
      </c>
      <c r="G197" s="112">
        <f t="shared" si="33"/>
        <v>14</v>
      </c>
      <c r="H197" s="112">
        <f t="shared" si="34"/>
        <v>345</v>
      </c>
      <c r="I197" s="111">
        <f t="shared" si="28"/>
        <v>2240</v>
      </c>
      <c r="J197" s="112">
        <f t="shared" si="35"/>
        <v>15</v>
      </c>
      <c r="K197" s="123">
        <f>[2]!RcCMaC(C197/10,D197/10,E197,G197*10,H197*10, I197/10, J197,3)</f>
        <v>180.00000498545322</v>
      </c>
      <c r="L197" s="47">
        <f>[2]!RcCMaC(C197/10,D197/10,E197,G197*10,H197*10,I197/10,J197,4)</f>
        <v>57.939743400844101</v>
      </c>
      <c r="M197" s="48">
        <f>[2]!RcCMaC(C197/10,D197/10,E197,G197*10,H197*10, I197/10, J197,0)*10</f>
        <v>48.810544610023499</v>
      </c>
      <c r="N197" s="119">
        <v>237</v>
      </c>
      <c r="O197" s="120" t="str">
        <f t="shared" si="36"/>
        <v>NG</v>
      </c>
    </row>
    <row r="198" spans="3:15" x14ac:dyDescent="0.15">
      <c r="C198" s="52">
        <f t="shared" si="29"/>
        <v>500</v>
      </c>
      <c r="D198" s="35">
        <f t="shared" si="30"/>
        <v>190</v>
      </c>
      <c r="E198" s="28" t="str">
        <f t="shared" si="31"/>
        <v>6-D19</v>
      </c>
      <c r="F198" s="112">
        <f t="shared" si="32"/>
        <v>1721.9999313354492</v>
      </c>
      <c r="G198" s="112">
        <f t="shared" si="33"/>
        <v>14</v>
      </c>
      <c r="H198" s="112">
        <f t="shared" si="34"/>
        <v>345</v>
      </c>
      <c r="I198" s="111">
        <f t="shared" si="28"/>
        <v>2260</v>
      </c>
      <c r="J198" s="112">
        <f t="shared" si="35"/>
        <v>15</v>
      </c>
      <c r="K198" s="123">
        <f>[2]!RcCMaC(C198/10,D198/10,E198,G198*10,H198*10, I198/10, J198,3)</f>
        <v>180.00000498545322</v>
      </c>
      <c r="L198" s="47">
        <f>[2]!RcCMaC(C198/10,D198/10,E198,G198*10,H198*10,I198/10,J198,4)</f>
        <v>57.939743400844101</v>
      </c>
      <c r="M198" s="48">
        <f>[2]!RcCMaC(C198/10,D198/10,E198,G198*10,H198*10, I198/10, J198,0)*10</f>
        <v>47.68911600112915</v>
      </c>
      <c r="N198" s="119">
        <v>238</v>
      </c>
      <c r="O198" s="120" t="str">
        <f t="shared" si="36"/>
        <v>NG</v>
      </c>
    </row>
    <row r="199" spans="3:15" x14ac:dyDescent="0.15">
      <c r="C199" s="52">
        <f t="shared" si="29"/>
        <v>500</v>
      </c>
      <c r="D199" s="35">
        <f t="shared" si="30"/>
        <v>190</v>
      </c>
      <c r="E199" s="28" t="str">
        <f t="shared" si="31"/>
        <v>6-D19</v>
      </c>
      <c r="F199" s="112">
        <f t="shared" si="32"/>
        <v>1721.9999313354492</v>
      </c>
      <c r="G199" s="112">
        <f t="shared" si="33"/>
        <v>14</v>
      </c>
      <c r="H199" s="112">
        <f t="shared" si="34"/>
        <v>345</v>
      </c>
      <c r="I199" s="111">
        <f t="shared" ref="I199:I262" si="37">+I198+20</f>
        <v>2280</v>
      </c>
      <c r="J199" s="112">
        <f t="shared" si="35"/>
        <v>15</v>
      </c>
      <c r="K199" s="123">
        <f>[2]!RcCMaC(C199/10,D199/10,E199,G199*10,H199*10, I199/10, J199,3)</f>
        <v>180.00000498545322</v>
      </c>
      <c r="L199" s="47">
        <f>[2]!RcCMaC(C199/10,D199/10,E199,G199*10,H199*10,I199/10,J199,4)</f>
        <v>57.939743400844101</v>
      </c>
      <c r="M199" s="48">
        <f>[2]!RcCMaC(C199/10,D199/10,E199,G199*10,H199*10, I199/10, J199,0)*10</f>
        <v>46.567690372467041</v>
      </c>
      <c r="N199" s="119">
        <v>239</v>
      </c>
      <c r="O199" s="120" t="str">
        <f t="shared" si="36"/>
        <v>NG</v>
      </c>
    </row>
    <row r="200" spans="3:15" x14ac:dyDescent="0.15">
      <c r="C200" s="52">
        <f t="shared" si="29"/>
        <v>500</v>
      </c>
      <c r="D200" s="35">
        <f t="shared" si="30"/>
        <v>190</v>
      </c>
      <c r="E200" s="28" t="str">
        <f t="shared" si="31"/>
        <v>6-D19</v>
      </c>
      <c r="F200" s="112">
        <f t="shared" si="32"/>
        <v>1721.9999313354492</v>
      </c>
      <c r="G200" s="112">
        <f t="shared" si="33"/>
        <v>14</v>
      </c>
      <c r="H200" s="112">
        <f t="shared" si="34"/>
        <v>345</v>
      </c>
      <c r="I200" s="111">
        <f t="shared" si="37"/>
        <v>2300</v>
      </c>
      <c r="J200" s="112">
        <f t="shared" si="35"/>
        <v>15</v>
      </c>
      <c r="K200" s="123">
        <f>[2]!RcCMaC(C200/10,D200/10,E200,G200*10,H200*10, I200/10, J200,3)</f>
        <v>180.00000498545322</v>
      </c>
      <c r="L200" s="47">
        <f>[2]!RcCMaC(C200/10,D200/10,E200,G200*10,H200*10,I200/10,J200,4)</f>
        <v>57.939743400844101</v>
      </c>
      <c r="M200" s="48">
        <f>[2]!RcCMaC(C200/10,D200/10,E200,G200*10,H200*10, I200/10, J200,0)*10</f>
        <v>45.446288585662842</v>
      </c>
      <c r="N200" s="119">
        <v>240</v>
      </c>
      <c r="O200" s="120" t="str">
        <f t="shared" si="36"/>
        <v>NG</v>
      </c>
    </row>
    <row r="201" spans="3:15" x14ac:dyDescent="0.15">
      <c r="C201" s="52">
        <f t="shared" si="29"/>
        <v>500</v>
      </c>
      <c r="D201" s="35">
        <f t="shared" si="30"/>
        <v>190</v>
      </c>
      <c r="E201" s="28" t="str">
        <f t="shared" si="31"/>
        <v>6-D19</v>
      </c>
      <c r="F201" s="112">
        <f t="shared" si="32"/>
        <v>1721.9999313354492</v>
      </c>
      <c r="G201" s="112">
        <f t="shared" si="33"/>
        <v>14</v>
      </c>
      <c r="H201" s="112">
        <f t="shared" si="34"/>
        <v>345</v>
      </c>
      <c r="I201" s="111">
        <f t="shared" si="37"/>
        <v>2320</v>
      </c>
      <c r="J201" s="112">
        <f t="shared" si="35"/>
        <v>15</v>
      </c>
      <c r="K201" s="123">
        <f>[2]!RcCMaC(C201/10,D201/10,E201,G201*10,H201*10, I201/10, J201,3)</f>
        <v>180.00000498545322</v>
      </c>
      <c r="L201" s="47">
        <f>[2]!RcCMaC(C201/10,D201/10,E201,G201*10,H201*10,I201/10,J201,4)</f>
        <v>57.939743400844101</v>
      </c>
      <c r="M201" s="48">
        <f>[2]!RcCMaC(C201/10,D201/10,E201,G201*10,H201*10, I201/10, J201,0)*10</f>
        <v>44.324851036071777</v>
      </c>
      <c r="N201" s="119">
        <v>241</v>
      </c>
      <c r="O201" s="120" t="str">
        <f t="shared" si="36"/>
        <v>NG</v>
      </c>
    </row>
    <row r="202" spans="3:15" x14ac:dyDescent="0.15">
      <c r="C202" s="52">
        <f t="shared" si="29"/>
        <v>500</v>
      </c>
      <c r="D202" s="35">
        <f t="shared" si="30"/>
        <v>190</v>
      </c>
      <c r="E202" s="28" t="str">
        <f t="shared" si="31"/>
        <v>6-D19</v>
      </c>
      <c r="F202" s="112">
        <f t="shared" si="32"/>
        <v>1721.9999313354492</v>
      </c>
      <c r="G202" s="112">
        <f t="shared" si="33"/>
        <v>14</v>
      </c>
      <c r="H202" s="112">
        <f t="shared" si="34"/>
        <v>345</v>
      </c>
      <c r="I202" s="111">
        <f t="shared" si="37"/>
        <v>2340</v>
      </c>
      <c r="J202" s="112">
        <f t="shared" si="35"/>
        <v>15</v>
      </c>
      <c r="K202" s="123">
        <f>[2]!RcCMaC(C202/10,D202/10,E202,G202*10,H202*10, I202/10, J202,3)</f>
        <v>180.00000498545322</v>
      </c>
      <c r="L202" s="47">
        <f>[2]!RcCMaC(C202/10,D202/10,E202,G202*10,H202*10,I202/10,J202,4)</f>
        <v>57.939743400844101</v>
      </c>
      <c r="M202" s="48">
        <f>[2]!RcCMaC(C202/10,D202/10,E202,G202*10,H202*10, I202/10, J202,0)*10</f>
        <v>43.203446269035339</v>
      </c>
      <c r="N202" s="119">
        <v>242</v>
      </c>
      <c r="O202" s="120" t="str">
        <f t="shared" si="36"/>
        <v>NG</v>
      </c>
    </row>
    <row r="203" spans="3:15" x14ac:dyDescent="0.15">
      <c r="C203" s="52">
        <f t="shared" si="29"/>
        <v>500</v>
      </c>
      <c r="D203" s="35">
        <f t="shared" si="30"/>
        <v>190</v>
      </c>
      <c r="E203" s="28" t="str">
        <f t="shared" si="31"/>
        <v>6-D19</v>
      </c>
      <c r="F203" s="112">
        <f t="shared" si="32"/>
        <v>1721.9999313354492</v>
      </c>
      <c r="G203" s="112">
        <f t="shared" si="33"/>
        <v>14</v>
      </c>
      <c r="H203" s="112">
        <f t="shared" si="34"/>
        <v>345</v>
      </c>
      <c r="I203" s="111">
        <f t="shared" si="37"/>
        <v>2360</v>
      </c>
      <c r="J203" s="112">
        <f t="shared" si="35"/>
        <v>15</v>
      </c>
      <c r="K203" s="123">
        <f>[2]!RcCMaC(C203/10,D203/10,E203,G203*10,H203*10, I203/10, J203,3)</f>
        <v>180.00000498545322</v>
      </c>
      <c r="L203" s="47">
        <f>[2]!RcCMaC(C203/10,D203/10,E203,G203*10,H203*10,I203/10,J203,4)</f>
        <v>57.939743400844101</v>
      </c>
      <c r="M203" s="48">
        <f>[2]!RcCMaC(C203/10,D203/10,E203,G203*10,H203*10, I203/10, J203,0)*10</f>
        <v>42.082011699676514</v>
      </c>
      <c r="N203" s="119">
        <v>243</v>
      </c>
      <c r="O203" s="120" t="str">
        <f t="shared" si="36"/>
        <v>NG</v>
      </c>
    </row>
    <row r="204" spans="3:15" x14ac:dyDescent="0.15">
      <c r="C204" s="52">
        <f t="shared" si="29"/>
        <v>500</v>
      </c>
      <c r="D204" s="35">
        <f t="shared" si="30"/>
        <v>190</v>
      </c>
      <c r="E204" s="28" t="str">
        <f t="shared" si="31"/>
        <v>6-D19</v>
      </c>
      <c r="F204" s="112">
        <f t="shared" si="32"/>
        <v>1721.9999313354492</v>
      </c>
      <c r="G204" s="112">
        <f t="shared" si="33"/>
        <v>14</v>
      </c>
      <c r="H204" s="112">
        <f t="shared" si="34"/>
        <v>345</v>
      </c>
      <c r="I204" s="111">
        <f t="shared" si="37"/>
        <v>2380</v>
      </c>
      <c r="J204" s="112">
        <f t="shared" si="35"/>
        <v>15</v>
      </c>
      <c r="K204" s="123">
        <f>[2]!RcCMaC(C204/10,D204/10,E204,G204*10,H204*10, I204/10, J204,3)</f>
        <v>180.00000498545322</v>
      </c>
      <c r="L204" s="47">
        <f>[2]!RcCMaC(C204/10,D204/10,E204,G204*10,H204*10,I204/10,J204,4)</f>
        <v>57.939743400844101</v>
      </c>
      <c r="M204" s="48">
        <f>[2]!RcCMaC(C204/10,D204/10,E204,G204*10,H204*10, I204/10, J204,0)*10</f>
        <v>40.960583090782166</v>
      </c>
      <c r="N204" s="119">
        <v>244</v>
      </c>
      <c r="O204" s="120" t="str">
        <f t="shared" si="36"/>
        <v>NG</v>
      </c>
    </row>
    <row r="205" spans="3:15" x14ac:dyDescent="0.15">
      <c r="C205" s="52">
        <f t="shared" si="29"/>
        <v>500</v>
      </c>
      <c r="D205" s="35">
        <f t="shared" si="30"/>
        <v>190</v>
      </c>
      <c r="E205" s="28" t="str">
        <f t="shared" si="31"/>
        <v>6-D19</v>
      </c>
      <c r="F205" s="112">
        <f t="shared" si="32"/>
        <v>1721.9999313354492</v>
      </c>
      <c r="G205" s="112">
        <f t="shared" si="33"/>
        <v>14</v>
      </c>
      <c r="H205" s="112">
        <f t="shared" si="34"/>
        <v>345</v>
      </c>
      <c r="I205" s="111">
        <f t="shared" si="37"/>
        <v>2400</v>
      </c>
      <c r="J205" s="112">
        <f t="shared" si="35"/>
        <v>15</v>
      </c>
      <c r="K205" s="123">
        <f>[2]!RcCMaC(C205/10,D205/10,E205,G205*10,H205*10, I205/10, J205,3)</f>
        <v>180.00000498545322</v>
      </c>
      <c r="L205" s="47">
        <f>[2]!RcCMaC(C205/10,D205/10,E205,G205*10,H205*10,I205/10,J205,4)</f>
        <v>57.939743400844101</v>
      </c>
      <c r="M205" s="48">
        <f>[2]!RcCMaC(C205/10,D205/10,E205,G205*10,H205*10, I205/10, J205,0)*10</f>
        <v>39.839211106300354</v>
      </c>
      <c r="N205" s="119">
        <v>245</v>
      </c>
      <c r="O205" s="120" t="str">
        <f t="shared" si="36"/>
        <v>NG</v>
      </c>
    </row>
    <row r="206" spans="3:15" x14ac:dyDescent="0.15">
      <c r="C206" s="52">
        <f t="shared" si="29"/>
        <v>500</v>
      </c>
      <c r="D206" s="35">
        <f t="shared" si="30"/>
        <v>190</v>
      </c>
      <c r="E206" s="28" t="str">
        <f t="shared" si="31"/>
        <v>6-D19</v>
      </c>
      <c r="F206" s="112">
        <f t="shared" si="32"/>
        <v>1721.9999313354492</v>
      </c>
      <c r="G206" s="112">
        <f t="shared" si="33"/>
        <v>14</v>
      </c>
      <c r="H206" s="112">
        <f t="shared" si="34"/>
        <v>345</v>
      </c>
      <c r="I206" s="111">
        <f t="shared" si="37"/>
        <v>2420</v>
      </c>
      <c r="J206" s="112">
        <f t="shared" si="35"/>
        <v>15</v>
      </c>
      <c r="K206" s="123">
        <f>[2]!RcCMaC(C206/10,D206/10,E206,G206*10,H206*10, I206/10, J206,3)</f>
        <v>180.00000498545322</v>
      </c>
      <c r="L206" s="47">
        <f>[2]!RcCMaC(C206/10,D206/10,E206,G206*10,H206*10,I206/10,J206,4)</f>
        <v>57.939743400844101</v>
      </c>
      <c r="M206" s="48">
        <f>[2]!RcCMaC(C206/10,D206/10,E206,G206*10,H206*10, I206/10, J206,0)*10</f>
        <v>38.717734813690186</v>
      </c>
      <c r="N206" s="119">
        <v>246</v>
      </c>
      <c r="O206" s="120" t="str">
        <f t="shared" si="36"/>
        <v>NG</v>
      </c>
    </row>
    <row r="207" spans="3:15" x14ac:dyDescent="0.15">
      <c r="C207" s="52">
        <f t="shared" si="29"/>
        <v>500</v>
      </c>
      <c r="D207" s="35">
        <f t="shared" si="30"/>
        <v>190</v>
      </c>
      <c r="E207" s="28" t="str">
        <f t="shared" si="31"/>
        <v>6-D19</v>
      </c>
      <c r="F207" s="112">
        <f t="shared" si="32"/>
        <v>1721.9999313354492</v>
      </c>
      <c r="G207" s="112">
        <f t="shared" si="33"/>
        <v>14</v>
      </c>
      <c r="H207" s="112">
        <f t="shared" si="34"/>
        <v>345</v>
      </c>
      <c r="I207" s="111">
        <f t="shared" si="37"/>
        <v>2440</v>
      </c>
      <c r="J207" s="112">
        <f t="shared" si="35"/>
        <v>15</v>
      </c>
      <c r="K207" s="123">
        <f>[2]!RcCMaC(C207/10,D207/10,E207,G207*10,H207*10, I207/10, J207,3)</f>
        <v>180.00000498545322</v>
      </c>
      <c r="L207" s="47">
        <f>[2]!RcCMaC(C207/10,D207/10,E207,G207*10,H207*10,I207/10,J207,4)</f>
        <v>57.939743400844101</v>
      </c>
      <c r="M207" s="48">
        <f>[2]!RcCMaC(C207/10,D207/10,E207,G207*10,H207*10, I207/10, J207,0)*10</f>
        <v>37.596338987350464</v>
      </c>
      <c r="N207" s="119">
        <v>247</v>
      </c>
      <c r="O207" s="120" t="str">
        <f t="shared" si="36"/>
        <v>NG</v>
      </c>
    </row>
    <row r="208" spans="3:15" x14ac:dyDescent="0.15">
      <c r="C208" s="52">
        <f t="shared" si="29"/>
        <v>500</v>
      </c>
      <c r="D208" s="35">
        <f t="shared" si="30"/>
        <v>190</v>
      </c>
      <c r="E208" s="28" t="str">
        <f t="shared" si="31"/>
        <v>6-D19</v>
      </c>
      <c r="F208" s="112">
        <f t="shared" si="32"/>
        <v>1721.9999313354492</v>
      </c>
      <c r="G208" s="112">
        <f t="shared" si="33"/>
        <v>14</v>
      </c>
      <c r="H208" s="112">
        <f t="shared" si="34"/>
        <v>345</v>
      </c>
      <c r="I208" s="111">
        <f t="shared" si="37"/>
        <v>2460</v>
      </c>
      <c r="J208" s="112">
        <f t="shared" si="35"/>
        <v>15</v>
      </c>
      <c r="K208" s="123">
        <f>[2]!RcCMaC(C208/10,D208/10,E208,G208*10,H208*10, I208/10, J208,3)</f>
        <v>180.00000498545322</v>
      </c>
      <c r="L208" s="47">
        <f>[2]!RcCMaC(C208/10,D208/10,E208,G208*10,H208*10,I208/10,J208,4)</f>
        <v>57.939743400844101</v>
      </c>
      <c r="M208" s="48">
        <f>[2]!RcCMaC(C208/10,D208/10,E208,G208*10,H208*10, I208/10, J208,0)*10</f>
        <v>36.474904417991638</v>
      </c>
      <c r="N208" s="119">
        <v>248</v>
      </c>
      <c r="O208" s="120" t="str">
        <f t="shared" si="36"/>
        <v>NG</v>
      </c>
    </row>
    <row r="209" spans="3:15" x14ac:dyDescent="0.15">
      <c r="C209" s="52">
        <f t="shared" si="29"/>
        <v>500</v>
      </c>
      <c r="D209" s="35">
        <f t="shared" si="30"/>
        <v>190</v>
      </c>
      <c r="E209" s="28" t="str">
        <f t="shared" si="31"/>
        <v>6-D19</v>
      </c>
      <c r="F209" s="112">
        <f t="shared" si="32"/>
        <v>1721.9999313354492</v>
      </c>
      <c r="G209" s="112">
        <f t="shared" si="33"/>
        <v>14</v>
      </c>
      <c r="H209" s="112">
        <f t="shared" si="34"/>
        <v>345</v>
      </c>
      <c r="I209" s="111">
        <f t="shared" si="37"/>
        <v>2480</v>
      </c>
      <c r="J209" s="112">
        <f t="shared" si="35"/>
        <v>15</v>
      </c>
      <c r="K209" s="123">
        <f>[2]!RcCMaC(C209/10,D209/10,E209,G209*10,H209*10, I209/10, J209,3)</f>
        <v>180.00000498545322</v>
      </c>
      <c r="L209" s="47">
        <f>[2]!RcCMaC(C209/10,D209/10,E209,G209*10,H209*10,I209/10,J209,4)</f>
        <v>57.939743400844101</v>
      </c>
      <c r="M209" s="48">
        <f>[2]!RcCMaC(C209/10,D209/10,E209,G209*10,H209*10, I209/10, J209,0)*10</f>
        <v>35.353508591651917</v>
      </c>
      <c r="N209" s="119">
        <v>249</v>
      </c>
      <c r="O209" s="120" t="str">
        <f t="shared" si="36"/>
        <v>NG</v>
      </c>
    </row>
    <row r="210" spans="3:15" x14ac:dyDescent="0.15">
      <c r="C210" s="52">
        <f t="shared" si="29"/>
        <v>500</v>
      </c>
      <c r="D210" s="35">
        <f t="shared" si="30"/>
        <v>190</v>
      </c>
      <c r="E210" s="28" t="str">
        <f t="shared" si="31"/>
        <v>6-D19</v>
      </c>
      <c r="F210" s="112">
        <f t="shared" si="32"/>
        <v>1721.9999313354492</v>
      </c>
      <c r="G210" s="112">
        <f t="shared" si="33"/>
        <v>14</v>
      </c>
      <c r="H210" s="112">
        <f t="shared" si="34"/>
        <v>345</v>
      </c>
      <c r="I210" s="111">
        <f t="shared" si="37"/>
        <v>2500</v>
      </c>
      <c r="J210" s="112">
        <f t="shared" si="35"/>
        <v>15</v>
      </c>
      <c r="K210" s="123">
        <f>[2]!RcCMaC(C210/10,D210/10,E210,G210*10,H210*10, I210/10, J210,3)</f>
        <v>180.00000498545322</v>
      </c>
      <c r="L210" s="47">
        <f>[2]!RcCMaC(C210/10,D210/10,E210,G210*10,H210*10,I210/10,J210,4)</f>
        <v>57.939743400844101</v>
      </c>
      <c r="M210" s="48">
        <f>[2]!RcCMaC(C210/10,D210/10,E210,G210*10,H210*10, I210/10, J210,0)*10</f>
        <v>34.232074022293091</v>
      </c>
      <c r="N210" s="119">
        <v>250</v>
      </c>
      <c r="O210" s="120" t="str">
        <f t="shared" si="36"/>
        <v>NG</v>
      </c>
    </row>
    <row r="211" spans="3:15" x14ac:dyDescent="0.15">
      <c r="C211" s="52">
        <f t="shared" si="29"/>
        <v>500</v>
      </c>
      <c r="D211" s="35">
        <f t="shared" si="30"/>
        <v>190</v>
      </c>
      <c r="E211" s="28" t="str">
        <f t="shared" si="31"/>
        <v>6-D19</v>
      </c>
      <c r="F211" s="112">
        <f t="shared" si="32"/>
        <v>1721.9999313354492</v>
      </c>
      <c r="G211" s="112">
        <f t="shared" si="33"/>
        <v>14</v>
      </c>
      <c r="H211" s="112">
        <f t="shared" si="34"/>
        <v>345</v>
      </c>
      <c r="I211" s="111">
        <f t="shared" si="37"/>
        <v>2520</v>
      </c>
      <c r="J211" s="112">
        <f t="shared" si="35"/>
        <v>15</v>
      </c>
      <c r="K211" s="123">
        <f>[2]!RcCMaC(C211/10,D211/10,E211,G211*10,H211*10, I211/10, J211,3)</f>
        <v>180.00000498545322</v>
      </c>
      <c r="L211" s="47">
        <f>[2]!RcCMaC(C211/10,D211/10,E211,G211*10,H211*10,I211/10,J211,4)</f>
        <v>57.939743400844101</v>
      </c>
      <c r="M211" s="48">
        <f>[2]!RcCMaC(C211/10,D211/10,E211,G211*10,H211*10, I211/10, J211,0)*10</f>
        <v>33.110690116882324</v>
      </c>
      <c r="N211" s="119">
        <v>251</v>
      </c>
      <c r="O211" s="120" t="str">
        <f t="shared" si="36"/>
        <v>NG</v>
      </c>
    </row>
    <row r="212" spans="3:15" x14ac:dyDescent="0.15">
      <c r="C212" s="52">
        <f t="shared" si="29"/>
        <v>500</v>
      </c>
      <c r="D212" s="35">
        <f t="shared" si="30"/>
        <v>190</v>
      </c>
      <c r="E212" s="28" t="str">
        <f t="shared" si="31"/>
        <v>6-D19</v>
      </c>
      <c r="F212" s="112">
        <f t="shared" si="32"/>
        <v>1721.9999313354492</v>
      </c>
      <c r="G212" s="112">
        <f t="shared" si="33"/>
        <v>14</v>
      </c>
      <c r="H212" s="112">
        <f t="shared" si="34"/>
        <v>345</v>
      </c>
      <c r="I212" s="111">
        <f t="shared" si="37"/>
        <v>2540</v>
      </c>
      <c r="J212" s="112">
        <f t="shared" si="35"/>
        <v>15</v>
      </c>
      <c r="K212" s="123">
        <f>[2]!RcCMaC(C212/10,D212/10,E212,G212*10,H212*10, I212/10, J212,3)</f>
        <v>180.00000498545322</v>
      </c>
      <c r="L212" s="47">
        <f>[2]!RcCMaC(C212/10,D212/10,E212,G212*10,H212*10,I212/10,J212,4)</f>
        <v>57.939743400844101</v>
      </c>
      <c r="M212" s="48">
        <f>[2]!RcCMaC(C212/10,D212/10,E212,G212*10,H212*10, I212/10, J212,0)*10</f>
        <v>31.989273428916931</v>
      </c>
      <c r="N212" s="119">
        <v>252</v>
      </c>
      <c r="O212" s="120" t="str">
        <f t="shared" si="36"/>
        <v>NG</v>
      </c>
    </row>
    <row r="213" spans="3:15" x14ac:dyDescent="0.15">
      <c r="C213" s="52">
        <f t="shared" si="29"/>
        <v>500</v>
      </c>
      <c r="D213" s="35">
        <f t="shared" si="30"/>
        <v>190</v>
      </c>
      <c r="E213" s="28" t="str">
        <f t="shared" si="31"/>
        <v>6-D19</v>
      </c>
      <c r="F213" s="112">
        <f t="shared" si="32"/>
        <v>1721.9999313354492</v>
      </c>
      <c r="G213" s="112">
        <f t="shared" si="33"/>
        <v>14</v>
      </c>
      <c r="H213" s="112">
        <f t="shared" si="34"/>
        <v>345</v>
      </c>
      <c r="I213" s="111">
        <f t="shared" si="37"/>
        <v>2560</v>
      </c>
      <c r="J213" s="112">
        <f t="shared" si="35"/>
        <v>15</v>
      </c>
      <c r="K213" s="123">
        <f>[2]!RcCMaC(C213/10,D213/10,E213,G213*10,H213*10, I213/10, J213,3)</f>
        <v>180.00000498545322</v>
      </c>
      <c r="L213" s="47">
        <f>[2]!RcCMaC(C213/10,D213/10,E213,G213*10,H213*10,I213/10,J213,4)</f>
        <v>57.939743400844101</v>
      </c>
      <c r="M213" s="48">
        <f>[2]!RcCMaC(C213/10,D213/10,E213,G213*10,H213*10, I213/10, J213,0)*10</f>
        <v>30.86782693862915</v>
      </c>
      <c r="N213" s="119">
        <v>253</v>
      </c>
      <c r="O213" s="120" t="str">
        <f t="shared" si="36"/>
        <v>NG</v>
      </c>
    </row>
    <row r="214" spans="3:15" x14ac:dyDescent="0.15">
      <c r="C214" s="52">
        <f t="shared" si="29"/>
        <v>500</v>
      </c>
      <c r="D214" s="35">
        <f t="shared" si="30"/>
        <v>190</v>
      </c>
      <c r="E214" s="28" t="str">
        <f t="shared" si="31"/>
        <v>6-D19</v>
      </c>
      <c r="F214" s="112">
        <f t="shared" si="32"/>
        <v>1721.9999313354492</v>
      </c>
      <c r="G214" s="112">
        <f t="shared" si="33"/>
        <v>14</v>
      </c>
      <c r="H214" s="112">
        <f t="shared" si="34"/>
        <v>345</v>
      </c>
      <c r="I214" s="111">
        <f t="shared" si="37"/>
        <v>2580</v>
      </c>
      <c r="J214" s="112">
        <f t="shared" si="35"/>
        <v>15</v>
      </c>
      <c r="K214" s="123">
        <f>[2]!RcCMaC(C214/10,D214/10,E214,G214*10,H214*10, I214/10, J214,3)</f>
        <v>180.00000498545322</v>
      </c>
      <c r="L214" s="47">
        <f>[2]!RcCMaC(C214/10,D214/10,E214,G214*10,H214*10,I214/10,J214,4)</f>
        <v>57.939743400844101</v>
      </c>
      <c r="M214" s="48">
        <f>[2]!RcCMaC(C214/10,D214/10,E214,G214*10,H214*10, I214/10, J214,0)*10</f>
        <v>29.746398329734802</v>
      </c>
      <c r="N214" s="119">
        <v>254</v>
      </c>
      <c r="O214" s="120" t="str">
        <f t="shared" si="36"/>
        <v>NG</v>
      </c>
    </row>
    <row r="215" spans="3:15" x14ac:dyDescent="0.15">
      <c r="C215" s="52">
        <f t="shared" si="29"/>
        <v>500</v>
      </c>
      <c r="D215" s="35">
        <f t="shared" si="30"/>
        <v>190</v>
      </c>
      <c r="E215" s="28" t="str">
        <f t="shared" si="31"/>
        <v>6-D19</v>
      </c>
      <c r="F215" s="112">
        <f t="shared" si="32"/>
        <v>1721.9999313354492</v>
      </c>
      <c r="G215" s="112">
        <f t="shared" si="33"/>
        <v>14</v>
      </c>
      <c r="H215" s="112">
        <f t="shared" si="34"/>
        <v>345</v>
      </c>
      <c r="I215" s="111">
        <f t="shared" si="37"/>
        <v>2600</v>
      </c>
      <c r="J215" s="112">
        <f t="shared" si="35"/>
        <v>15</v>
      </c>
      <c r="K215" s="123">
        <f>[2]!RcCMaC(C215/10,D215/10,E215,G215*10,H215*10, I215/10, J215,3)</f>
        <v>180.00000498545322</v>
      </c>
      <c r="L215" s="47">
        <f>[2]!RcCMaC(C215/10,D215/10,E215,G215*10,H215*10,I215/10,J215,4)</f>
        <v>57.939743400844101</v>
      </c>
      <c r="M215" s="48">
        <f>[2]!RcCMaC(C215/10,D215/10,E215,G215*10,H215*10, I215/10, J215,0)*10</f>
        <v>28.624996542930603</v>
      </c>
      <c r="N215" s="119">
        <v>255</v>
      </c>
      <c r="O215" s="120" t="str">
        <f t="shared" si="36"/>
        <v>NG</v>
      </c>
    </row>
    <row r="216" spans="3:15" x14ac:dyDescent="0.15">
      <c r="C216" s="52">
        <f t="shared" si="29"/>
        <v>500</v>
      </c>
      <c r="D216" s="35">
        <f t="shared" si="30"/>
        <v>190</v>
      </c>
      <c r="E216" s="28" t="str">
        <f t="shared" si="31"/>
        <v>6-D19</v>
      </c>
      <c r="F216" s="112">
        <f t="shared" si="32"/>
        <v>1721.9999313354492</v>
      </c>
      <c r="G216" s="112">
        <f t="shared" si="33"/>
        <v>14</v>
      </c>
      <c r="H216" s="112">
        <f t="shared" si="34"/>
        <v>345</v>
      </c>
      <c r="I216" s="111">
        <f t="shared" si="37"/>
        <v>2620</v>
      </c>
      <c r="J216" s="112">
        <f t="shared" si="35"/>
        <v>15</v>
      </c>
      <c r="K216" s="123">
        <f>[2]!RcCMaC(C216/10,D216/10,E216,G216*10,H216*10, I216/10, J216,3)</f>
        <v>180.00000498545322</v>
      </c>
      <c r="L216" s="47">
        <f>[2]!RcCMaC(C216/10,D216/10,E216,G216*10,H216*10,I216/10,J216,4)</f>
        <v>57.939743400844101</v>
      </c>
      <c r="M216" s="48">
        <f>[2]!RcCMaC(C216/10,D216/10,E216,G216*10,H216*10, I216/10, J216,0)*10</f>
        <v>27.503558993339539</v>
      </c>
      <c r="N216" s="119">
        <v>256</v>
      </c>
      <c r="O216" s="120" t="str">
        <f t="shared" si="36"/>
        <v>NG</v>
      </c>
    </row>
    <row r="217" spans="3:15" x14ac:dyDescent="0.15">
      <c r="C217" s="52">
        <f t="shared" si="29"/>
        <v>500</v>
      </c>
      <c r="D217" s="35">
        <f t="shared" si="30"/>
        <v>190</v>
      </c>
      <c r="E217" s="28" t="str">
        <f t="shared" si="31"/>
        <v>6-D19</v>
      </c>
      <c r="F217" s="112">
        <f t="shared" si="32"/>
        <v>1721.9999313354492</v>
      </c>
      <c r="G217" s="112">
        <f t="shared" si="33"/>
        <v>14</v>
      </c>
      <c r="H217" s="112">
        <f t="shared" si="34"/>
        <v>345</v>
      </c>
      <c r="I217" s="111">
        <f t="shared" si="37"/>
        <v>2640</v>
      </c>
      <c r="J217" s="112">
        <f t="shared" si="35"/>
        <v>15</v>
      </c>
      <c r="K217" s="123">
        <f>[2]!RcCMaC(C217/10,D217/10,E217,G217*10,H217*10, I217/10, J217,3)</f>
        <v>180.00000498545322</v>
      </c>
      <c r="L217" s="47">
        <f>[2]!RcCMaC(C217/10,D217/10,E217,G217*10,H217*10,I217/10,J217,4)</f>
        <v>57.939743400844101</v>
      </c>
      <c r="M217" s="48">
        <f>[2]!RcCMaC(C217/10,D217/10,E217,G217*10,H217*10, I217/10, J217,0)*10</f>
        <v>26.382166147232056</v>
      </c>
      <c r="N217" s="119">
        <v>257</v>
      </c>
      <c r="O217" s="120" t="str">
        <f t="shared" si="36"/>
        <v>NG</v>
      </c>
    </row>
    <row r="218" spans="3:15" x14ac:dyDescent="0.15">
      <c r="C218" s="52">
        <f t="shared" ref="C218:C281" si="38">+C217</f>
        <v>500</v>
      </c>
      <c r="D218" s="35">
        <f t="shared" ref="D218:D281" si="39">+D217</f>
        <v>190</v>
      </c>
      <c r="E218" s="28" t="str">
        <f t="shared" ref="E218:E281" si="40">+E217</f>
        <v>6-D19</v>
      </c>
      <c r="F218" s="112">
        <f t="shared" ref="F218:F281" si="41">+F217</f>
        <v>1721.9999313354492</v>
      </c>
      <c r="G218" s="112">
        <f t="shared" ref="G218:G281" si="42">+G217</f>
        <v>14</v>
      </c>
      <c r="H218" s="112">
        <f t="shared" ref="H218:H281" si="43">+H217</f>
        <v>345</v>
      </c>
      <c r="I218" s="111">
        <f t="shared" si="37"/>
        <v>2660</v>
      </c>
      <c r="J218" s="112">
        <f t="shared" ref="J218:J281" si="44">+J217</f>
        <v>15</v>
      </c>
      <c r="K218" s="123">
        <f>[2]!RcCMaC(C218/10,D218/10,E218,G218*10,H218*10, I218/10, J218,3)</f>
        <v>180.00000498545322</v>
      </c>
      <c r="L218" s="47">
        <f>[2]!RcCMaC(C218/10,D218/10,E218,G218*10,H218*10,I218/10,J218,4)</f>
        <v>57.939743400844101</v>
      </c>
      <c r="M218" s="48">
        <f>[2]!RcCMaC(C218/10,D218/10,E218,G218*10,H218*10, I218/10, J218,0)*10</f>
        <v>25.260716676712036</v>
      </c>
      <c r="N218" s="119">
        <v>258</v>
      </c>
      <c r="O218" s="120" t="str">
        <f t="shared" ref="O218:O281" si="45">IF(M218&gt;N218,"OK","NG")</f>
        <v>NG</v>
      </c>
    </row>
    <row r="219" spans="3:15" x14ac:dyDescent="0.15">
      <c r="C219" s="52">
        <f t="shared" si="38"/>
        <v>500</v>
      </c>
      <c r="D219" s="35">
        <f t="shared" si="39"/>
        <v>190</v>
      </c>
      <c r="E219" s="28" t="str">
        <f t="shared" si="40"/>
        <v>6-D19</v>
      </c>
      <c r="F219" s="112">
        <f t="shared" si="41"/>
        <v>1721.9999313354492</v>
      </c>
      <c r="G219" s="112">
        <f t="shared" si="42"/>
        <v>14</v>
      </c>
      <c r="H219" s="112">
        <f t="shared" si="43"/>
        <v>345</v>
      </c>
      <c r="I219" s="111">
        <f t="shared" si="37"/>
        <v>2680</v>
      </c>
      <c r="J219" s="112">
        <f t="shared" si="44"/>
        <v>15</v>
      </c>
      <c r="K219" s="123">
        <f>[2]!RcCMaC(C219/10,D219/10,E219,G219*10,H219*10, I219/10, J219,3)</f>
        <v>180.00000498545322</v>
      </c>
      <c r="L219" s="47">
        <f>[2]!RcCMaC(C219/10,D219/10,E219,G219*10,H219*10,I219/10,J219,4)</f>
        <v>57.939743400844101</v>
      </c>
      <c r="M219" s="48">
        <f>[2]!RcCMaC(C219/10,D219/10,E219,G219*10,H219*10, I219/10, J219,0)*10</f>
        <v>24.139316380023956</v>
      </c>
      <c r="N219" s="119">
        <v>259</v>
      </c>
      <c r="O219" s="120" t="str">
        <f t="shared" si="45"/>
        <v>NG</v>
      </c>
    </row>
    <row r="220" spans="3:15" x14ac:dyDescent="0.15">
      <c r="C220" s="52">
        <f t="shared" si="38"/>
        <v>500</v>
      </c>
      <c r="D220" s="35">
        <f t="shared" si="39"/>
        <v>190</v>
      </c>
      <c r="E220" s="28" t="str">
        <f t="shared" si="40"/>
        <v>6-D19</v>
      </c>
      <c r="F220" s="112">
        <f t="shared" si="41"/>
        <v>1721.9999313354492</v>
      </c>
      <c r="G220" s="112">
        <f t="shared" si="42"/>
        <v>14</v>
      </c>
      <c r="H220" s="112">
        <f t="shared" si="43"/>
        <v>345</v>
      </c>
      <c r="I220" s="111">
        <f t="shared" si="37"/>
        <v>2700</v>
      </c>
      <c r="J220" s="112">
        <f t="shared" si="44"/>
        <v>15</v>
      </c>
      <c r="K220" s="123">
        <f>[2]!RcCMaC(C220/10,D220/10,E220,G220*10,H220*10, I220/10, J220,3)</f>
        <v>180.00000498545322</v>
      </c>
      <c r="L220" s="47">
        <f>[2]!RcCMaC(C220/10,D220/10,E220,G220*10,H220*10,I220/10,J220,4)</f>
        <v>57.939743400844101</v>
      </c>
      <c r="M220" s="48">
        <f>[2]!RcCMaC(C220/10,D220/10,E220,G220*10,H220*10, I220/10, J220,0)*10</f>
        <v>23.017899692058563</v>
      </c>
      <c r="N220" s="119">
        <v>260</v>
      </c>
      <c r="O220" s="120" t="str">
        <f t="shared" si="45"/>
        <v>NG</v>
      </c>
    </row>
    <row r="221" spans="3:15" x14ac:dyDescent="0.15">
      <c r="C221" s="52">
        <f t="shared" si="38"/>
        <v>500</v>
      </c>
      <c r="D221" s="35">
        <f t="shared" si="39"/>
        <v>190</v>
      </c>
      <c r="E221" s="28" t="str">
        <f t="shared" si="40"/>
        <v>6-D19</v>
      </c>
      <c r="F221" s="112">
        <f t="shared" si="41"/>
        <v>1721.9999313354492</v>
      </c>
      <c r="G221" s="112">
        <f t="shared" si="42"/>
        <v>14</v>
      </c>
      <c r="H221" s="112">
        <f t="shared" si="43"/>
        <v>345</v>
      </c>
      <c r="I221" s="111">
        <f t="shared" si="37"/>
        <v>2720</v>
      </c>
      <c r="J221" s="112">
        <f t="shared" si="44"/>
        <v>15</v>
      </c>
      <c r="K221" s="123">
        <f>[2]!RcCMaC(C221/10,D221/10,E221,G221*10,H221*10, I221/10, J221,3)</f>
        <v>180.00000498545322</v>
      </c>
      <c r="L221" s="47">
        <f>[2]!RcCMaC(C221/10,D221/10,E221,G221*10,H221*10,I221/10,J221,4)</f>
        <v>57.939743400844101</v>
      </c>
      <c r="M221" s="48">
        <f>[2]!RcCMaC(C221/10,D221/10,E221,G221*10,H221*10, I221/10, J221,0)*10</f>
        <v>21.896463632583618</v>
      </c>
      <c r="N221" s="119">
        <v>261</v>
      </c>
      <c r="O221" s="120" t="str">
        <f t="shared" si="45"/>
        <v>NG</v>
      </c>
    </row>
    <row r="222" spans="3:15" x14ac:dyDescent="0.15">
      <c r="C222" s="52">
        <f t="shared" si="38"/>
        <v>500</v>
      </c>
      <c r="D222" s="35">
        <f t="shared" si="39"/>
        <v>190</v>
      </c>
      <c r="E222" s="28" t="str">
        <f t="shared" si="40"/>
        <v>6-D19</v>
      </c>
      <c r="F222" s="112">
        <f t="shared" si="41"/>
        <v>1721.9999313354492</v>
      </c>
      <c r="G222" s="112">
        <f t="shared" si="42"/>
        <v>14</v>
      </c>
      <c r="H222" s="112">
        <f t="shared" si="43"/>
        <v>345</v>
      </c>
      <c r="I222" s="111">
        <f t="shared" si="37"/>
        <v>2740</v>
      </c>
      <c r="J222" s="112">
        <f t="shared" si="44"/>
        <v>15</v>
      </c>
      <c r="K222" s="123">
        <f>[2]!RcCMaC(C222/10,D222/10,E222,G222*10,H222*10, I222/10, J222,3)</f>
        <v>180.00000498545322</v>
      </c>
      <c r="L222" s="47">
        <f>[2]!RcCMaC(C222/10,D222/10,E222,G222*10,H222*10,I222/10,J222,4)</f>
        <v>57.939743400844101</v>
      </c>
      <c r="M222" s="48">
        <f>[2]!RcCMaC(C222/10,D222/10,E222,G222*10,H222*10, I222/10, J222,0)*10</f>
        <v>20.775030553340912</v>
      </c>
      <c r="N222" s="119">
        <v>262</v>
      </c>
      <c r="O222" s="120" t="str">
        <f t="shared" si="45"/>
        <v>NG</v>
      </c>
    </row>
    <row r="223" spans="3:15" x14ac:dyDescent="0.15">
      <c r="C223" s="52">
        <f t="shared" si="38"/>
        <v>500</v>
      </c>
      <c r="D223" s="35">
        <f t="shared" si="39"/>
        <v>190</v>
      </c>
      <c r="E223" s="28" t="str">
        <f t="shared" si="40"/>
        <v>6-D19</v>
      </c>
      <c r="F223" s="112">
        <f t="shared" si="41"/>
        <v>1721.9999313354492</v>
      </c>
      <c r="G223" s="112">
        <f t="shared" si="42"/>
        <v>14</v>
      </c>
      <c r="H223" s="112">
        <f t="shared" si="43"/>
        <v>345</v>
      </c>
      <c r="I223" s="111">
        <f t="shared" si="37"/>
        <v>2760</v>
      </c>
      <c r="J223" s="112">
        <f t="shared" si="44"/>
        <v>15</v>
      </c>
      <c r="K223" s="123">
        <f>[2]!RcCMaC(C223/10,D223/10,E223,G223*10,H223*10, I223/10, J223,3)</f>
        <v>180.00000498545322</v>
      </c>
      <c r="L223" s="47">
        <f>[2]!RcCMaC(C223/10,D223/10,E223,G223*10,H223*10,I223/10,J223,4)</f>
        <v>57.939743400844101</v>
      </c>
      <c r="M223" s="48">
        <f>[2]!RcCMaC(C223/10,D223/10,E223,G223*10,H223*10, I223/10, J223,0)*10</f>
        <v>19.653664529323578</v>
      </c>
      <c r="N223" s="119">
        <v>263</v>
      </c>
      <c r="O223" s="120" t="str">
        <f t="shared" si="45"/>
        <v>NG</v>
      </c>
    </row>
    <row r="224" spans="3:15" x14ac:dyDescent="0.15">
      <c r="C224" s="52">
        <f t="shared" si="38"/>
        <v>500</v>
      </c>
      <c r="D224" s="35">
        <f t="shared" si="39"/>
        <v>190</v>
      </c>
      <c r="E224" s="28" t="str">
        <f t="shared" si="40"/>
        <v>6-D19</v>
      </c>
      <c r="F224" s="112">
        <f t="shared" si="41"/>
        <v>1721.9999313354492</v>
      </c>
      <c r="G224" s="112">
        <f t="shared" si="42"/>
        <v>14</v>
      </c>
      <c r="H224" s="112">
        <f t="shared" si="43"/>
        <v>345</v>
      </c>
      <c r="I224" s="111">
        <f t="shared" si="37"/>
        <v>2780</v>
      </c>
      <c r="J224" s="112">
        <f t="shared" si="44"/>
        <v>15</v>
      </c>
      <c r="K224" s="123">
        <f>[2]!RcCMaC(C224/10,D224/10,E224,G224*10,H224*10, I224/10, J224,3)</f>
        <v>180.00000498545322</v>
      </c>
      <c r="L224" s="47">
        <f>[2]!RcCMaC(C224/10,D224/10,E224,G224*10,H224*10,I224/10,J224,4)</f>
        <v>57.939743400844101</v>
      </c>
      <c r="M224" s="48">
        <f>[2]!RcCMaC(C224/10,D224/10,E224,G224*10,H224*10, I224/10, J224,0)*10</f>
        <v>18.532191216945648</v>
      </c>
      <c r="N224" s="119">
        <v>264</v>
      </c>
      <c r="O224" s="120" t="str">
        <f t="shared" si="45"/>
        <v>NG</v>
      </c>
    </row>
    <row r="225" spans="3:15" x14ac:dyDescent="0.15">
      <c r="C225" s="52">
        <f t="shared" si="38"/>
        <v>500</v>
      </c>
      <c r="D225" s="35">
        <f t="shared" si="39"/>
        <v>190</v>
      </c>
      <c r="E225" s="28" t="str">
        <f t="shared" si="40"/>
        <v>6-D19</v>
      </c>
      <c r="F225" s="112">
        <f t="shared" si="41"/>
        <v>1721.9999313354492</v>
      </c>
      <c r="G225" s="112">
        <f t="shared" si="42"/>
        <v>14</v>
      </c>
      <c r="H225" s="112">
        <f t="shared" si="43"/>
        <v>345</v>
      </c>
      <c r="I225" s="111">
        <f t="shared" si="37"/>
        <v>2800</v>
      </c>
      <c r="J225" s="112">
        <f t="shared" si="44"/>
        <v>15</v>
      </c>
      <c r="K225" s="123">
        <f>[2]!RcCMaC(C225/10,D225/10,E225,G225*10,H225*10, I225/10, J225,3)</f>
        <v>180.00000498545322</v>
      </c>
      <c r="L225" s="47">
        <f>[2]!RcCMaC(C225/10,D225/10,E225,G225*10,H225*10,I225/10,J225,4)</f>
        <v>57.939743400844101</v>
      </c>
      <c r="M225" s="48">
        <f>[2]!RcCMaC(C225/10,D225/10,E225,G225*10,H225*10, I225/10, J225,0)*10</f>
        <v>17.41081029176712</v>
      </c>
      <c r="N225" s="119">
        <v>265</v>
      </c>
      <c r="O225" s="120" t="str">
        <f t="shared" si="45"/>
        <v>NG</v>
      </c>
    </row>
    <row r="226" spans="3:15" x14ac:dyDescent="0.15">
      <c r="C226" s="52">
        <f t="shared" si="38"/>
        <v>500</v>
      </c>
      <c r="D226" s="35">
        <f t="shared" si="39"/>
        <v>190</v>
      </c>
      <c r="E226" s="28" t="str">
        <f t="shared" si="40"/>
        <v>6-D19</v>
      </c>
      <c r="F226" s="112">
        <f t="shared" si="41"/>
        <v>1721.9999313354492</v>
      </c>
      <c r="G226" s="112">
        <f t="shared" si="42"/>
        <v>14</v>
      </c>
      <c r="H226" s="112">
        <f t="shared" si="43"/>
        <v>345</v>
      </c>
      <c r="I226" s="111">
        <f t="shared" si="37"/>
        <v>2820</v>
      </c>
      <c r="J226" s="112">
        <f t="shared" si="44"/>
        <v>15</v>
      </c>
      <c r="K226" s="123">
        <f>[2]!RcCMaC(C226/10,D226/10,E226,G226*10,H226*10, I226/10, J226,3)</f>
        <v>180.00000498545322</v>
      </c>
      <c r="L226" s="47">
        <f>[2]!RcCMaC(C226/10,D226/10,E226,G226*10,H226*10,I226/10,J226,4)</f>
        <v>57.939743400844101</v>
      </c>
      <c r="M226" s="48">
        <f>[2]!RcCMaC(C226/10,D226/10,E226,G226*10,H226*10, I226/10, J226,0)*10</f>
        <v>16.289344429969788</v>
      </c>
      <c r="N226" s="119">
        <v>266</v>
      </c>
      <c r="O226" s="120" t="str">
        <f t="shared" si="45"/>
        <v>NG</v>
      </c>
    </row>
    <row r="227" spans="3:15" x14ac:dyDescent="0.15">
      <c r="C227" s="52">
        <f t="shared" si="38"/>
        <v>500</v>
      </c>
      <c r="D227" s="35">
        <f t="shared" si="39"/>
        <v>190</v>
      </c>
      <c r="E227" s="28" t="str">
        <f t="shared" si="40"/>
        <v>6-D19</v>
      </c>
      <c r="F227" s="112">
        <f t="shared" si="41"/>
        <v>1721.9999313354492</v>
      </c>
      <c r="G227" s="112">
        <f t="shared" si="42"/>
        <v>14</v>
      </c>
      <c r="H227" s="112">
        <f t="shared" si="43"/>
        <v>345</v>
      </c>
      <c r="I227" s="111">
        <f t="shared" si="37"/>
        <v>2840</v>
      </c>
      <c r="J227" s="112">
        <f t="shared" si="44"/>
        <v>15</v>
      </c>
      <c r="K227" s="123">
        <f>[2]!RcCMaC(C227/10,D227/10,E227,G227*10,H227*10, I227/10, J227,3)</f>
        <v>180.00000498545322</v>
      </c>
      <c r="L227" s="47">
        <f>[2]!RcCMaC(C227/10,D227/10,E227,G227*10,H227*10,I227/10,J227,4)</f>
        <v>57.939743400844101</v>
      </c>
      <c r="M227" s="48">
        <f>[2]!RcCMaC(C227/10,D227/10,E227,G227*10,H227*10, I227/10, J227,0)*10</f>
        <v>15.167948603630066</v>
      </c>
      <c r="N227" s="119">
        <v>267</v>
      </c>
      <c r="O227" s="120" t="str">
        <f t="shared" si="45"/>
        <v>NG</v>
      </c>
    </row>
    <row r="228" spans="3:15" x14ac:dyDescent="0.15">
      <c r="C228" s="52">
        <f t="shared" si="38"/>
        <v>500</v>
      </c>
      <c r="D228" s="35">
        <f t="shared" si="39"/>
        <v>190</v>
      </c>
      <c r="E228" s="28" t="str">
        <f t="shared" si="40"/>
        <v>6-D19</v>
      </c>
      <c r="F228" s="112">
        <f t="shared" si="41"/>
        <v>1721.9999313354492</v>
      </c>
      <c r="G228" s="112">
        <f t="shared" si="42"/>
        <v>14</v>
      </c>
      <c r="H228" s="112">
        <f t="shared" si="43"/>
        <v>345</v>
      </c>
      <c r="I228" s="111">
        <f t="shared" si="37"/>
        <v>2860</v>
      </c>
      <c r="J228" s="112">
        <f t="shared" si="44"/>
        <v>15</v>
      </c>
      <c r="K228" s="123">
        <f>[2]!RcCMaC(C228/10,D228/10,E228,G228*10,H228*10, I228/10, J228,3)</f>
        <v>180.00000498545322</v>
      </c>
      <c r="L228" s="47">
        <f>[2]!RcCMaC(C228/10,D228/10,E228,G228*10,H228*10,I228/10,J228,4)</f>
        <v>57.939743400844101</v>
      </c>
      <c r="M228" s="48">
        <f>[2]!RcCMaC(C228/10,D228/10,E228,G228*10,H228*10, I228/10, J228,0)*10</f>
        <v>14.046551287174225</v>
      </c>
      <c r="N228" s="119">
        <v>268</v>
      </c>
      <c r="O228" s="120" t="str">
        <f t="shared" si="45"/>
        <v>NG</v>
      </c>
    </row>
    <row r="229" spans="3:15" x14ac:dyDescent="0.15">
      <c r="C229" s="52">
        <f t="shared" si="38"/>
        <v>500</v>
      </c>
      <c r="D229" s="35">
        <f t="shared" si="39"/>
        <v>190</v>
      </c>
      <c r="E229" s="28" t="str">
        <f t="shared" si="40"/>
        <v>6-D19</v>
      </c>
      <c r="F229" s="112">
        <f t="shared" si="41"/>
        <v>1721.9999313354492</v>
      </c>
      <c r="G229" s="112">
        <f t="shared" si="42"/>
        <v>14</v>
      </c>
      <c r="H229" s="112">
        <f t="shared" si="43"/>
        <v>345</v>
      </c>
      <c r="I229" s="111">
        <f t="shared" si="37"/>
        <v>2880</v>
      </c>
      <c r="J229" s="112">
        <f t="shared" si="44"/>
        <v>15</v>
      </c>
      <c r="K229" s="123">
        <f>[2]!RcCMaC(C229/10,D229/10,E229,G229*10,H229*10, I229/10, J229,3)</f>
        <v>180.00000498545322</v>
      </c>
      <c r="L229" s="47">
        <f>[2]!RcCMaC(C229/10,D229/10,E229,G229*10,H229*10,I229/10,J229,4)</f>
        <v>57.939743400844101</v>
      </c>
      <c r="M229" s="48">
        <f>[2]!RcCMaC(C229/10,D229/10,E229,G229*10,H229*10, I229/10, J229,0)*10</f>
        <v>12.925122678279877</v>
      </c>
      <c r="N229" s="119">
        <v>269</v>
      </c>
      <c r="O229" s="120" t="str">
        <f t="shared" si="45"/>
        <v>NG</v>
      </c>
    </row>
    <row r="230" spans="3:15" x14ac:dyDescent="0.15">
      <c r="C230" s="52">
        <f t="shared" si="38"/>
        <v>500</v>
      </c>
      <c r="D230" s="35">
        <f t="shared" si="39"/>
        <v>190</v>
      </c>
      <c r="E230" s="28" t="str">
        <f t="shared" si="40"/>
        <v>6-D19</v>
      </c>
      <c r="F230" s="112">
        <f t="shared" si="41"/>
        <v>1721.9999313354492</v>
      </c>
      <c r="G230" s="112">
        <f t="shared" si="42"/>
        <v>14</v>
      </c>
      <c r="H230" s="112">
        <f t="shared" si="43"/>
        <v>345</v>
      </c>
      <c r="I230" s="111">
        <f t="shared" si="37"/>
        <v>2900</v>
      </c>
      <c r="J230" s="112">
        <f t="shared" si="44"/>
        <v>15</v>
      </c>
      <c r="K230" s="123">
        <f>[2]!RcCMaC(C230/10,D230/10,E230,G230*10,H230*10, I230/10, J230,3)</f>
        <v>180.00000498545322</v>
      </c>
      <c r="L230" s="47">
        <f>[2]!RcCMaC(C230/10,D230/10,E230,G230*10,H230*10,I230/10,J230,4)</f>
        <v>57.939743400844101</v>
      </c>
      <c r="M230" s="48">
        <f>[2]!RcCMaC(C230/10,D230/10,E230,G230*10,H230*10, I230/10, J230,0)*10</f>
        <v>11.803681403398514</v>
      </c>
      <c r="N230" s="119">
        <v>270</v>
      </c>
      <c r="O230" s="120" t="str">
        <f t="shared" si="45"/>
        <v>NG</v>
      </c>
    </row>
    <row r="231" spans="3:15" x14ac:dyDescent="0.15">
      <c r="C231" s="52">
        <f t="shared" si="38"/>
        <v>500</v>
      </c>
      <c r="D231" s="35">
        <f t="shared" si="39"/>
        <v>190</v>
      </c>
      <c r="E231" s="28" t="str">
        <f t="shared" si="40"/>
        <v>6-D19</v>
      </c>
      <c r="F231" s="112">
        <f t="shared" si="41"/>
        <v>1721.9999313354492</v>
      </c>
      <c r="G231" s="112">
        <f t="shared" si="42"/>
        <v>14</v>
      </c>
      <c r="H231" s="112">
        <f t="shared" si="43"/>
        <v>345</v>
      </c>
      <c r="I231" s="111">
        <f t="shared" si="37"/>
        <v>2920</v>
      </c>
      <c r="J231" s="112">
        <f t="shared" si="44"/>
        <v>15</v>
      </c>
      <c r="K231" s="123">
        <f>[2]!RcCMaC(C231/10,D231/10,E231,G231*10,H231*10, I231/10, J231,3)</f>
        <v>180.00000498545322</v>
      </c>
      <c r="L231" s="47">
        <f>[2]!RcCMaC(C231/10,D231/10,E231,G231*10,H231*10,I231/10,J231,4)</f>
        <v>57.939743400844101</v>
      </c>
      <c r="M231" s="48">
        <f>[2]!RcCMaC(C231/10,D231/10,E231,G231*10,H231*10, I231/10, J231,0)*10</f>
        <v>10.682293027639389</v>
      </c>
      <c r="N231" s="119">
        <v>271</v>
      </c>
      <c r="O231" s="120" t="str">
        <f t="shared" si="45"/>
        <v>NG</v>
      </c>
    </row>
    <row r="232" spans="3:15" x14ac:dyDescent="0.15">
      <c r="C232" s="52">
        <f t="shared" si="38"/>
        <v>500</v>
      </c>
      <c r="D232" s="35">
        <f t="shared" si="39"/>
        <v>190</v>
      </c>
      <c r="E232" s="28" t="str">
        <f t="shared" si="40"/>
        <v>6-D19</v>
      </c>
      <c r="F232" s="112">
        <f t="shared" si="41"/>
        <v>1721.9999313354492</v>
      </c>
      <c r="G232" s="112">
        <f t="shared" si="42"/>
        <v>14</v>
      </c>
      <c r="H232" s="112">
        <f t="shared" si="43"/>
        <v>345</v>
      </c>
      <c r="I232" s="111">
        <f t="shared" si="37"/>
        <v>2940</v>
      </c>
      <c r="J232" s="112">
        <f t="shared" si="44"/>
        <v>15</v>
      </c>
      <c r="K232" s="123">
        <f>[2]!RcCMaC(C232/10,D232/10,E232,G232*10,H232*10, I232/10, J232,3)</f>
        <v>180.00000498545322</v>
      </c>
      <c r="L232" s="47">
        <f>[2]!RcCMaC(C232/10,D232/10,E232,G232*10,H232*10,I232/10,J232,4)</f>
        <v>57.939743400844101</v>
      </c>
      <c r="M232" s="48">
        <f>[2]!RcCMaC(C232/10,D232/10,E232,G232*10,H232*10, I232/10, J232,0)*10</f>
        <v>9.5608346164226532</v>
      </c>
      <c r="N232" s="119">
        <v>272</v>
      </c>
      <c r="O232" s="120" t="str">
        <f t="shared" si="45"/>
        <v>NG</v>
      </c>
    </row>
    <row r="233" spans="3:15" x14ac:dyDescent="0.15">
      <c r="C233" s="52">
        <f t="shared" si="38"/>
        <v>500</v>
      </c>
      <c r="D233" s="35">
        <f t="shared" si="39"/>
        <v>190</v>
      </c>
      <c r="E233" s="28" t="str">
        <f t="shared" si="40"/>
        <v>6-D19</v>
      </c>
      <c r="F233" s="112">
        <f t="shared" si="41"/>
        <v>1721.9999313354492</v>
      </c>
      <c r="G233" s="112">
        <f t="shared" si="42"/>
        <v>14</v>
      </c>
      <c r="H233" s="112">
        <f t="shared" si="43"/>
        <v>345</v>
      </c>
      <c r="I233" s="111">
        <f t="shared" si="37"/>
        <v>2960</v>
      </c>
      <c r="J233" s="112">
        <f t="shared" si="44"/>
        <v>15</v>
      </c>
      <c r="K233" s="123">
        <f>[2]!RcCMaC(C233/10,D233/10,E233,G233*10,H233*10, I233/10, J233,3)</f>
        <v>180.00000498545322</v>
      </c>
      <c r="L233" s="47">
        <f>[2]!RcCMaC(C233/10,D233/10,E233,G233*10,H233*10,I233/10,J233,4)</f>
        <v>57.939743400844101</v>
      </c>
      <c r="M233" s="48">
        <f>[2]!RcCMaC(C233/10,D233/10,E233,G233*10,H233*10, I233/10, J233,0)*10</f>
        <v>8.4394067525863647</v>
      </c>
      <c r="N233" s="119">
        <v>273</v>
      </c>
      <c r="O233" s="120" t="str">
        <f t="shared" si="45"/>
        <v>NG</v>
      </c>
    </row>
    <row r="234" spans="3:15" x14ac:dyDescent="0.15">
      <c r="C234" s="52">
        <f t="shared" si="38"/>
        <v>500</v>
      </c>
      <c r="D234" s="35">
        <f t="shared" si="39"/>
        <v>190</v>
      </c>
      <c r="E234" s="28" t="str">
        <f t="shared" si="40"/>
        <v>6-D19</v>
      </c>
      <c r="F234" s="112">
        <f t="shared" si="41"/>
        <v>1721.9999313354492</v>
      </c>
      <c r="G234" s="112">
        <f t="shared" si="42"/>
        <v>14</v>
      </c>
      <c r="H234" s="112">
        <f t="shared" si="43"/>
        <v>345</v>
      </c>
      <c r="I234" s="111">
        <f t="shared" si="37"/>
        <v>2980</v>
      </c>
      <c r="J234" s="112">
        <f t="shared" si="44"/>
        <v>15</v>
      </c>
      <c r="K234" s="123">
        <f>[2]!RcCMaC(C234/10,D234/10,E234,G234*10,H234*10, I234/10, J234,3)</f>
        <v>180.00000498545322</v>
      </c>
      <c r="L234" s="47">
        <f>[2]!RcCMaC(C234/10,D234/10,E234,G234*10,H234*10,I234/10,J234,4)</f>
        <v>57.939743400844101</v>
      </c>
      <c r="M234" s="48">
        <f>[2]!RcCMaC(C234/10,D234/10,E234,G234*10,H234*10, I234/10, J234,0)*10</f>
        <v>7.3180519044399261</v>
      </c>
      <c r="N234" s="119">
        <v>274</v>
      </c>
      <c r="O234" s="120" t="str">
        <f t="shared" si="45"/>
        <v>NG</v>
      </c>
    </row>
    <row r="235" spans="3:15" x14ac:dyDescent="0.15">
      <c r="C235" s="52">
        <f t="shared" si="38"/>
        <v>500</v>
      </c>
      <c r="D235" s="35">
        <f t="shared" si="39"/>
        <v>190</v>
      </c>
      <c r="E235" s="28" t="str">
        <f t="shared" si="40"/>
        <v>6-D19</v>
      </c>
      <c r="F235" s="112">
        <f t="shared" si="41"/>
        <v>1721.9999313354492</v>
      </c>
      <c r="G235" s="112">
        <f t="shared" si="42"/>
        <v>14</v>
      </c>
      <c r="H235" s="112">
        <f t="shared" si="43"/>
        <v>345</v>
      </c>
      <c r="I235" s="111">
        <f t="shared" si="37"/>
        <v>3000</v>
      </c>
      <c r="J235" s="112">
        <f t="shared" si="44"/>
        <v>15</v>
      </c>
      <c r="K235" s="123">
        <f>[2]!RcCMaC(C235/10,D235/10,E235,G235*10,H235*10, I235/10, J235,3)</f>
        <v>180.00000498545322</v>
      </c>
      <c r="L235" s="47">
        <f>[2]!RcCMaC(C235/10,D235/10,E235,G235*10,H235*10,I235/10,J235,4)</f>
        <v>57.939743400844101</v>
      </c>
      <c r="M235" s="48">
        <f>[2]!RcCMaC(C235/10,D235/10,E235,G235*10,H235*10, I235/10, J235,0)*10</f>
        <v>6.1965815722942352</v>
      </c>
      <c r="N235" s="119">
        <v>275</v>
      </c>
      <c r="O235" s="120" t="str">
        <f t="shared" si="45"/>
        <v>NG</v>
      </c>
    </row>
    <row r="236" spans="3:15" x14ac:dyDescent="0.15">
      <c r="C236" s="52">
        <f t="shared" si="38"/>
        <v>500</v>
      </c>
      <c r="D236" s="35">
        <f t="shared" si="39"/>
        <v>190</v>
      </c>
      <c r="E236" s="28" t="str">
        <f t="shared" si="40"/>
        <v>6-D19</v>
      </c>
      <c r="F236" s="112">
        <f t="shared" si="41"/>
        <v>1721.9999313354492</v>
      </c>
      <c r="G236" s="112">
        <f t="shared" si="42"/>
        <v>14</v>
      </c>
      <c r="H236" s="112">
        <f t="shared" si="43"/>
        <v>345</v>
      </c>
      <c r="I236" s="111">
        <f t="shared" si="37"/>
        <v>3020</v>
      </c>
      <c r="J236" s="112">
        <f t="shared" si="44"/>
        <v>15</v>
      </c>
      <c r="K236" s="123">
        <f>[2]!RcCMaC(C236/10,D236/10,E236,G236*10,H236*10, I236/10, J236,3)</f>
        <v>180.00000498545322</v>
      </c>
      <c r="L236" s="47">
        <f>[2]!RcCMaC(C236/10,D236/10,E236,G236*10,H236*10,I236/10,J236,4)</f>
        <v>57.939743400844101</v>
      </c>
      <c r="M236" s="48">
        <f>[2]!RcCMaC(C236/10,D236/10,E236,G236*10,H236*10, I236/10, J236,0)*10</f>
        <v>5.0751384347677231</v>
      </c>
      <c r="N236" s="119">
        <v>276</v>
      </c>
      <c r="O236" s="120" t="str">
        <f t="shared" si="45"/>
        <v>NG</v>
      </c>
    </row>
    <row r="237" spans="3:15" x14ac:dyDescent="0.15">
      <c r="C237" s="52">
        <f t="shared" si="38"/>
        <v>500</v>
      </c>
      <c r="D237" s="35">
        <f t="shared" si="39"/>
        <v>190</v>
      </c>
      <c r="E237" s="28" t="str">
        <f t="shared" si="40"/>
        <v>6-D19</v>
      </c>
      <c r="F237" s="112">
        <f t="shared" si="41"/>
        <v>1721.9999313354492</v>
      </c>
      <c r="G237" s="112">
        <f t="shared" si="42"/>
        <v>14</v>
      </c>
      <c r="H237" s="112">
        <f t="shared" si="43"/>
        <v>345</v>
      </c>
      <c r="I237" s="111">
        <f t="shared" si="37"/>
        <v>3040</v>
      </c>
      <c r="J237" s="112">
        <f t="shared" si="44"/>
        <v>15</v>
      </c>
      <c r="K237" s="123">
        <f>[2]!RcCMaC(C237/10,D237/10,E237,G237*10,H237*10, I237/10, J237,3)</f>
        <v>180.00000498545322</v>
      </c>
      <c r="L237" s="47">
        <f>[2]!RcCMaC(C237/10,D237/10,E237,G237*10,H237*10,I237/10,J237,4)</f>
        <v>57.939743400844101</v>
      </c>
      <c r="M237" s="48">
        <f>[2]!RcCMaC(C237/10,D237/10,E237,G237*10,H237*10, I237/10, J237,0)*10</f>
        <v>3.9537344127893448</v>
      </c>
      <c r="N237" s="119">
        <v>277</v>
      </c>
      <c r="O237" s="120" t="str">
        <f t="shared" si="45"/>
        <v>NG</v>
      </c>
    </row>
    <row r="238" spans="3:15" x14ac:dyDescent="0.15">
      <c r="C238" s="52">
        <f t="shared" si="38"/>
        <v>500</v>
      </c>
      <c r="D238" s="35">
        <f t="shared" si="39"/>
        <v>190</v>
      </c>
      <c r="E238" s="28" t="str">
        <f t="shared" si="40"/>
        <v>6-D19</v>
      </c>
      <c r="F238" s="112">
        <f t="shared" si="41"/>
        <v>1721.9999313354492</v>
      </c>
      <c r="G238" s="112">
        <f t="shared" si="42"/>
        <v>14</v>
      </c>
      <c r="H238" s="112">
        <f t="shared" si="43"/>
        <v>345</v>
      </c>
      <c r="I238" s="111">
        <f t="shared" si="37"/>
        <v>3060</v>
      </c>
      <c r="J238" s="112">
        <f t="shared" si="44"/>
        <v>15</v>
      </c>
      <c r="K238" s="123">
        <f>[2]!RcCMaC(C238/10,D238/10,E238,G238*10,H238*10, I238/10, J238,3)</f>
        <v>180.00000498545322</v>
      </c>
      <c r="L238" s="47">
        <f>[2]!RcCMaC(C238/10,D238/10,E238,G238*10,H238*10,I238/10,J238,4)</f>
        <v>57.939743400844101</v>
      </c>
      <c r="M238" s="48">
        <f>[2]!RcCMaC(C238/10,D238/10,E238,G238*10,H238*10, I238/10, J238,0)*10</f>
        <v>2.8323309496045113</v>
      </c>
      <c r="N238" s="119">
        <v>278</v>
      </c>
      <c r="O238" s="120" t="str">
        <f t="shared" si="45"/>
        <v>NG</v>
      </c>
    </row>
    <row r="239" spans="3:15" x14ac:dyDescent="0.15">
      <c r="C239" s="52">
        <f t="shared" si="38"/>
        <v>500</v>
      </c>
      <c r="D239" s="35">
        <f t="shared" si="39"/>
        <v>190</v>
      </c>
      <c r="E239" s="28" t="str">
        <f t="shared" si="40"/>
        <v>6-D19</v>
      </c>
      <c r="F239" s="112">
        <f t="shared" si="41"/>
        <v>1721.9999313354492</v>
      </c>
      <c r="G239" s="112">
        <f t="shared" si="42"/>
        <v>14</v>
      </c>
      <c r="H239" s="112">
        <f t="shared" si="43"/>
        <v>345</v>
      </c>
      <c r="I239" s="111">
        <f t="shared" si="37"/>
        <v>3080</v>
      </c>
      <c r="J239" s="112">
        <f t="shared" si="44"/>
        <v>15</v>
      </c>
      <c r="K239" s="123">
        <f>[2]!RcCMaC(C239/10,D239/10,E239,G239*10,H239*10, I239/10, J239,3)</f>
        <v>180.00000498545322</v>
      </c>
      <c r="L239" s="47">
        <f>[2]!RcCMaC(C239/10,D239/10,E239,G239*10,H239*10,I239/10,J239,4)</f>
        <v>57.939743400844101</v>
      </c>
      <c r="M239" s="48">
        <f>[2]!RcCMaC(C239/10,D239/10,E239,G239*10,H239*10, I239/10, J239,0)*10</f>
        <v>1.7109040170907974</v>
      </c>
      <c r="N239" s="119">
        <v>279</v>
      </c>
      <c r="O239" s="120" t="str">
        <f t="shared" si="45"/>
        <v>NG</v>
      </c>
    </row>
    <row r="240" spans="3:15" x14ac:dyDescent="0.15">
      <c r="C240" s="52">
        <f t="shared" si="38"/>
        <v>500</v>
      </c>
      <c r="D240" s="35">
        <f t="shared" si="39"/>
        <v>190</v>
      </c>
      <c r="E240" s="28" t="str">
        <f t="shared" si="40"/>
        <v>6-D19</v>
      </c>
      <c r="F240" s="112">
        <f t="shared" si="41"/>
        <v>1721.9999313354492</v>
      </c>
      <c r="G240" s="112">
        <f t="shared" si="42"/>
        <v>14</v>
      </c>
      <c r="H240" s="112">
        <f t="shared" si="43"/>
        <v>345</v>
      </c>
      <c r="I240" s="111">
        <f t="shared" si="37"/>
        <v>3100</v>
      </c>
      <c r="J240" s="112">
        <f t="shared" si="44"/>
        <v>15</v>
      </c>
      <c r="K240" s="123">
        <f>[2]!RcCMaC(C240/10,D240/10,E240,G240*10,H240*10, I240/10, J240,3)</f>
        <v>180.00000498545322</v>
      </c>
      <c r="L240" s="47">
        <f>[2]!RcCMaC(C240/10,D240/10,E240,G240*10,H240*10,I240/10,J240,4)</f>
        <v>57.939743400844101</v>
      </c>
      <c r="M240" s="48">
        <f>[2]!RcCMaC(C240/10,D240/10,E240,G240*10,H240*10, I240/10, J240,0)*10</f>
        <v>0.58948085643351078</v>
      </c>
      <c r="N240" s="119">
        <v>280</v>
      </c>
      <c r="O240" s="120" t="str">
        <f t="shared" si="45"/>
        <v>NG</v>
      </c>
    </row>
    <row r="241" spans="3:15" x14ac:dyDescent="0.15">
      <c r="C241" s="52">
        <f t="shared" si="38"/>
        <v>500</v>
      </c>
      <c r="D241" s="35">
        <f t="shared" si="39"/>
        <v>190</v>
      </c>
      <c r="E241" s="28" t="str">
        <f t="shared" si="40"/>
        <v>6-D19</v>
      </c>
      <c r="F241" s="112">
        <f t="shared" si="41"/>
        <v>1721.9999313354492</v>
      </c>
      <c r="G241" s="112">
        <f t="shared" si="42"/>
        <v>14</v>
      </c>
      <c r="H241" s="112">
        <f t="shared" si="43"/>
        <v>345</v>
      </c>
      <c r="I241" s="111">
        <f t="shared" si="37"/>
        <v>3120</v>
      </c>
      <c r="J241" s="112">
        <f t="shared" si="44"/>
        <v>15</v>
      </c>
      <c r="K241" s="123">
        <f>[2]!RcCMaC(C241/10,D241/10,E241,G241*10,H241*10, I241/10, J241,3)</f>
        <v>180.00000498545322</v>
      </c>
      <c r="L241" s="47">
        <f>[2]!RcCMaC(C241/10,D241/10,E241,G241*10,H241*10,I241/10,J241,4)</f>
        <v>57.939743400844101</v>
      </c>
      <c r="M241" s="48">
        <f>[2]!RcCMaC(C241/10,D241/10,E241,G241*10,H241*10, I241/10, J241,0)*10</f>
        <v>0</v>
      </c>
      <c r="N241" s="119">
        <v>281</v>
      </c>
      <c r="O241" s="120" t="str">
        <f t="shared" si="45"/>
        <v>NG</v>
      </c>
    </row>
    <row r="242" spans="3:15" x14ac:dyDescent="0.15">
      <c r="C242" s="52">
        <f t="shared" si="38"/>
        <v>500</v>
      </c>
      <c r="D242" s="35">
        <f t="shared" si="39"/>
        <v>190</v>
      </c>
      <c r="E242" s="28" t="str">
        <f t="shared" si="40"/>
        <v>6-D19</v>
      </c>
      <c r="F242" s="112">
        <f t="shared" si="41"/>
        <v>1721.9999313354492</v>
      </c>
      <c r="G242" s="112">
        <f t="shared" si="42"/>
        <v>14</v>
      </c>
      <c r="H242" s="112">
        <f t="shared" si="43"/>
        <v>345</v>
      </c>
      <c r="I242" s="111">
        <f t="shared" si="37"/>
        <v>3140</v>
      </c>
      <c r="J242" s="112">
        <f t="shared" si="44"/>
        <v>15</v>
      </c>
      <c r="K242" s="123">
        <f>[2]!RcCMaC(C242/10,D242/10,E242,G242*10,H242*10, I242/10, J242,3)</f>
        <v>180.00000498545322</v>
      </c>
      <c r="L242" s="47">
        <f>[2]!RcCMaC(C242/10,D242/10,E242,G242*10,H242*10,I242/10,J242,4)</f>
        <v>57.939743400844101</v>
      </c>
      <c r="M242" s="48">
        <f>[2]!RcCMaC(C242/10,D242/10,E242,G242*10,H242*10, I242/10, J242,0)*10</f>
        <v>0</v>
      </c>
      <c r="N242" s="119">
        <v>282</v>
      </c>
      <c r="O242" s="120" t="str">
        <f t="shared" si="45"/>
        <v>NG</v>
      </c>
    </row>
    <row r="243" spans="3:15" x14ac:dyDescent="0.15">
      <c r="C243" s="52">
        <f t="shared" si="38"/>
        <v>500</v>
      </c>
      <c r="D243" s="35">
        <f t="shared" si="39"/>
        <v>190</v>
      </c>
      <c r="E243" s="28" t="str">
        <f t="shared" si="40"/>
        <v>6-D19</v>
      </c>
      <c r="F243" s="112">
        <f t="shared" si="41"/>
        <v>1721.9999313354492</v>
      </c>
      <c r="G243" s="112">
        <f t="shared" si="42"/>
        <v>14</v>
      </c>
      <c r="H243" s="112">
        <f t="shared" si="43"/>
        <v>345</v>
      </c>
      <c r="I243" s="111">
        <f t="shared" si="37"/>
        <v>3160</v>
      </c>
      <c r="J243" s="112">
        <f t="shared" si="44"/>
        <v>15</v>
      </c>
      <c r="K243" s="123">
        <f>[2]!RcCMaC(C243/10,D243/10,E243,G243*10,H243*10, I243/10, J243,3)</f>
        <v>180.00000498545322</v>
      </c>
      <c r="L243" s="47">
        <f>[2]!RcCMaC(C243/10,D243/10,E243,G243*10,H243*10,I243/10,J243,4)</f>
        <v>57.939743400844101</v>
      </c>
      <c r="M243" s="48">
        <f>[2]!RcCMaC(C243/10,D243/10,E243,G243*10,H243*10, I243/10, J243,0)*10</f>
        <v>0</v>
      </c>
      <c r="N243" s="119">
        <v>283</v>
      </c>
      <c r="O243" s="120" t="str">
        <f t="shared" si="45"/>
        <v>NG</v>
      </c>
    </row>
    <row r="244" spans="3:15" x14ac:dyDescent="0.15">
      <c r="C244" s="52">
        <f t="shared" si="38"/>
        <v>500</v>
      </c>
      <c r="D244" s="35">
        <f t="shared" si="39"/>
        <v>190</v>
      </c>
      <c r="E244" s="28" t="str">
        <f t="shared" si="40"/>
        <v>6-D19</v>
      </c>
      <c r="F244" s="112">
        <f t="shared" si="41"/>
        <v>1721.9999313354492</v>
      </c>
      <c r="G244" s="112">
        <f t="shared" si="42"/>
        <v>14</v>
      </c>
      <c r="H244" s="112">
        <f t="shared" si="43"/>
        <v>345</v>
      </c>
      <c r="I244" s="111">
        <f t="shared" si="37"/>
        <v>3180</v>
      </c>
      <c r="J244" s="112">
        <f t="shared" si="44"/>
        <v>15</v>
      </c>
      <c r="K244" s="123">
        <f>[2]!RcCMaC(C244/10,D244/10,E244,G244*10,H244*10, I244/10, J244,3)</f>
        <v>180.00000498545322</v>
      </c>
      <c r="L244" s="47">
        <f>[2]!RcCMaC(C244/10,D244/10,E244,G244*10,H244*10,I244/10,J244,4)</f>
        <v>57.939743400844101</v>
      </c>
      <c r="M244" s="48">
        <f>[2]!RcCMaC(C244/10,D244/10,E244,G244*10,H244*10, I244/10, J244,0)*10</f>
        <v>0</v>
      </c>
      <c r="N244" s="119">
        <v>284</v>
      </c>
      <c r="O244" s="120" t="str">
        <f t="shared" si="45"/>
        <v>NG</v>
      </c>
    </row>
    <row r="245" spans="3:15" x14ac:dyDescent="0.15">
      <c r="C245" s="52">
        <f t="shared" si="38"/>
        <v>500</v>
      </c>
      <c r="D245" s="35">
        <f t="shared" si="39"/>
        <v>190</v>
      </c>
      <c r="E245" s="28" t="str">
        <f t="shared" si="40"/>
        <v>6-D19</v>
      </c>
      <c r="F245" s="112">
        <f t="shared" si="41"/>
        <v>1721.9999313354492</v>
      </c>
      <c r="G245" s="112">
        <f t="shared" si="42"/>
        <v>14</v>
      </c>
      <c r="H245" s="112">
        <f t="shared" si="43"/>
        <v>345</v>
      </c>
      <c r="I245" s="111">
        <f t="shared" si="37"/>
        <v>3200</v>
      </c>
      <c r="J245" s="112">
        <f t="shared" si="44"/>
        <v>15</v>
      </c>
      <c r="K245" s="123">
        <f>[2]!RcCMaC(C245/10,D245/10,E245,G245*10,H245*10, I245/10, J245,3)</f>
        <v>180.00000498545322</v>
      </c>
      <c r="L245" s="47">
        <f>[2]!RcCMaC(C245/10,D245/10,E245,G245*10,H245*10,I245/10,J245,4)</f>
        <v>57.939743400844101</v>
      </c>
      <c r="M245" s="48">
        <f>[2]!RcCMaC(C245/10,D245/10,E245,G245*10,H245*10, I245/10, J245,0)*10</f>
        <v>0</v>
      </c>
      <c r="N245" s="119">
        <v>285</v>
      </c>
      <c r="O245" s="120" t="str">
        <f t="shared" si="45"/>
        <v>NG</v>
      </c>
    </row>
    <row r="246" spans="3:15" x14ac:dyDescent="0.15">
      <c r="C246" s="52">
        <f t="shared" si="38"/>
        <v>500</v>
      </c>
      <c r="D246" s="35">
        <f t="shared" si="39"/>
        <v>190</v>
      </c>
      <c r="E246" s="28" t="str">
        <f t="shared" si="40"/>
        <v>6-D19</v>
      </c>
      <c r="F246" s="112">
        <f t="shared" si="41"/>
        <v>1721.9999313354492</v>
      </c>
      <c r="G246" s="112">
        <f t="shared" si="42"/>
        <v>14</v>
      </c>
      <c r="H246" s="112">
        <f t="shared" si="43"/>
        <v>345</v>
      </c>
      <c r="I246" s="111">
        <f t="shared" si="37"/>
        <v>3220</v>
      </c>
      <c r="J246" s="112">
        <f t="shared" si="44"/>
        <v>15</v>
      </c>
      <c r="K246" s="123">
        <f>[2]!RcCMaC(C246/10,D246/10,E246,G246*10,H246*10, I246/10, J246,3)</f>
        <v>180.00000498545322</v>
      </c>
      <c r="L246" s="47">
        <f>[2]!RcCMaC(C246/10,D246/10,E246,G246*10,H246*10,I246/10,J246,4)</f>
        <v>57.939743400844101</v>
      </c>
      <c r="M246" s="48">
        <f>[2]!RcCMaC(C246/10,D246/10,E246,G246*10,H246*10, I246/10, J246,0)*10</f>
        <v>0</v>
      </c>
      <c r="N246" s="119">
        <v>286</v>
      </c>
      <c r="O246" s="120" t="str">
        <f t="shared" si="45"/>
        <v>NG</v>
      </c>
    </row>
    <row r="247" spans="3:15" x14ac:dyDescent="0.15">
      <c r="C247" s="52">
        <f t="shared" si="38"/>
        <v>500</v>
      </c>
      <c r="D247" s="35">
        <f t="shared" si="39"/>
        <v>190</v>
      </c>
      <c r="E247" s="28" t="str">
        <f t="shared" si="40"/>
        <v>6-D19</v>
      </c>
      <c r="F247" s="112">
        <f t="shared" si="41"/>
        <v>1721.9999313354492</v>
      </c>
      <c r="G247" s="112">
        <f t="shared" si="42"/>
        <v>14</v>
      </c>
      <c r="H247" s="112">
        <f t="shared" si="43"/>
        <v>345</v>
      </c>
      <c r="I247" s="111">
        <f t="shared" si="37"/>
        <v>3240</v>
      </c>
      <c r="J247" s="112">
        <f t="shared" si="44"/>
        <v>15</v>
      </c>
      <c r="K247" s="123">
        <f>[2]!RcCMaC(C247/10,D247/10,E247,G247*10,H247*10, I247/10, J247,3)</f>
        <v>180.00000498545322</v>
      </c>
      <c r="L247" s="47">
        <f>[2]!RcCMaC(C247/10,D247/10,E247,G247*10,H247*10,I247/10,J247,4)</f>
        <v>57.939743400844101</v>
      </c>
      <c r="M247" s="48">
        <f>[2]!RcCMaC(C247/10,D247/10,E247,G247*10,H247*10, I247/10, J247,0)*10</f>
        <v>0</v>
      </c>
      <c r="N247" s="119">
        <v>287</v>
      </c>
      <c r="O247" s="120" t="str">
        <f t="shared" si="45"/>
        <v>NG</v>
      </c>
    </row>
    <row r="248" spans="3:15" x14ac:dyDescent="0.15">
      <c r="C248" s="52">
        <f t="shared" si="38"/>
        <v>500</v>
      </c>
      <c r="D248" s="35">
        <f t="shared" si="39"/>
        <v>190</v>
      </c>
      <c r="E248" s="28" t="str">
        <f t="shared" si="40"/>
        <v>6-D19</v>
      </c>
      <c r="F248" s="112">
        <f t="shared" si="41"/>
        <v>1721.9999313354492</v>
      </c>
      <c r="G248" s="112">
        <f t="shared" si="42"/>
        <v>14</v>
      </c>
      <c r="H248" s="112">
        <f t="shared" si="43"/>
        <v>345</v>
      </c>
      <c r="I248" s="111">
        <f t="shared" si="37"/>
        <v>3260</v>
      </c>
      <c r="J248" s="112">
        <f t="shared" si="44"/>
        <v>15</v>
      </c>
      <c r="K248" s="123">
        <f>[2]!RcCMaC(C248/10,D248/10,E248,G248*10,H248*10, I248/10, J248,3)</f>
        <v>180.00000498545322</v>
      </c>
      <c r="L248" s="47">
        <f>[2]!RcCMaC(C248/10,D248/10,E248,G248*10,H248*10,I248/10,J248,4)</f>
        <v>57.939743400844101</v>
      </c>
      <c r="M248" s="48">
        <f>[2]!RcCMaC(C248/10,D248/10,E248,G248*10,H248*10, I248/10, J248,0)*10</f>
        <v>0</v>
      </c>
      <c r="N248" s="119">
        <v>288</v>
      </c>
      <c r="O248" s="120" t="str">
        <f t="shared" si="45"/>
        <v>NG</v>
      </c>
    </row>
    <row r="249" spans="3:15" x14ac:dyDescent="0.15">
      <c r="C249" s="52">
        <f t="shared" si="38"/>
        <v>500</v>
      </c>
      <c r="D249" s="35">
        <f t="shared" si="39"/>
        <v>190</v>
      </c>
      <c r="E249" s="28" t="str">
        <f t="shared" si="40"/>
        <v>6-D19</v>
      </c>
      <c r="F249" s="112">
        <f t="shared" si="41"/>
        <v>1721.9999313354492</v>
      </c>
      <c r="G249" s="112">
        <f t="shared" si="42"/>
        <v>14</v>
      </c>
      <c r="H249" s="112">
        <f t="shared" si="43"/>
        <v>345</v>
      </c>
      <c r="I249" s="111">
        <f t="shared" si="37"/>
        <v>3280</v>
      </c>
      <c r="J249" s="112">
        <f t="shared" si="44"/>
        <v>15</v>
      </c>
      <c r="K249" s="123">
        <f>[2]!RcCMaC(C249/10,D249/10,E249,G249*10,H249*10, I249/10, J249,3)</f>
        <v>180.00000498545322</v>
      </c>
      <c r="L249" s="47">
        <f>[2]!RcCMaC(C249/10,D249/10,E249,G249*10,H249*10,I249/10,J249,4)</f>
        <v>57.939743400844101</v>
      </c>
      <c r="M249" s="48">
        <f>[2]!RcCMaC(C249/10,D249/10,E249,G249*10,H249*10, I249/10, J249,0)*10</f>
        <v>0</v>
      </c>
      <c r="N249" s="119">
        <v>289</v>
      </c>
      <c r="O249" s="120" t="str">
        <f t="shared" si="45"/>
        <v>NG</v>
      </c>
    </row>
    <row r="250" spans="3:15" x14ac:dyDescent="0.15">
      <c r="C250" s="52">
        <f t="shared" si="38"/>
        <v>500</v>
      </c>
      <c r="D250" s="35">
        <f t="shared" si="39"/>
        <v>190</v>
      </c>
      <c r="E250" s="28" t="str">
        <f t="shared" si="40"/>
        <v>6-D19</v>
      </c>
      <c r="F250" s="112">
        <f t="shared" si="41"/>
        <v>1721.9999313354492</v>
      </c>
      <c r="G250" s="112">
        <f t="shared" si="42"/>
        <v>14</v>
      </c>
      <c r="H250" s="112">
        <f t="shared" si="43"/>
        <v>345</v>
      </c>
      <c r="I250" s="111">
        <f t="shared" si="37"/>
        <v>3300</v>
      </c>
      <c r="J250" s="112">
        <f t="shared" si="44"/>
        <v>15</v>
      </c>
      <c r="K250" s="123">
        <f>[2]!RcCMaC(C250/10,D250/10,E250,G250*10,H250*10, I250/10, J250,3)</f>
        <v>180.00000498545322</v>
      </c>
      <c r="L250" s="47">
        <f>[2]!RcCMaC(C250/10,D250/10,E250,G250*10,H250*10,I250/10,J250,4)</f>
        <v>57.939743400844101</v>
      </c>
      <c r="M250" s="48">
        <f>[2]!RcCMaC(C250/10,D250/10,E250,G250*10,H250*10, I250/10, J250,0)*10</f>
        <v>0</v>
      </c>
      <c r="N250" s="119">
        <v>290</v>
      </c>
      <c r="O250" s="120" t="str">
        <f t="shared" si="45"/>
        <v>NG</v>
      </c>
    </row>
    <row r="251" spans="3:15" x14ac:dyDescent="0.15">
      <c r="C251" s="52">
        <f t="shared" si="38"/>
        <v>500</v>
      </c>
      <c r="D251" s="35">
        <f t="shared" si="39"/>
        <v>190</v>
      </c>
      <c r="E251" s="28" t="str">
        <f t="shared" si="40"/>
        <v>6-D19</v>
      </c>
      <c r="F251" s="112">
        <f t="shared" si="41"/>
        <v>1721.9999313354492</v>
      </c>
      <c r="G251" s="112">
        <f t="shared" si="42"/>
        <v>14</v>
      </c>
      <c r="H251" s="112">
        <f t="shared" si="43"/>
        <v>345</v>
      </c>
      <c r="I251" s="111">
        <f t="shared" si="37"/>
        <v>3320</v>
      </c>
      <c r="J251" s="112">
        <f t="shared" si="44"/>
        <v>15</v>
      </c>
      <c r="K251" s="123">
        <f>[2]!RcCMaC(C251/10,D251/10,E251,G251*10,H251*10, I251/10, J251,3)</f>
        <v>180.00000498545322</v>
      </c>
      <c r="L251" s="47">
        <f>[2]!RcCMaC(C251/10,D251/10,E251,G251*10,H251*10,I251/10,J251,4)</f>
        <v>57.939743400844101</v>
      </c>
      <c r="M251" s="48">
        <f>[2]!RcCMaC(C251/10,D251/10,E251,G251*10,H251*10, I251/10, J251,0)*10</f>
        <v>0</v>
      </c>
      <c r="N251" s="119">
        <v>291</v>
      </c>
      <c r="O251" s="120" t="str">
        <f t="shared" si="45"/>
        <v>NG</v>
      </c>
    </row>
    <row r="252" spans="3:15" x14ac:dyDescent="0.15">
      <c r="C252" s="52">
        <f t="shared" si="38"/>
        <v>500</v>
      </c>
      <c r="D252" s="35">
        <f t="shared" si="39"/>
        <v>190</v>
      </c>
      <c r="E252" s="28" t="str">
        <f t="shared" si="40"/>
        <v>6-D19</v>
      </c>
      <c r="F252" s="112">
        <f t="shared" si="41"/>
        <v>1721.9999313354492</v>
      </c>
      <c r="G252" s="112">
        <f t="shared" si="42"/>
        <v>14</v>
      </c>
      <c r="H252" s="112">
        <f t="shared" si="43"/>
        <v>345</v>
      </c>
      <c r="I252" s="111">
        <f t="shared" si="37"/>
        <v>3340</v>
      </c>
      <c r="J252" s="112">
        <f t="shared" si="44"/>
        <v>15</v>
      </c>
      <c r="K252" s="123">
        <f>[2]!RcCMaC(C252/10,D252/10,E252,G252*10,H252*10, I252/10, J252,3)</f>
        <v>180.00000498545322</v>
      </c>
      <c r="L252" s="47">
        <f>[2]!RcCMaC(C252/10,D252/10,E252,G252*10,H252*10,I252/10,J252,4)</f>
        <v>57.939743400844101</v>
      </c>
      <c r="M252" s="48">
        <f>[2]!RcCMaC(C252/10,D252/10,E252,G252*10,H252*10, I252/10, J252,0)*10</f>
        <v>0</v>
      </c>
      <c r="N252" s="119">
        <v>292</v>
      </c>
      <c r="O252" s="120" t="str">
        <f t="shared" si="45"/>
        <v>NG</v>
      </c>
    </row>
    <row r="253" spans="3:15" x14ac:dyDescent="0.15">
      <c r="C253" s="52">
        <f t="shared" si="38"/>
        <v>500</v>
      </c>
      <c r="D253" s="35">
        <f t="shared" si="39"/>
        <v>190</v>
      </c>
      <c r="E253" s="28" t="str">
        <f t="shared" si="40"/>
        <v>6-D19</v>
      </c>
      <c r="F253" s="112">
        <f t="shared" si="41"/>
        <v>1721.9999313354492</v>
      </c>
      <c r="G253" s="112">
        <f t="shared" si="42"/>
        <v>14</v>
      </c>
      <c r="H253" s="112">
        <f t="shared" si="43"/>
        <v>345</v>
      </c>
      <c r="I253" s="111">
        <f t="shared" si="37"/>
        <v>3360</v>
      </c>
      <c r="J253" s="112">
        <f t="shared" si="44"/>
        <v>15</v>
      </c>
      <c r="K253" s="123">
        <f>[2]!RcCMaC(C253/10,D253/10,E253,G253*10,H253*10, I253/10, J253,3)</f>
        <v>180.00000498545322</v>
      </c>
      <c r="L253" s="47">
        <f>[2]!RcCMaC(C253/10,D253/10,E253,G253*10,H253*10,I253/10,J253,4)</f>
        <v>57.939743400844101</v>
      </c>
      <c r="M253" s="48">
        <f>[2]!RcCMaC(C253/10,D253/10,E253,G253*10,H253*10, I253/10, J253,0)*10</f>
        <v>0</v>
      </c>
      <c r="N253" s="119">
        <v>293</v>
      </c>
      <c r="O253" s="120" t="str">
        <f t="shared" si="45"/>
        <v>NG</v>
      </c>
    </row>
    <row r="254" spans="3:15" x14ac:dyDescent="0.15">
      <c r="C254" s="52">
        <f t="shared" si="38"/>
        <v>500</v>
      </c>
      <c r="D254" s="35">
        <f t="shared" si="39"/>
        <v>190</v>
      </c>
      <c r="E254" s="28" t="str">
        <f t="shared" si="40"/>
        <v>6-D19</v>
      </c>
      <c r="F254" s="112">
        <f t="shared" si="41"/>
        <v>1721.9999313354492</v>
      </c>
      <c r="G254" s="112">
        <f t="shared" si="42"/>
        <v>14</v>
      </c>
      <c r="H254" s="112">
        <f t="shared" si="43"/>
        <v>345</v>
      </c>
      <c r="I254" s="111">
        <f t="shared" si="37"/>
        <v>3380</v>
      </c>
      <c r="J254" s="112">
        <f t="shared" si="44"/>
        <v>15</v>
      </c>
      <c r="K254" s="123">
        <f>[2]!RcCMaC(C254/10,D254/10,E254,G254*10,H254*10, I254/10, J254,3)</f>
        <v>180.00000498545322</v>
      </c>
      <c r="L254" s="47">
        <f>[2]!RcCMaC(C254/10,D254/10,E254,G254*10,H254*10,I254/10,J254,4)</f>
        <v>57.939743400844101</v>
      </c>
      <c r="M254" s="48">
        <f>[2]!RcCMaC(C254/10,D254/10,E254,G254*10,H254*10, I254/10, J254,0)*10</f>
        <v>0</v>
      </c>
      <c r="N254" s="119">
        <v>294</v>
      </c>
      <c r="O254" s="120" t="str">
        <f t="shared" si="45"/>
        <v>NG</v>
      </c>
    </row>
    <row r="255" spans="3:15" x14ac:dyDescent="0.15">
      <c r="C255" s="52">
        <f t="shared" si="38"/>
        <v>500</v>
      </c>
      <c r="D255" s="35">
        <f t="shared" si="39"/>
        <v>190</v>
      </c>
      <c r="E255" s="28" t="str">
        <f t="shared" si="40"/>
        <v>6-D19</v>
      </c>
      <c r="F255" s="112">
        <f t="shared" si="41"/>
        <v>1721.9999313354492</v>
      </c>
      <c r="G255" s="112">
        <f t="shared" si="42"/>
        <v>14</v>
      </c>
      <c r="H255" s="112">
        <f t="shared" si="43"/>
        <v>345</v>
      </c>
      <c r="I255" s="111">
        <f t="shared" si="37"/>
        <v>3400</v>
      </c>
      <c r="J255" s="112">
        <f t="shared" si="44"/>
        <v>15</v>
      </c>
      <c r="K255" s="123">
        <f>[2]!RcCMaC(C255/10,D255/10,E255,G255*10,H255*10, I255/10, J255,3)</f>
        <v>180.00000498545322</v>
      </c>
      <c r="L255" s="47">
        <f>[2]!RcCMaC(C255/10,D255/10,E255,G255*10,H255*10,I255/10,J255,4)</f>
        <v>57.939743400844101</v>
      </c>
      <c r="M255" s="48">
        <f>[2]!RcCMaC(C255/10,D255/10,E255,G255*10,H255*10, I255/10, J255,0)*10</f>
        <v>0</v>
      </c>
      <c r="N255" s="119">
        <v>295</v>
      </c>
      <c r="O255" s="120" t="str">
        <f t="shared" si="45"/>
        <v>NG</v>
      </c>
    </row>
    <row r="256" spans="3:15" x14ac:dyDescent="0.15">
      <c r="C256" s="52">
        <f t="shared" si="38"/>
        <v>500</v>
      </c>
      <c r="D256" s="35">
        <f t="shared" si="39"/>
        <v>190</v>
      </c>
      <c r="E256" s="28" t="str">
        <f t="shared" si="40"/>
        <v>6-D19</v>
      </c>
      <c r="F256" s="112">
        <f t="shared" si="41"/>
        <v>1721.9999313354492</v>
      </c>
      <c r="G256" s="112">
        <f t="shared" si="42"/>
        <v>14</v>
      </c>
      <c r="H256" s="112">
        <f t="shared" si="43"/>
        <v>345</v>
      </c>
      <c r="I256" s="111">
        <f t="shared" si="37"/>
        <v>3420</v>
      </c>
      <c r="J256" s="112">
        <f t="shared" si="44"/>
        <v>15</v>
      </c>
      <c r="K256" s="123">
        <f>[2]!RcCMaC(C256/10,D256/10,E256,G256*10,H256*10, I256/10, J256,3)</f>
        <v>180.00000498545322</v>
      </c>
      <c r="L256" s="47">
        <f>[2]!RcCMaC(C256/10,D256/10,E256,G256*10,H256*10,I256/10,J256,4)</f>
        <v>57.939743400844101</v>
      </c>
      <c r="M256" s="48">
        <f>[2]!RcCMaC(C256/10,D256/10,E256,G256*10,H256*10, I256/10, J256,0)*10</f>
        <v>0</v>
      </c>
      <c r="N256" s="119">
        <v>296</v>
      </c>
      <c r="O256" s="120" t="str">
        <f t="shared" si="45"/>
        <v>NG</v>
      </c>
    </row>
    <row r="257" spans="3:15" x14ac:dyDescent="0.15">
      <c r="C257" s="52">
        <f t="shared" si="38"/>
        <v>500</v>
      </c>
      <c r="D257" s="35">
        <f t="shared" si="39"/>
        <v>190</v>
      </c>
      <c r="E257" s="28" t="str">
        <f t="shared" si="40"/>
        <v>6-D19</v>
      </c>
      <c r="F257" s="112">
        <f t="shared" si="41"/>
        <v>1721.9999313354492</v>
      </c>
      <c r="G257" s="112">
        <f t="shared" si="42"/>
        <v>14</v>
      </c>
      <c r="H257" s="112">
        <f t="shared" si="43"/>
        <v>345</v>
      </c>
      <c r="I257" s="111">
        <f t="shared" si="37"/>
        <v>3440</v>
      </c>
      <c r="J257" s="112">
        <f t="shared" si="44"/>
        <v>15</v>
      </c>
      <c r="K257" s="123">
        <f>[2]!RcCMaC(C257/10,D257/10,E257,G257*10,H257*10, I257/10, J257,3)</f>
        <v>180.00000498545322</v>
      </c>
      <c r="L257" s="47">
        <f>[2]!RcCMaC(C257/10,D257/10,E257,G257*10,H257*10,I257/10,J257,4)</f>
        <v>57.939743400844101</v>
      </c>
      <c r="M257" s="48">
        <f>[2]!RcCMaC(C257/10,D257/10,E257,G257*10,H257*10, I257/10, J257,0)*10</f>
        <v>0</v>
      </c>
      <c r="N257" s="119">
        <v>297</v>
      </c>
      <c r="O257" s="120" t="str">
        <f t="shared" si="45"/>
        <v>NG</v>
      </c>
    </row>
    <row r="258" spans="3:15" x14ac:dyDescent="0.15">
      <c r="C258" s="52">
        <f t="shared" si="38"/>
        <v>500</v>
      </c>
      <c r="D258" s="35">
        <f t="shared" si="39"/>
        <v>190</v>
      </c>
      <c r="E258" s="28" t="str">
        <f t="shared" si="40"/>
        <v>6-D19</v>
      </c>
      <c r="F258" s="112">
        <f t="shared" si="41"/>
        <v>1721.9999313354492</v>
      </c>
      <c r="G258" s="112">
        <f t="shared" si="42"/>
        <v>14</v>
      </c>
      <c r="H258" s="112">
        <f t="shared" si="43"/>
        <v>345</v>
      </c>
      <c r="I258" s="111">
        <f t="shared" si="37"/>
        <v>3460</v>
      </c>
      <c r="J258" s="112">
        <f t="shared" si="44"/>
        <v>15</v>
      </c>
      <c r="K258" s="123">
        <f>[2]!RcCMaC(C258/10,D258/10,E258,G258*10,H258*10, I258/10, J258,3)</f>
        <v>180.00000498545322</v>
      </c>
      <c r="L258" s="47">
        <f>[2]!RcCMaC(C258/10,D258/10,E258,G258*10,H258*10,I258/10,J258,4)</f>
        <v>57.939743400844101</v>
      </c>
      <c r="M258" s="48">
        <f>[2]!RcCMaC(C258/10,D258/10,E258,G258*10,H258*10, I258/10, J258,0)*10</f>
        <v>0</v>
      </c>
      <c r="N258" s="119">
        <v>298</v>
      </c>
      <c r="O258" s="120" t="str">
        <f t="shared" si="45"/>
        <v>NG</v>
      </c>
    </row>
    <row r="259" spans="3:15" x14ac:dyDescent="0.15">
      <c r="C259" s="52">
        <f t="shared" si="38"/>
        <v>500</v>
      </c>
      <c r="D259" s="35">
        <f t="shared" si="39"/>
        <v>190</v>
      </c>
      <c r="E259" s="28" t="str">
        <f t="shared" si="40"/>
        <v>6-D19</v>
      </c>
      <c r="F259" s="112">
        <f t="shared" si="41"/>
        <v>1721.9999313354492</v>
      </c>
      <c r="G259" s="112">
        <f t="shared" si="42"/>
        <v>14</v>
      </c>
      <c r="H259" s="112">
        <f t="shared" si="43"/>
        <v>345</v>
      </c>
      <c r="I259" s="111">
        <f t="shared" si="37"/>
        <v>3480</v>
      </c>
      <c r="J259" s="112">
        <f t="shared" si="44"/>
        <v>15</v>
      </c>
      <c r="K259" s="123">
        <f>[2]!RcCMaC(C259/10,D259/10,E259,G259*10,H259*10, I259/10, J259,3)</f>
        <v>180.00000498545322</v>
      </c>
      <c r="L259" s="47">
        <f>[2]!RcCMaC(C259/10,D259/10,E259,G259*10,H259*10,I259/10,J259,4)</f>
        <v>57.939743400844101</v>
      </c>
      <c r="M259" s="48">
        <f>[2]!RcCMaC(C259/10,D259/10,E259,G259*10,H259*10, I259/10, J259,0)*10</f>
        <v>0</v>
      </c>
      <c r="N259" s="119">
        <v>299</v>
      </c>
      <c r="O259" s="120" t="str">
        <f t="shared" si="45"/>
        <v>NG</v>
      </c>
    </row>
    <row r="260" spans="3:15" x14ac:dyDescent="0.15">
      <c r="C260" s="52">
        <f t="shared" si="38"/>
        <v>500</v>
      </c>
      <c r="D260" s="35">
        <f t="shared" si="39"/>
        <v>190</v>
      </c>
      <c r="E260" s="28" t="str">
        <f t="shared" si="40"/>
        <v>6-D19</v>
      </c>
      <c r="F260" s="112">
        <f t="shared" si="41"/>
        <v>1721.9999313354492</v>
      </c>
      <c r="G260" s="112">
        <f t="shared" si="42"/>
        <v>14</v>
      </c>
      <c r="H260" s="112">
        <f t="shared" si="43"/>
        <v>345</v>
      </c>
      <c r="I260" s="111">
        <f t="shared" si="37"/>
        <v>3500</v>
      </c>
      <c r="J260" s="112">
        <f t="shared" si="44"/>
        <v>15</v>
      </c>
      <c r="K260" s="123">
        <f>[2]!RcCMaC(C260/10,D260/10,E260,G260*10,H260*10, I260/10, J260,3)</f>
        <v>180.00000498545322</v>
      </c>
      <c r="L260" s="47">
        <f>[2]!RcCMaC(C260/10,D260/10,E260,G260*10,H260*10,I260/10,J260,4)</f>
        <v>57.939743400844101</v>
      </c>
      <c r="M260" s="48">
        <f>[2]!RcCMaC(C260/10,D260/10,E260,G260*10,H260*10, I260/10, J260,0)*10</f>
        <v>0</v>
      </c>
      <c r="N260" s="119">
        <v>300</v>
      </c>
      <c r="O260" s="120" t="str">
        <f t="shared" si="45"/>
        <v>NG</v>
      </c>
    </row>
    <row r="261" spans="3:15" x14ac:dyDescent="0.15">
      <c r="C261" s="52">
        <f t="shared" si="38"/>
        <v>500</v>
      </c>
      <c r="D261" s="35">
        <f t="shared" si="39"/>
        <v>190</v>
      </c>
      <c r="E261" s="28" t="str">
        <f t="shared" si="40"/>
        <v>6-D19</v>
      </c>
      <c r="F261" s="112">
        <f t="shared" si="41"/>
        <v>1721.9999313354492</v>
      </c>
      <c r="G261" s="112">
        <f t="shared" si="42"/>
        <v>14</v>
      </c>
      <c r="H261" s="112">
        <f t="shared" si="43"/>
        <v>345</v>
      </c>
      <c r="I261" s="111">
        <f t="shared" si="37"/>
        <v>3520</v>
      </c>
      <c r="J261" s="112">
        <f t="shared" si="44"/>
        <v>15</v>
      </c>
      <c r="K261" s="123">
        <f>[2]!RcCMaC(C261/10,D261/10,E261,G261*10,H261*10, I261/10, J261,3)</f>
        <v>180.00000498545322</v>
      </c>
      <c r="L261" s="47">
        <f>[2]!RcCMaC(C261/10,D261/10,E261,G261*10,H261*10,I261/10,J261,4)</f>
        <v>57.939743400844101</v>
      </c>
      <c r="M261" s="48">
        <f>[2]!RcCMaC(C261/10,D261/10,E261,G261*10,H261*10, I261/10, J261,0)*10</f>
        <v>0</v>
      </c>
      <c r="N261" s="119">
        <v>301</v>
      </c>
      <c r="O261" s="120" t="str">
        <f t="shared" si="45"/>
        <v>NG</v>
      </c>
    </row>
    <row r="262" spans="3:15" x14ac:dyDescent="0.15">
      <c r="C262" s="52">
        <f t="shared" si="38"/>
        <v>500</v>
      </c>
      <c r="D262" s="35">
        <f t="shared" si="39"/>
        <v>190</v>
      </c>
      <c r="E262" s="28" t="str">
        <f t="shared" si="40"/>
        <v>6-D19</v>
      </c>
      <c r="F262" s="112">
        <f t="shared" si="41"/>
        <v>1721.9999313354492</v>
      </c>
      <c r="G262" s="112">
        <f t="shared" si="42"/>
        <v>14</v>
      </c>
      <c r="H262" s="112">
        <f t="shared" si="43"/>
        <v>345</v>
      </c>
      <c r="I262" s="111">
        <f t="shared" si="37"/>
        <v>3540</v>
      </c>
      <c r="J262" s="112">
        <f t="shared" si="44"/>
        <v>15</v>
      </c>
      <c r="K262" s="123">
        <f>[2]!RcCMaC(C262/10,D262/10,E262,G262*10,H262*10, I262/10, J262,3)</f>
        <v>180.00000498545322</v>
      </c>
      <c r="L262" s="47">
        <f>[2]!RcCMaC(C262/10,D262/10,E262,G262*10,H262*10,I262/10,J262,4)</f>
        <v>57.939743400844101</v>
      </c>
      <c r="M262" s="48">
        <f>[2]!RcCMaC(C262/10,D262/10,E262,G262*10,H262*10, I262/10, J262,0)*10</f>
        <v>0</v>
      </c>
      <c r="N262" s="119">
        <v>302</v>
      </c>
      <c r="O262" s="120" t="str">
        <f t="shared" si="45"/>
        <v>NG</v>
      </c>
    </row>
    <row r="263" spans="3:15" x14ac:dyDescent="0.15">
      <c r="C263" s="52">
        <f t="shared" si="38"/>
        <v>500</v>
      </c>
      <c r="D263" s="35">
        <f t="shared" si="39"/>
        <v>190</v>
      </c>
      <c r="E263" s="28" t="str">
        <f t="shared" si="40"/>
        <v>6-D19</v>
      </c>
      <c r="F263" s="112">
        <f t="shared" si="41"/>
        <v>1721.9999313354492</v>
      </c>
      <c r="G263" s="112">
        <f t="shared" si="42"/>
        <v>14</v>
      </c>
      <c r="H263" s="112">
        <f t="shared" si="43"/>
        <v>345</v>
      </c>
      <c r="I263" s="111">
        <f t="shared" ref="I263:I326" si="46">+I262+20</f>
        <v>3560</v>
      </c>
      <c r="J263" s="112">
        <f t="shared" si="44"/>
        <v>15</v>
      </c>
      <c r="K263" s="123">
        <f>[2]!RcCMaC(C263/10,D263/10,E263,G263*10,H263*10, I263/10, J263,3)</f>
        <v>180.00000498545322</v>
      </c>
      <c r="L263" s="47">
        <f>[2]!RcCMaC(C263/10,D263/10,E263,G263*10,H263*10,I263/10,J263,4)</f>
        <v>57.939743400844101</v>
      </c>
      <c r="M263" s="48">
        <f>[2]!RcCMaC(C263/10,D263/10,E263,G263*10,H263*10, I263/10, J263,0)*10</f>
        <v>0</v>
      </c>
      <c r="N263" s="119">
        <v>303</v>
      </c>
      <c r="O263" s="120" t="str">
        <f t="shared" si="45"/>
        <v>NG</v>
      </c>
    </row>
    <row r="264" spans="3:15" x14ac:dyDescent="0.15">
      <c r="C264" s="52">
        <f t="shared" si="38"/>
        <v>500</v>
      </c>
      <c r="D264" s="35">
        <f t="shared" si="39"/>
        <v>190</v>
      </c>
      <c r="E264" s="28" t="str">
        <f t="shared" si="40"/>
        <v>6-D19</v>
      </c>
      <c r="F264" s="112">
        <f t="shared" si="41"/>
        <v>1721.9999313354492</v>
      </c>
      <c r="G264" s="112">
        <f t="shared" si="42"/>
        <v>14</v>
      </c>
      <c r="H264" s="112">
        <f t="shared" si="43"/>
        <v>345</v>
      </c>
      <c r="I264" s="111">
        <f t="shared" si="46"/>
        <v>3580</v>
      </c>
      <c r="J264" s="112">
        <f t="shared" si="44"/>
        <v>15</v>
      </c>
      <c r="K264" s="123">
        <f>[2]!RcCMaC(C264/10,D264/10,E264,G264*10,H264*10, I264/10, J264,3)</f>
        <v>180.00000498545322</v>
      </c>
      <c r="L264" s="47">
        <f>[2]!RcCMaC(C264/10,D264/10,E264,G264*10,H264*10,I264/10,J264,4)</f>
        <v>57.939743400844101</v>
      </c>
      <c r="M264" s="48">
        <f>[2]!RcCMaC(C264/10,D264/10,E264,G264*10,H264*10, I264/10, J264,0)*10</f>
        <v>0</v>
      </c>
      <c r="N264" s="119">
        <v>304</v>
      </c>
      <c r="O264" s="120" t="str">
        <f t="shared" si="45"/>
        <v>NG</v>
      </c>
    </row>
    <row r="265" spans="3:15" x14ac:dyDescent="0.15">
      <c r="C265" s="52">
        <f t="shared" si="38"/>
        <v>500</v>
      </c>
      <c r="D265" s="35">
        <f t="shared" si="39"/>
        <v>190</v>
      </c>
      <c r="E265" s="28" t="str">
        <f t="shared" si="40"/>
        <v>6-D19</v>
      </c>
      <c r="F265" s="112">
        <f t="shared" si="41"/>
        <v>1721.9999313354492</v>
      </c>
      <c r="G265" s="112">
        <f t="shared" si="42"/>
        <v>14</v>
      </c>
      <c r="H265" s="112">
        <f t="shared" si="43"/>
        <v>345</v>
      </c>
      <c r="I265" s="111">
        <f t="shared" si="46"/>
        <v>3600</v>
      </c>
      <c r="J265" s="112">
        <f t="shared" si="44"/>
        <v>15</v>
      </c>
      <c r="K265" s="123">
        <f>[2]!RcCMaC(C265/10,D265/10,E265,G265*10,H265*10, I265/10, J265,3)</f>
        <v>180.00000498545322</v>
      </c>
      <c r="L265" s="47">
        <f>[2]!RcCMaC(C265/10,D265/10,E265,G265*10,H265*10,I265/10,J265,4)</f>
        <v>57.939743400844101</v>
      </c>
      <c r="M265" s="48">
        <f>[2]!RcCMaC(C265/10,D265/10,E265,G265*10,H265*10, I265/10, J265,0)*10</f>
        <v>0</v>
      </c>
      <c r="N265" s="119">
        <v>305</v>
      </c>
      <c r="O265" s="120" t="str">
        <f t="shared" si="45"/>
        <v>NG</v>
      </c>
    </row>
    <row r="266" spans="3:15" x14ac:dyDescent="0.15">
      <c r="C266" s="52">
        <f t="shared" si="38"/>
        <v>500</v>
      </c>
      <c r="D266" s="35">
        <f t="shared" si="39"/>
        <v>190</v>
      </c>
      <c r="E266" s="28" t="str">
        <f t="shared" si="40"/>
        <v>6-D19</v>
      </c>
      <c r="F266" s="112">
        <f t="shared" si="41"/>
        <v>1721.9999313354492</v>
      </c>
      <c r="G266" s="112">
        <f t="shared" si="42"/>
        <v>14</v>
      </c>
      <c r="H266" s="112">
        <f t="shared" si="43"/>
        <v>345</v>
      </c>
      <c r="I266" s="111">
        <f t="shared" si="46"/>
        <v>3620</v>
      </c>
      <c r="J266" s="112">
        <f t="shared" si="44"/>
        <v>15</v>
      </c>
      <c r="K266" s="123">
        <f>[2]!RcCMaC(C266/10,D266/10,E266,G266*10,H266*10, I266/10, J266,3)</f>
        <v>180.00000498545322</v>
      </c>
      <c r="L266" s="47">
        <f>[2]!RcCMaC(C266/10,D266/10,E266,G266*10,H266*10,I266/10,J266,4)</f>
        <v>57.939743400844101</v>
      </c>
      <c r="M266" s="48">
        <f>[2]!RcCMaC(C266/10,D266/10,E266,G266*10,H266*10, I266/10, J266,0)*10</f>
        <v>0</v>
      </c>
      <c r="N266" s="119">
        <v>306</v>
      </c>
      <c r="O266" s="120" t="str">
        <f t="shared" si="45"/>
        <v>NG</v>
      </c>
    </row>
    <row r="267" spans="3:15" x14ac:dyDescent="0.15">
      <c r="C267" s="52">
        <f t="shared" si="38"/>
        <v>500</v>
      </c>
      <c r="D267" s="35">
        <f t="shared" si="39"/>
        <v>190</v>
      </c>
      <c r="E267" s="28" t="str">
        <f t="shared" si="40"/>
        <v>6-D19</v>
      </c>
      <c r="F267" s="112">
        <f t="shared" si="41"/>
        <v>1721.9999313354492</v>
      </c>
      <c r="G267" s="112">
        <f t="shared" si="42"/>
        <v>14</v>
      </c>
      <c r="H267" s="112">
        <f t="shared" si="43"/>
        <v>345</v>
      </c>
      <c r="I267" s="111">
        <f t="shared" si="46"/>
        <v>3640</v>
      </c>
      <c r="J267" s="112">
        <f t="shared" si="44"/>
        <v>15</v>
      </c>
      <c r="K267" s="123">
        <f>[2]!RcCMaC(C267/10,D267/10,E267,G267*10,H267*10, I267/10, J267,3)</f>
        <v>180.00000498545322</v>
      </c>
      <c r="L267" s="47">
        <f>[2]!RcCMaC(C267/10,D267/10,E267,G267*10,H267*10,I267/10,J267,4)</f>
        <v>57.939743400844101</v>
      </c>
      <c r="M267" s="48">
        <f>[2]!RcCMaC(C267/10,D267/10,E267,G267*10,H267*10, I267/10, J267,0)*10</f>
        <v>0</v>
      </c>
      <c r="N267" s="119">
        <v>307</v>
      </c>
      <c r="O267" s="120" t="str">
        <f t="shared" si="45"/>
        <v>NG</v>
      </c>
    </row>
    <row r="268" spans="3:15" x14ac:dyDescent="0.15">
      <c r="C268" s="52">
        <f t="shared" si="38"/>
        <v>500</v>
      </c>
      <c r="D268" s="35">
        <f t="shared" si="39"/>
        <v>190</v>
      </c>
      <c r="E268" s="28" t="str">
        <f t="shared" si="40"/>
        <v>6-D19</v>
      </c>
      <c r="F268" s="112">
        <f t="shared" si="41"/>
        <v>1721.9999313354492</v>
      </c>
      <c r="G268" s="112">
        <f t="shared" si="42"/>
        <v>14</v>
      </c>
      <c r="H268" s="112">
        <f t="shared" si="43"/>
        <v>345</v>
      </c>
      <c r="I268" s="111">
        <f t="shared" si="46"/>
        <v>3660</v>
      </c>
      <c r="J268" s="112">
        <f t="shared" si="44"/>
        <v>15</v>
      </c>
      <c r="K268" s="123">
        <f>[2]!RcCMaC(C268/10,D268/10,E268,G268*10,H268*10, I268/10, J268,3)</f>
        <v>180.00000498545322</v>
      </c>
      <c r="L268" s="47">
        <f>[2]!RcCMaC(C268/10,D268/10,E268,G268*10,H268*10,I268/10,J268,4)</f>
        <v>57.939743400844101</v>
      </c>
      <c r="M268" s="48">
        <f>[2]!RcCMaC(C268/10,D268/10,E268,G268*10,H268*10, I268/10, J268,0)*10</f>
        <v>0</v>
      </c>
      <c r="N268" s="119">
        <v>308</v>
      </c>
      <c r="O268" s="120" t="str">
        <f t="shared" si="45"/>
        <v>NG</v>
      </c>
    </row>
    <row r="269" spans="3:15" x14ac:dyDescent="0.15">
      <c r="C269" s="52">
        <f t="shared" si="38"/>
        <v>500</v>
      </c>
      <c r="D269" s="35">
        <f t="shared" si="39"/>
        <v>190</v>
      </c>
      <c r="E269" s="28" t="str">
        <f t="shared" si="40"/>
        <v>6-D19</v>
      </c>
      <c r="F269" s="112">
        <f t="shared" si="41"/>
        <v>1721.9999313354492</v>
      </c>
      <c r="G269" s="112">
        <f t="shared" si="42"/>
        <v>14</v>
      </c>
      <c r="H269" s="112">
        <f t="shared" si="43"/>
        <v>345</v>
      </c>
      <c r="I269" s="111">
        <f t="shared" si="46"/>
        <v>3680</v>
      </c>
      <c r="J269" s="112">
        <f t="shared" si="44"/>
        <v>15</v>
      </c>
      <c r="K269" s="123">
        <f>[2]!RcCMaC(C269/10,D269/10,E269,G269*10,H269*10, I269/10, J269,3)</f>
        <v>180.00000498545322</v>
      </c>
      <c r="L269" s="47">
        <f>[2]!RcCMaC(C269/10,D269/10,E269,G269*10,H269*10,I269/10,J269,4)</f>
        <v>57.939743400844101</v>
      </c>
      <c r="M269" s="48">
        <f>[2]!RcCMaC(C269/10,D269/10,E269,G269*10,H269*10, I269/10, J269,0)*10</f>
        <v>0</v>
      </c>
      <c r="N269" s="119">
        <v>309</v>
      </c>
      <c r="O269" s="120" t="str">
        <f t="shared" si="45"/>
        <v>NG</v>
      </c>
    </row>
    <row r="270" spans="3:15" x14ac:dyDescent="0.15">
      <c r="C270" s="52">
        <f t="shared" si="38"/>
        <v>500</v>
      </c>
      <c r="D270" s="35">
        <f t="shared" si="39"/>
        <v>190</v>
      </c>
      <c r="E270" s="28" t="str">
        <f t="shared" si="40"/>
        <v>6-D19</v>
      </c>
      <c r="F270" s="112">
        <f t="shared" si="41"/>
        <v>1721.9999313354492</v>
      </c>
      <c r="G270" s="112">
        <f t="shared" si="42"/>
        <v>14</v>
      </c>
      <c r="H270" s="112">
        <f t="shared" si="43"/>
        <v>345</v>
      </c>
      <c r="I270" s="111">
        <f t="shared" si="46"/>
        <v>3700</v>
      </c>
      <c r="J270" s="112">
        <f t="shared" si="44"/>
        <v>15</v>
      </c>
      <c r="K270" s="123">
        <f>[2]!RcCMaC(C270/10,D270/10,E270,G270*10,H270*10, I270/10, J270,3)</f>
        <v>180.00000498545322</v>
      </c>
      <c r="L270" s="47">
        <f>[2]!RcCMaC(C270/10,D270/10,E270,G270*10,H270*10,I270/10,J270,4)</f>
        <v>57.939743400844101</v>
      </c>
      <c r="M270" s="48">
        <f>[2]!RcCMaC(C270/10,D270/10,E270,G270*10,H270*10, I270/10, J270,0)*10</f>
        <v>0</v>
      </c>
      <c r="N270" s="119">
        <v>310</v>
      </c>
      <c r="O270" s="120" t="str">
        <f t="shared" si="45"/>
        <v>NG</v>
      </c>
    </row>
    <row r="271" spans="3:15" x14ac:dyDescent="0.15">
      <c r="C271" s="52">
        <f t="shared" si="38"/>
        <v>500</v>
      </c>
      <c r="D271" s="35">
        <f t="shared" si="39"/>
        <v>190</v>
      </c>
      <c r="E271" s="28" t="str">
        <f t="shared" si="40"/>
        <v>6-D19</v>
      </c>
      <c r="F271" s="112">
        <f t="shared" si="41"/>
        <v>1721.9999313354492</v>
      </c>
      <c r="G271" s="112">
        <f t="shared" si="42"/>
        <v>14</v>
      </c>
      <c r="H271" s="112">
        <f t="shared" si="43"/>
        <v>345</v>
      </c>
      <c r="I271" s="111">
        <f t="shared" si="46"/>
        <v>3720</v>
      </c>
      <c r="J271" s="112">
        <f t="shared" si="44"/>
        <v>15</v>
      </c>
      <c r="K271" s="123">
        <f>[2]!RcCMaC(C271/10,D271/10,E271,G271*10,H271*10, I271/10, J271,3)</f>
        <v>180.00000498545322</v>
      </c>
      <c r="L271" s="47">
        <f>[2]!RcCMaC(C271/10,D271/10,E271,G271*10,H271*10,I271/10,J271,4)</f>
        <v>57.939743400844101</v>
      </c>
      <c r="M271" s="48">
        <f>[2]!RcCMaC(C271/10,D271/10,E271,G271*10,H271*10, I271/10, J271,0)*10</f>
        <v>0</v>
      </c>
      <c r="N271" s="119">
        <v>311</v>
      </c>
      <c r="O271" s="120" t="str">
        <f t="shared" si="45"/>
        <v>NG</v>
      </c>
    </row>
    <row r="272" spans="3:15" x14ac:dyDescent="0.15">
      <c r="C272" s="52">
        <f t="shared" si="38"/>
        <v>500</v>
      </c>
      <c r="D272" s="35">
        <f t="shared" si="39"/>
        <v>190</v>
      </c>
      <c r="E272" s="28" t="str">
        <f t="shared" si="40"/>
        <v>6-D19</v>
      </c>
      <c r="F272" s="112">
        <f t="shared" si="41"/>
        <v>1721.9999313354492</v>
      </c>
      <c r="G272" s="112">
        <f t="shared" si="42"/>
        <v>14</v>
      </c>
      <c r="H272" s="112">
        <f t="shared" si="43"/>
        <v>345</v>
      </c>
      <c r="I272" s="111">
        <f t="shared" si="46"/>
        <v>3740</v>
      </c>
      <c r="J272" s="112">
        <f t="shared" si="44"/>
        <v>15</v>
      </c>
      <c r="K272" s="123">
        <f>[2]!RcCMaC(C272/10,D272/10,E272,G272*10,H272*10, I272/10, J272,3)</f>
        <v>180.00000498545322</v>
      </c>
      <c r="L272" s="47">
        <f>[2]!RcCMaC(C272/10,D272/10,E272,G272*10,H272*10,I272/10,J272,4)</f>
        <v>57.939743400844101</v>
      </c>
      <c r="M272" s="48">
        <f>[2]!RcCMaC(C272/10,D272/10,E272,G272*10,H272*10, I272/10, J272,0)*10</f>
        <v>0</v>
      </c>
      <c r="N272" s="119">
        <v>312</v>
      </c>
      <c r="O272" s="120" t="str">
        <f t="shared" si="45"/>
        <v>NG</v>
      </c>
    </row>
    <row r="273" spans="3:15" x14ac:dyDescent="0.15">
      <c r="C273" s="52">
        <f t="shared" si="38"/>
        <v>500</v>
      </c>
      <c r="D273" s="35">
        <f t="shared" si="39"/>
        <v>190</v>
      </c>
      <c r="E273" s="28" t="str">
        <f t="shared" si="40"/>
        <v>6-D19</v>
      </c>
      <c r="F273" s="112">
        <f t="shared" si="41"/>
        <v>1721.9999313354492</v>
      </c>
      <c r="G273" s="112">
        <f t="shared" si="42"/>
        <v>14</v>
      </c>
      <c r="H273" s="112">
        <f t="shared" si="43"/>
        <v>345</v>
      </c>
      <c r="I273" s="111">
        <f t="shared" si="46"/>
        <v>3760</v>
      </c>
      <c r="J273" s="112">
        <f t="shared" si="44"/>
        <v>15</v>
      </c>
      <c r="K273" s="123">
        <f>[2]!RcCMaC(C273/10,D273/10,E273,G273*10,H273*10, I273/10, J273,3)</f>
        <v>180.00000498545322</v>
      </c>
      <c r="L273" s="47">
        <f>[2]!RcCMaC(C273/10,D273/10,E273,G273*10,H273*10,I273/10,J273,4)</f>
        <v>57.939743400844101</v>
      </c>
      <c r="M273" s="48">
        <f>[2]!RcCMaC(C273/10,D273/10,E273,G273*10,H273*10, I273/10, J273,0)*10</f>
        <v>0</v>
      </c>
      <c r="N273" s="119">
        <v>313</v>
      </c>
      <c r="O273" s="120" t="str">
        <f t="shared" si="45"/>
        <v>NG</v>
      </c>
    </row>
    <row r="274" spans="3:15" x14ac:dyDescent="0.15">
      <c r="C274" s="52">
        <f t="shared" si="38"/>
        <v>500</v>
      </c>
      <c r="D274" s="35">
        <f t="shared" si="39"/>
        <v>190</v>
      </c>
      <c r="E274" s="28" t="str">
        <f t="shared" si="40"/>
        <v>6-D19</v>
      </c>
      <c r="F274" s="112">
        <f t="shared" si="41"/>
        <v>1721.9999313354492</v>
      </c>
      <c r="G274" s="112">
        <f t="shared" si="42"/>
        <v>14</v>
      </c>
      <c r="H274" s="112">
        <f t="shared" si="43"/>
        <v>345</v>
      </c>
      <c r="I274" s="111">
        <f t="shared" si="46"/>
        <v>3780</v>
      </c>
      <c r="J274" s="112">
        <f t="shared" si="44"/>
        <v>15</v>
      </c>
      <c r="K274" s="123">
        <f>[2]!RcCMaC(C274/10,D274/10,E274,G274*10,H274*10, I274/10, J274,3)</f>
        <v>180.00000498545322</v>
      </c>
      <c r="L274" s="47">
        <f>[2]!RcCMaC(C274/10,D274/10,E274,G274*10,H274*10,I274/10,J274,4)</f>
        <v>57.939743400844101</v>
      </c>
      <c r="M274" s="48">
        <f>[2]!RcCMaC(C274/10,D274/10,E274,G274*10,H274*10, I274/10, J274,0)*10</f>
        <v>0</v>
      </c>
      <c r="N274" s="119">
        <v>314</v>
      </c>
      <c r="O274" s="120" t="str">
        <f t="shared" si="45"/>
        <v>NG</v>
      </c>
    </row>
    <row r="275" spans="3:15" x14ac:dyDescent="0.15">
      <c r="C275" s="52">
        <f t="shared" si="38"/>
        <v>500</v>
      </c>
      <c r="D275" s="35">
        <f t="shared" si="39"/>
        <v>190</v>
      </c>
      <c r="E275" s="28" t="str">
        <f t="shared" si="40"/>
        <v>6-D19</v>
      </c>
      <c r="F275" s="112">
        <f t="shared" si="41"/>
        <v>1721.9999313354492</v>
      </c>
      <c r="G275" s="112">
        <f t="shared" si="42"/>
        <v>14</v>
      </c>
      <c r="H275" s="112">
        <f t="shared" si="43"/>
        <v>345</v>
      </c>
      <c r="I275" s="111">
        <f t="shared" si="46"/>
        <v>3800</v>
      </c>
      <c r="J275" s="112">
        <f t="shared" si="44"/>
        <v>15</v>
      </c>
      <c r="K275" s="123">
        <f>[2]!RcCMaC(C275/10,D275/10,E275,G275*10,H275*10, I275/10, J275,3)</f>
        <v>180.00000498545322</v>
      </c>
      <c r="L275" s="47">
        <f>[2]!RcCMaC(C275/10,D275/10,E275,G275*10,H275*10,I275/10,J275,4)</f>
        <v>57.939743400844101</v>
      </c>
      <c r="M275" s="48">
        <f>[2]!RcCMaC(C275/10,D275/10,E275,G275*10,H275*10, I275/10, J275,0)*10</f>
        <v>0</v>
      </c>
      <c r="N275" s="119">
        <v>315</v>
      </c>
      <c r="O275" s="120" t="str">
        <f t="shared" si="45"/>
        <v>NG</v>
      </c>
    </row>
    <row r="276" spans="3:15" x14ac:dyDescent="0.15">
      <c r="C276" s="52">
        <f t="shared" si="38"/>
        <v>500</v>
      </c>
      <c r="D276" s="35">
        <f t="shared" si="39"/>
        <v>190</v>
      </c>
      <c r="E276" s="28" t="str">
        <f t="shared" si="40"/>
        <v>6-D19</v>
      </c>
      <c r="F276" s="112">
        <f t="shared" si="41"/>
        <v>1721.9999313354492</v>
      </c>
      <c r="G276" s="112">
        <f t="shared" si="42"/>
        <v>14</v>
      </c>
      <c r="H276" s="112">
        <f t="shared" si="43"/>
        <v>345</v>
      </c>
      <c r="I276" s="111">
        <f t="shared" si="46"/>
        <v>3820</v>
      </c>
      <c r="J276" s="112">
        <f t="shared" si="44"/>
        <v>15</v>
      </c>
      <c r="K276" s="123">
        <f>[2]!RcCMaC(C276/10,D276/10,E276,G276*10,H276*10, I276/10, J276,3)</f>
        <v>180.00000498545322</v>
      </c>
      <c r="L276" s="47">
        <f>[2]!RcCMaC(C276/10,D276/10,E276,G276*10,H276*10,I276/10,J276,4)</f>
        <v>57.939743400844101</v>
      </c>
      <c r="M276" s="48">
        <f>[2]!RcCMaC(C276/10,D276/10,E276,G276*10,H276*10, I276/10, J276,0)*10</f>
        <v>0</v>
      </c>
      <c r="N276" s="119">
        <v>316</v>
      </c>
      <c r="O276" s="120" t="str">
        <f t="shared" si="45"/>
        <v>NG</v>
      </c>
    </row>
    <row r="277" spans="3:15" x14ac:dyDescent="0.15">
      <c r="C277" s="52">
        <f t="shared" si="38"/>
        <v>500</v>
      </c>
      <c r="D277" s="35">
        <f t="shared" si="39"/>
        <v>190</v>
      </c>
      <c r="E277" s="28" t="str">
        <f t="shared" si="40"/>
        <v>6-D19</v>
      </c>
      <c r="F277" s="112">
        <f t="shared" si="41"/>
        <v>1721.9999313354492</v>
      </c>
      <c r="G277" s="112">
        <f t="shared" si="42"/>
        <v>14</v>
      </c>
      <c r="H277" s="112">
        <f t="shared" si="43"/>
        <v>345</v>
      </c>
      <c r="I277" s="111">
        <f t="shared" si="46"/>
        <v>3840</v>
      </c>
      <c r="J277" s="112">
        <f t="shared" si="44"/>
        <v>15</v>
      </c>
      <c r="K277" s="123">
        <f>[2]!RcCMaC(C277/10,D277/10,E277,G277*10,H277*10, I277/10, J277,3)</f>
        <v>180.00000498545322</v>
      </c>
      <c r="L277" s="47">
        <f>[2]!RcCMaC(C277/10,D277/10,E277,G277*10,H277*10,I277/10,J277,4)</f>
        <v>57.939743400844101</v>
      </c>
      <c r="M277" s="48">
        <f>[2]!RcCMaC(C277/10,D277/10,E277,G277*10,H277*10, I277/10, J277,0)*10</f>
        <v>0</v>
      </c>
      <c r="N277" s="119">
        <v>317</v>
      </c>
      <c r="O277" s="120" t="str">
        <f t="shared" si="45"/>
        <v>NG</v>
      </c>
    </row>
    <row r="278" spans="3:15" x14ac:dyDescent="0.15">
      <c r="C278" s="52">
        <f t="shared" si="38"/>
        <v>500</v>
      </c>
      <c r="D278" s="35">
        <f t="shared" si="39"/>
        <v>190</v>
      </c>
      <c r="E278" s="28" t="str">
        <f t="shared" si="40"/>
        <v>6-D19</v>
      </c>
      <c r="F278" s="112">
        <f t="shared" si="41"/>
        <v>1721.9999313354492</v>
      </c>
      <c r="G278" s="112">
        <f t="shared" si="42"/>
        <v>14</v>
      </c>
      <c r="H278" s="112">
        <f t="shared" si="43"/>
        <v>345</v>
      </c>
      <c r="I278" s="111">
        <f t="shared" si="46"/>
        <v>3860</v>
      </c>
      <c r="J278" s="112">
        <f t="shared" si="44"/>
        <v>15</v>
      </c>
      <c r="K278" s="123">
        <f>[2]!RcCMaC(C278/10,D278/10,E278,G278*10,H278*10, I278/10, J278,3)</f>
        <v>180.00000498545322</v>
      </c>
      <c r="L278" s="47">
        <f>[2]!RcCMaC(C278/10,D278/10,E278,G278*10,H278*10,I278/10,J278,4)</f>
        <v>57.939743400844101</v>
      </c>
      <c r="M278" s="48">
        <f>[2]!RcCMaC(C278/10,D278/10,E278,G278*10,H278*10, I278/10, J278,0)*10</f>
        <v>0</v>
      </c>
      <c r="N278" s="119">
        <v>318</v>
      </c>
      <c r="O278" s="120" t="str">
        <f t="shared" si="45"/>
        <v>NG</v>
      </c>
    </row>
    <row r="279" spans="3:15" x14ac:dyDescent="0.15">
      <c r="C279" s="52">
        <f t="shared" si="38"/>
        <v>500</v>
      </c>
      <c r="D279" s="35">
        <f t="shared" si="39"/>
        <v>190</v>
      </c>
      <c r="E279" s="28" t="str">
        <f t="shared" si="40"/>
        <v>6-D19</v>
      </c>
      <c r="F279" s="112">
        <f t="shared" si="41"/>
        <v>1721.9999313354492</v>
      </c>
      <c r="G279" s="112">
        <f t="shared" si="42"/>
        <v>14</v>
      </c>
      <c r="H279" s="112">
        <f t="shared" si="43"/>
        <v>345</v>
      </c>
      <c r="I279" s="111">
        <f t="shared" si="46"/>
        <v>3880</v>
      </c>
      <c r="J279" s="112">
        <f t="shared" si="44"/>
        <v>15</v>
      </c>
      <c r="K279" s="123">
        <f>[2]!RcCMaC(C279/10,D279/10,E279,G279*10,H279*10, I279/10, J279,3)</f>
        <v>180.00000498545322</v>
      </c>
      <c r="L279" s="47">
        <f>[2]!RcCMaC(C279/10,D279/10,E279,G279*10,H279*10,I279/10,J279,4)</f>
        <v>57.939743400844101</v>
      </c>
      <c r="M279" s="48">
        <f>[2]!RcCMaC(C279/10,D279/10,E279,G279*10,H279*10, I279/10, J279,0)*10</f>
        <v>0</v>
      </c>
      <c r="N279" s="119">
        <v>319</v>
      </c>
      <c r="O279" s="120" t="str">
        <f t="shared" si="45"/>
        <v>NG</v>
      </c>
    </row>
    <row r="280" spans="3:15" x14ac:dyDescent="0.15">
      <c r="C280" s="52">
        <f t="shared" si="38"/>
        <v>500</v>
      </c>
      <c r="D280" s="35">
        <f t="shared" si="39"/>
        <v>190</v>
      </c>
      <c r="E280" s="28" t="str">
        <f t="shared" si="40"/>
        <v>6-D19</v>
      </c>
      <c r="F280" s="112">
        <f t="shared" si="41"/>
        <v>1721.9999313354492</v>
      </c>
      <c r="G280" s="112">
        <f t="shared" si="42"/>
        <v>14</v>
      </c>
      <c r="H280" s="112">
        <f t="shared" si="43"/>
        <v>345</v>
      </c>
      <c r="I280" s="111">
        <f t="shared" si="46"/>
        <v>3900</v>
      </c>
      <c r="J280" s="112">
        <f t="shared" si="44"/>
        <v>15</v>
      </c>
      <c r="K280" s="123">
        <f>[2]!RcCMaC(C280/10,D280/10,E280,G280*10,H280*10, I280/10, J280,3)</f>
        <v>180.00000498545322</v>
      </c>
      <c r="L280" s="47">
        <f>[2]!RcCMaC(C280/10,D280/10,E280,G280*10,H280*10,I280/10,J280,4)</f>
        <v>57.939743400844101</v>
      </c>
      <c r="M280" s="48">
        <f>[2]!RcCMaC(C280/10,D280/10,E280,G280*10,H280*10, I280/10, J280,0)*10</f>
        <v>0</v>
      </c>
      <c r="N280" s="119">
        <v>320</v>
      </c>
      <c r="O280" s="120" t="str">
        <f t="shared" si="45"/>
        <v>NG</v>
      </c>
    </row>
    <row r="281" spans="3:15" x14ac:dyDescent="0.15">
      <c r="C281" s="52">
        <f t="shared" si="38"/>
        <v>500</v>
      </c>
      <c r="D281" s="35">
        <f t="shared" si="39"/>
        <v>190</v>
      </c>
      <c r="E281" s="28" t="str">
        <f t="shared" si="40"/>
        <v>6-D19</v>
      </c>
      <c r="F281" s="112">
        <f t="shared" si="41"/>
        <v>1721.9999313354492</v>
      </c>
      <c r="G281" s="112">
        <f t="shared" si="42"/>
        <v>14</v>
      </c>
      <c r="H281" s="112">
        <f t="shared" si="43"/>
        <v>345</v>
      </c>
      <c r="I281" s="111">
        <f t="shared" si="46"/>
        <v>3920</v>
      </c>
      <c r="J281" s="112">
        <f t="shared" si="44"/>
        <v>15</v>
      </c>
      <c r="K281" s="123">
        <f>[2]!RcCMaC(C281/10,D281/10,E281,G281*10,H281*10, I281/10, J281,3)</f>
        <v>180.00000498545322</v>
      </c>
      <c r="L281" s="47">
        <f>[2]!RcCMaC(C281/10,D281/10,E281,G281*10,H281*10,I281/10,J281,4)</f>
        <v>57.939743400844101</v>
      </c>
      <c r="M281" s="48">
        <f>[2]!RcCMaC(C281/10,D281/10,E281,G281*10,H281*10, I281/10, J281,0)*10</f>
        <v>0</v>
      </c>
      <c r="N281" s="119">
        <v>321</v>
      </c>
      <c r="O281" s="120" t="str">
        <f t="shared" si="45"/>
        <v>NG</v>
      </c>
    </row>
    <row r="282" spans="3:15" x14ac:dyDescent="0.15">
      <c r="C282" s="52">
        <f t="shared" ref="C282:H285" si="47">+C281</f>
        <v>500</v>
      </c>
      <c r="D282" s="35">
        <f t="shared" si="47"/>
        <v>190</v>
      </c>
      <c r="E282" s="28" t="str">
        <f t="shared" si="47"/>
        <v>6-D19</v>
      </c>
      <c r="F282" s="112">
        <f t="shared" si="47"/>
        <v>1721.9999313354492</v>
      </c>
      <c r="G282" s="112">
        <f t="shared" si="47"/>
        <v>14</v>
      </c>
      <c r="H282" s="112">
        <f t="shared" si="47"/>
        <v>345</v>
      </c>
      <c r="I282" s="111">
        <f t="shared" si="46"/>
        <v>3940</v>
      </c>
      <c r="J282" s="112">
        <f>+J281</f>
        <v>15</v>
      </c>
      <c r="K282" s="123">
        <f>[2]!RcCMaC(C282/10,D282/10,E282,G282*10,H282*10, I282/10, J282,3)</f>
        <v>180.00000498545322</v>
      </c>
      <c r="L282" s="47">
        <f>[2]!RcCMaC(C282/10,D282/10,E282,G282*10,H282*10,I282/10,J282,4)</f>
        <v>57.939743400844101</v>
      </c>
      <c r="M282" s="48">
        <f>[2]!RcCMaC(C282/10,D282/10,E282,G282*10,H282*10, I282/10, J282,0)*10</f>
        <v>0</v>
      </c>
      <c r="N282" s="119">
        <v>322</v>
      </c>
      <c r="O282" s="120" t="str">
        <f>IF(M282&gt;N282,"OK","NG")</f>
        <v>NG</v>
      </c>
    </row>
    <row r="283" spans="3:15" x14ac:dyDescent="0.15">
      <c r="C283" s="52">
        <f t="shared" si="47"/>
        <v>500</v>
      </c>
      <c r="D283" s="35">
        <f t="shared" si="47"/>
        <v>190</v>
      </c>
      <c r="E283" s="28" t="str">
        <f t="shared" si="47"/>
        <v>6-D19</v>
      </c>
      <c r="F283" s="112">
        <f t="shared" si="47"/>
        <v>1721.9999313354492</v>
      </c>
      <c r="G283" s="112">
        <f t="shared" si="47"/>
        <v>14</v>
      </c>
      <c r="H283" s="112">
        <f t="shared" si="47"/>
        <v>345</v>
      </c>
      <c r="I283" s="111">
        <f t="shared" si="46"/>
        <v>3960</v>
      </c>
      <c r="J283" s="112">
        <f>+J282</f>
        <v>15</v>
      </c>
      <c r="K283" s="123">
        <f>[2]!RcCMaC(C283/10,D283/10,E283,G283*10,H283*10, I283/10, J283,3)</f>
        <v>180.00000498545322</v>
      </c>
      <c r="L283" s="47">
        <f>[2]!RcCMaC(C283/10,D283/10,E283,G283*10,H283*10,I283/10,J283,4)</f>
        <v>57.939743400844101</v>
      </c>
      <c r="M283" s="48">
        <f>[2]!RcCMaC(C283/10,D283/10,E283,G283*10,H283*10, I283/10, J283,0)*10</f>
        <v>0</v>
      </c>
      <c r="N283" s="119">
        <v>323</v>
      </c>
      <c r="O283" s="120" t="str">
        <f>IF(M283&gt;N283,"OK","NG")</f>
        <v>NG</v>
      </c>
    </row>
    <row r="284" spans="3:15" x14ac:dyDescent="0.15">
      <c r="C284" s="52">
        <f t="shared" si="47"/>
        <v>500</v>
      </c>
      <c r="D284" s="35">
        <f t="shared" si="47"/>
        <v>190</v>
      </c>
      <c r="E284" s="28" t="str">
        <f t="shared" si="47"/>
        <v>6-D19</v>
      </c>
      <c r="F284" s="112">
        <f t="shared" si="47"/>
        <v>1721.9999313354492</v>
      </c>
      <c r="G284" s="112">
        <f t="shared" si="47"/>
        <v>14</v>
      </c>
      <c r="H284" s="112">
        <f t="shared" si="47"/>
        <v>345</v>
      </c>
      <c r="I284" s="111">
        <f t="shared" si="46"/>
        <v>3980</v>
      </c>
      <c r="J284" s="112">
        <f>+J283</f>
        <v>15</v>
      </c>
      <c r="K284" s="123">
        <f>[2]!RcCMaC(C284/10,D284/10,E284,G284*10,H284*10, I284/10, J284,3)</f>
        <v>180.00000498545322</v>
      </c>
      <c r="L284" s="47">
        <f>[2]!RcCMaC(C284/10,D284/10,E284,G284*10,H284*10,I284/10,J284,4)</f>
        <v>57.939743400844101</v>
      </c>
      <c r="M284" s="48">
        <f>[2]!RcCMaC(C284/10,D284/10,E284,G284*10,H284*10, I284/10, J284,0)*10</f>
        <v>0</v>
      </c>
      <c r="N284" s="119">
        <v>324</v>
      </c>
      <c r="O284" s="120" t="str">
        <f>IF(M284&gt;N284,"OK","NG")</f>
        <v>NG</v>
      </c>
    </row>
    <row r="285" spans="3:15" x14ac:dyDescent="0.15">
      <c r="C285" s="52">
        <f t="shared" si="47"/>
        <v>500</v>
      </c>
      <c r="D285" s="35">
        <f t="shared" si="47"/>
        <v>190</v>
      </c>
      <c r="E285" s="28" t="str">
        <f t="shared" si="47"/>
        <v>6-D19</v>
      </c>
      <c r="F285" s="112">
        <f t="shared" si="47"/>
        <v>1721.9999313354492</v>
      </c>
      <c r="G285" s="112">
        <f t="shared" si="47"/>
        <v>14</v>
      </c>
      <c r="H285" s="112">
        <f t="shared" si="47"/>
        <v>345</v>
      </c>
      <c r="I285" s="111">
        <f t="shared" si="46"/>
        <v>4000</v>
      </c>
      <c r="J285" s="112">
        <f>+J284</f>
        <v>15</v>
      </c>
      <c r="K285" s="123">
        <f>[2]!RcCMaC(C285/10,D285/10,E285,G285*10,H285*10, I285/10, J285,3)</f>
        <v>180.00000498545322</v>
      </c>
      <c r="L285" s="47">
        <f>[2]!RcCMaC(C285/10,D285/10,E285,G285*10,H285*10,I285/10,J285,4)</f>
        <v>57.939743400844101</v>
      </c>
      <c r="M285" s="48">
        <f>[2]!RcCMaC(C285/10,D285/10,E285,G285*10,H285*10, I285/10, J285,0)*10</f>
        <v>0</v>
      </c>
      <c r="N285" s="119">
        <v>325</v>
      </c>
      <c r="O285" s="120" t="str">
        <f>IF(M285&gt;N285,"OK","NG")</f>
        <v>NG</v>
      </c>
    </row>
    <row r="286" spans="3:15" x14ac:dyDescent="0.15">
      <c r="C286" s="52">
        <f t="shared" ref="C286:C349" si="48">+C285</f>
        <v>500</v>
      </c>
      <c r="D286" s="35">
        <f t="shared" ref="D286:D349" si="49">+D285</f>
        <v>190</v>
      </c>
      <c r="E286" s="28" t="str">
        <f t="shared" ref="E286:E349" si="50">+E285</f>
        <v>6-D19</v>
      </c>
      <c r="F286" s="112">
        <f t="shared" ref="F286:F349" si="51">+F285</f>
        <v>1721.9999313354492</v>
      </c>
      <c r="G286" s="112">
        <f t="shared" ref="G286:G349" si="52">+G285</f>
        <v>14</v>
      </c>
      <c r="H286" s="112">
        <f t="shared" ref="H286:H349" si="53">+H285</f>
        <v>345</v>
      </c>
      <c r="I286" s="111">
        <f t="shared" si="46"/>
        <v>4020</v>
      </c>
      <c r="J286" s="112">
        <f t="shared" ref="J286:J349" si="54">+J285</f>
        <v>15</v>
      </c>
      <c r="K286" s="123">
        <f>[2]!RcCMaC(C286/10,D286/10,E286,G286*10,H286*10, I286/10, J286,3)</f>
        <v>180.00000498545322</v>
      </c>
      <c r="L286" s="47">
        <f>[2]!RcCMaC(C286/10,D286/10,E286,G286*10,H286*10,I286/10,J286,4)</f>
        <v>57.939743400844101</v>
      </c>
      <c r="M286" s="48">
        <f>[2]!RcCMaC(C286/10,D286/10,E286,G286*10,H286*10, I286/10, J286,0)*10</f>
        <v>0</v>
      </c>
      <c r="N286" s="119">
        <v>326</v>
      </c>
      <c r="O286" s="120" t="str">
        <f t="shared" ref="O286:O349" si="55">IF(M286&gt;N286,"OK","NG")</f>
        <v>NG</v>
      </c>
    </row>
    <row r="287" spans="3:15" x14ac:dyDescent="0.15">
      <c r="C287" s="52">
        <f t="shared" si="48"/>
        <v>500</v>
      </c>
      <c r="D287" s="35">
        <f t="shared" si="49"/>
        <v>190</v>
      </c>
      <c r="E287" s="28" t="str">
        <f t="shared" si="50"/>
        <v>6-D19</v>
      </c>
      <c r="F287" s="112">
        <f t="shared" si="51"/>
        <v>1721.9999313354492</v>
      </c>
      <c r="G287" s="112">
        <f t="shared" si="52"/>
        <v>14</v>
      </c>
      <c r="H287" s="112">
        <f t="shared" si="53"/>
        <v>345</v>
      </c>
      <c r="I287" s="111">
        <f t="shared" si="46"/>
        <v>4040</v>
      </c>
      <c r="J287" s="112">
        <f t="shared" si="54"/>
        <v>15</v>
      </c>
      <c r="K287" s="123">
        <f>[2]!RcCMaC(C287/10,D287/10,E287,G287*10,H287*10, I287/10, J287,3)</f>
        <v>180.00000498545322</v>
      </c>
      <c r="L287" s="47">
        <f>[2]!RcCMaC(C287/10,D287/10,E287,G287*10,H287*10,I287/10,J287,4)</f>
        <v>57.939743400844101</v>
      </c>
      <c r="M287" s="48">
        <f>[2]!RcCMaC(C287/10,D287/10,E287,G287*10,H287*10, I287/10, J287,0)*10</f>
        <v>0</v>
      </c>
      <c r="N287" s="119">
        <v>327</v>
      </c>
      <c r="O287" s="120" t="str">
        <f t="shared" si="55"/>
        <v>NG</v>
      </c>
    </row>
    <row r="288" spans="3:15" x14ac:dyDescent="0.15">
      <c r="C288" s="52">
        <f t="shared" si="48"/>
        <v>500</v>
      </c>
      <c r="D288" s="35">
        <f t="shared" si="49"/>
        <v>190</v>
      </c>
      <c r="E288" s="28" t="str">
        <f t="shared" si="50"/>
        <v>6-D19</v>
      </c>
      <c r="F288" s="112">
        <f t="shared" si="51"/>
        <v>1721.9999313354492</v>
      </c>
      <c r="G288" s="112">
        <f t="shared" si="52"/>
        <v>14</v>
      </c>
      <c r="H288" s="112">
        <f t="shared" si="53"/>
        <v>345</v>
      </c>
      <c r="I288" s="111">
        <f t="shared" si="46"/>
        <v>4060</v>
      </c>
      <c r="J288" s="112">
        <f t="shared" si="54"/>
        <v>15</v>
      </c>
      <c r="K288" s="123">
        <f>[2]!RcCMaC(C288/10,D288/10,E288,G288*10,H288*10, I288/10, J288,3)</f>
        <v>180.00000498545322</v>
      </c>
      <c r="L288" s="47">
        <f>[2]!RcCMaC(C288/10,D288/10,E288,G288*10,H288*10,I288/10,J288,4)</f>
        <v>57.939743400844101</v>
      </c>
      <c r="M288" s="48">
        <f>[2]!RcCMaC(C288/10,D288/10,E288,G288*10,H288*10, I288/10, J288,0)*10</f>
        <v>0</v>
      </c>
      <c r="N288" s="119">
        <v>328</v>
      </c>
      <c r="O288" s="120" t="str">
        <f t="shared" si="55"/>
        <v>NG</v>
      </c>
    </row>
    <row r="289" spans="3:15" x14ac:dyDescent="0.15">
      <c r="C289" s="52">
        <f t="shared" si="48"/>
        <v>500</v>
      </c>
      <c r="D289" s="35">
        <f t="shared" si="49"/>
        <v>190</v>
      </c>
      <c r="E289" s="28" t="str">
        <f t="shared" si="50"/>
        <v>6-D19</v>
      </c>
      <c r="F289" s="112">
        <f t="shared" si="51"/>
        <v>1721.9999313354492</v>
      </c>
      <c r="G289" s="112">
        <f t="shared" si="52"/>
        <v>14</v>
      </c>
      <c r="H289" s="112">
        <f t="shared" si="53"/>
        <v>345</v>
      </c>
      <c r="I289" s="111">
        <f t="shared" si="46"/>
        <v>4080</v>
      </c>
      <c r="J289" s="112">
        <f t="shared" si="54"/>
        <v>15</v>
      </c>
      <c r="K289" s="123">
        <f>[2]!RcCMaC(C289/10,D289/10,E289,G289*10,H289*10, I289/10, J289,3)</f>
        <v>180.00000498545322</v>
      </c>
      <c r="L289" s="47">
        <f>[2]!RcCMaC(C289/10,D289/10,E289,G289*10,H289*10,I289/10,J289,4)</f>
        <v>57.939743400844101</v>
      </c>
      <c r="M289" s="48">
        <f>[2]!RcCMaC(C289/10,D289/10,E289,G289*10,H289*10, I289/10, J289,0)*10</f>
        <v>0</v>
      </c>
      <c r="N289" s="119">
        <v>329</v>
      </c>
      <c r="O289" s="120" t="str">
        <f t="shared" si="55"/>
        <v>NG</v>
      </c>
    </row>
    <row r="290" spans="3:15" x14ac:dyDescent="0.15">
      <c r="C290" s="52">
        <f t="shared" si="48"/>
        <v>500</v>
      </c>
      <c r="D290" s="35">
        <f t="shared" si="49"/>
        <v>190</v>
      </c>
      <c r="E290" s="28" t="str">
        <f t="shared" si="50"/>
        <v>6-D19</v>
      </c>
      <c r="F290" s="112">
        <f t="shared" si="51"/>
        <v>1721.9999313354492</v>
      </c>
      <c r="G290" s="112">
        <f t="shared" si="52"/>
        <v>14</v>
      </c>
      <c r="H290" s="112">
        <f t="shared" si="53"/>
        <v>345</v>
      </c>
      <c r="I290" s="111">
        <f t="shared" si="46"/>
        <v>4100</v>
      </c>
      <c r="J290" s="112">
        <f t="shared" si="54"/>
        <v>15</v>
      </c>
      <c r="K290" s="123">
        <f>[2]!RcCMaC(C290/10,D290/10,E290,G290*10,H290*10, I290/10, J290,3)</f>
        <v>180.00000498545322</v>
      </c>
      <c r="L290" s="47">
        <f>[2]!RcCMaC(C290/10,D290/10,E290,G290*10,H290*10,I290/10,J290,4)</f>
        <v>57.939743400844101</v>
      </c>
      <c r="M290" s="48">
        <f>[2]!RcCMaC(C290/10,D290/10,E290,G290*10,H290*10, I290/10, J290,0)*10</f>
        <v>0</v>
      </c>
      <c r="N290" s="119">
        <v>330</v>
      </c>
      <c r="O290" s="120" t="str">
        <f t="shared" si="55"/>
        <v>NG</v>
      </c>
    </row>
    <row r="291" spans="3:15" x14ac:dyDescent="0.15">
      <c r="C291" s="52">
        <f t="shared" si="48"/>
        <v>500</v>
      </c>
      <c r="D291" s="35">
        <f t="shared" si="49"/>
        <v>190</v>
      </c>
      <c r="E291" s="28" t="str">
        <f t="shared" si="50"/>
        <v>6-D19</v>
      </c>
      <c r="F291" s="112">
        <f t="shared" si="51"/>
        <v>1721.9999313354492</v>
      </c>
      <c r="G291" s="112">
        <f t="shared" si="52"/>
        <v>14</v>
      </c>
      <c r="H291" s="112">
        <f t="shared" si="53"/>
        <v>345</v>
      </c>
      <c r="I291" s="111">
        <f t="shared" si="46"/>
        <v>4120</v>
      </c>
      <c r="J291" s="112">
        <f t="shared" si="54"/>
        <v>15</v>
      </c>
      <c r="K291" s="123">
        <f>[2]!RcCMaC(C291/10,D291/10,E291,G291*10,H291*10, I291/10, J291,3)</f>
        <v>180.00000498545322</v>
      </c>
      <c r="L291" s="47">
        <f>[2]!RcCMaC(C291/10,D291/10,E291,G291*10,H291*10,I291/10,J291,4)</f>
        <v>57.939743400844101</v>
      </c>
      <c r="M291" s="48">
        <f>[2]!RcCMaC(C291/10,D291/10,E291,G291*10,H291*10, I291/10, J291,0)*10</f>
        <v>0</v>
      </c>
      <c r="N291" s="119">
        <v>331</v>
      </c>
      <c r="O291" s="120" t="str">
        <f t="shared" si="55"/>
        <v>NG</v>
      </c>
    </row>
    <row r="292" spans="3:15" x14ac:dyDescent="0.15">
      <c r="C292" s="52">
        <f t="shared" si="48"/>
        <v>500</v>
      </c>
      <c r="D292" s="35">
        <f t="shared" si="49"/>
        <v>190</v>
      </c>
      <c r="E292" s="28" t="str">
        <f t="shared" si="50"/>
        <v>6-D19</v>
      </c>
      <c r="F292" s="112">
        <f t="shared" si="51"/>
        <v>1721.9999313354492</v>
      </c>
      <c r="G292" s="112">
        <f t="shared" si="52"/>
        <v>14</v>
      </c>
      <c r="H292" s="112">
        <f t="shared" si="53"/>
        <v>345</v>
      </c>
      <c r="I292" s="111">
        <f t="shared" si="46"/>
        <v>4140</v>
      </c>
      <c r="J292" s="112">
        <f t="shared" si="54"/>
        <v>15</v>
      </c>
      <c r="K292" s="123">
        <f>[2]!RcCMaC(C292/10,D292/10,E292,G292*10,H292*10, I292/10, J292,3)</f>
        <v>180.00000498545322</v>
      </c>
      <c r="L292" s="47">
        <f>[2]!RcCMaC(C292/10,D292/10,E292,G292*10,H292*10,I292/10,J292,4)</f>
        <v>57.939743400844101</v>
      </c>
      <c r="M292" s="48">
        <f>[2]!RcCMaC(C292/10,D292/10,E292,G292*10,H292*10, I292/10, J292,0)*10</f>
        <v>0</v>
      </c>
      <c r="N292" s="119">
        <v>332</v>
      </c>
      <c r="O292" s="120" t="str">
        <f t="shared" si="55"/>
        <v>NG</v>
      </c>
    </row>
    <row r="293" spans="3:15" x14ac:dyDescent="0.15">
      <c r="C293" s="52">
        <f t="shared" si="48"/>
        <v>500</v>
      </c>
      <c r="D293" s="35">
        <f t="shared" si="49"/>
        <v>190</v>
      </c>
      <c r="E293" s="28" t="str">
        <f t="shared" si="50"/>
        <v>6-D19</v>
      </c>
      <c r="F293" s="112">
        <f t="shared" si="51"/>
        <v>1721.9999313354492</v>
      </c>
      <c r="G293" s="112">
        <f t="shared" si="52"/>
        <v>14</v>
      </c>
      <c r="H293" s="112">
        <f t="shared" si="53"/>
        <v>345</v>
      </c>
      <c r="I293" s="111">
        <f t="shared" si="46"/>
        <v>4160</v>
      </c>
      <c r="J293" s="112">
        <f t="shared" si="54"/>
        <v>15</v>
      </c>
      <c r="K293" s="123">
        <f>[2]!RcCMaC(C293/10,D293/10,E293,G293*10,H293*10, I293/10, J293,3)</f>
        <v>180.00000498545322</v>
      </c>
      <c r="L293" s="47">
        <f>[2]!RcCMaC(C293/10,D293/10,E293,G293*10,H293*10,I293/10,J293,4)</f>
        <v>57.939743400844101</v>
      </c>
      <c r="M293" s="48">
        <f>[2]!RcCMaC(C293/10,D293/10,E293,G293*10,H293*10, I293/10, J293,0)*10</f>
        <v>0</v>
      </c>
      <c r="N293" s="119">
        <v>333</v>
      </c>
      <c r="O293" s="120" t="str">
        <f t="shared" si="55"/>
        <v>NG</v>
      </c>
    </row>
    <row r="294" spans="3:15" x14ac:dyDescent="0.15">
      <c r="C294" s="52">
        <f t="shared" si="48"/>
        <v>500</v>
      </c>
      <c r="D294" s="35">
        <f t="shared" si="49"/>
        <v>190</v>
      </c>
      <c r="E294" s="28" t="str">
        <f t="shared" si="50"/>
        <v>6-D19</v>
      </c>
      <c r="F294" s="112">
        <f t="shared" si="51"/>
        <v>1721.9999313354492</v>
      </c>
      <c r="G294" s="112">
        <f t="shared" si="52"/>
        <v>14</v>
      </c>
      <c r="H294" s="112">
        <f t="shared" si="53"/>
        <v>345</v>
      </c>
      <c r="I294" s="111">
        <f t="shared" si="46"/>
        <v>4180</v>
      </c>
      <c r="J294" s="112">
        <f t="shared" si="54"/>
        <v>15</v>
      </c>
      <c r="K294" s="123">
        <f>[2]!RcCMaC(C294/10,D294/10,E294,G294*10,H294*10, I294/10, J294,3)</f>
        <v>180.00000498545322</v>
      </c>
      <c r="L294" s="47">
        <f>[2]!RcCMaC(C294/10,D294/10,E294,G294*10,H294*10,I294/10,J294,4)</f>
        <v>57.939743400844101</v>
      </c>
      <c r="M294" s="48">
        <f>[2]!RcCMaC(C294/10,D294/10,E294,G294*10,H294*10, I294/10, J294,0)*10</f>
        <v>0</v>
      </c>
      <c r="N294" s="119">
        <v>334</v>
      </c>
      <c r="O294" s="120" t="str">
        <f t="shared" si="55"/>
        <v>NG</v>
      </c>
    </row>
    <row r="295" spans="3:15" x14ac:dyDescent="0.15">
      <c r="C295" s="52">
        <f t="shared" si="48"/>
        <v>500</v>
      </c>
      <c r="D295" s="35">
        <f t="shared" si="49"/>
        <v>190</v>
      </c>
      <c r="E295" s="28" t="str">
        <f t="shared" si="50"/>
        <v>6-D19</v>
      </c>
      <c r="F295" s="112">
        <f t="shared" si="51"/>
        <v>1721.9999313354492</v>
      </c>
      <c r="G295" s="112">
        <f t="shared" si="52"/>
        <v>14</v>
      </c>
      <c r="H295" s="112">
        <f t="shared" si="53"/>
        <v>345</v>
      </c>
      <c r="I295" s="111">
        <f t="shared" si="46"/>
        <v>4200</v>
      </c>
      <c r="J295" s="112">
        <f t="shared" si="54"/>
        <v>15</v>
      </c>
      <c r="K295" s="123">
        <f>[2]!RcCMaC(C295/10,D295/10,E295,G295*10,H295*10, I295/10, J295,3)</f>
        <v>180.00000498545322</v>
      </c>
      <c r="L295" s="47">
        <f>[2]!RcCMaC(C295/10,D295/10,E295,G295*10,H295*10,I295/10,J295,4)</f>
        <v>57.939743400844101</v>
      </c>
      <c r="M295" s="48">
        <f>[2]!RcCMaC(C295/10,D295/10,E295,G295*10,H295*10, I295/10, J295,0)*10</f>
        <v>0</v>
      </c>
      <c r="N295" s="119">
        <v>335</v>
      </c>
      <c r="O295" s="120" t="str">
        <f t="shared" si="55"/>
        <v>NG</v>
      </c>
    </row>
    <row r="296" spans="3:15" x14ac:dyDescent="0.15">
      <c r="C296" s="52">
        <f t="shared" si="48"/>
        <v>500</v>
      </c>
      <c r="D296" s="35">
        <f t="shared" si="49"/>
        <v>190</v>
      </c>
      <c r="E296" s="28" t="str">
        <f t="shared" si="50"/>
        <v>6-D19</v>
      </c>
      <c r="F296" s="112">
        <f t="shared" si="51"/>
        <v>1721.9999313354492</v>
      </c>
      <c r="G296" s="112">
        <f t="shared" si="52"/>
        <v>14</v>
      </c>
      <c r="H296" s="112">
        <f t="shared" si="53"/>
        <v>345</v>
      </c>
      <c r="I296" s="111">
        <f t="shared" si="46"/>
        <v>4220</v>
      </c>
      <c r="J296" s="112">
        <f t="shared" si="54"/>
        <v>15</v>
      </c>
      <c r="K296" s="123">
        <f>[2]!RcCMaC(C296/10,D296/10,E296,G296*10,H296*10, I296/10, J296,3)</f>
        <v>180.00000498545322</v>
      </c>
      <c r="L296" s="47">
        <f>[2]!RcCMaC(C296/10,D296/10,E296,G296*10,H296*10,I296/10,J296,4)</f>
        <v>57.939743400844101</v>
      </c>
      <c r="M296" s="48">
        <f>[2]!RcCMaC(C296/10,D296/10,E296,G296*10,H296*10, I296/10, J296,0)*10</f>
        <v>0</v>
      </c>
      <c r="N296" s="119">
        <v>336</v>
      </c>
      <c r="O296" s="120" t="str">
        <f t="shared" si="55"/>
        <v>NG</v>
      </c>
    </row>
    <row r="297" spans="3:15" x14ac:dyDescent="0.15">
      <c r="C297" s="52">
        <f t="shared" si="48"/>
        <v>500</v>
      </c>
      <c r="D297" s="35">
        <f t="shared" si="49"/>
        <v>190</v>
      </c>
      <c r="E297" s="28" t="str">
        <f t="shared" si="50"/>
        <v>6-D19</v>
      </c>
      <c r="F297" s="112">
        <f t="shared" si="51"/>
        <v>1721.9999313354492</v>
      </c>
      <c r="G297" s="112">
        <f t="shared" si="52"/>
        <v>14</v>
      </c>
      <c r="H297" s="112">
        <f t="shared" si="53"/>
        <v>345</v>
      </c>
      <c r="I297" s="111">
        <f t="shared" si="46"/>
        <v>4240</v>
      </c>
      <c r="J297" s="112">
        <f t="shared" si="54"/>
        <v>15</v>
      </c>
      <c r="K297" s="123">
        <f>[2]!RcCMaC(C297/10,D297/10,E297,G297*10,H297*10, I297/10, J297,3)</f>
        <v>180.00000498545322</v>
      </c>
      <c r="L297" s="47">
        <f>[2]!RcCMaC(C297/10,D297/10,E297,G297*10,H297*10,I297/10,J297,4)</f>
        <v>57.939743400844101</v>
      </c>
      <c r="M297" s="48">
        <f>[2]!RcCMaC(C297/10,D297/10,E297,G297*10,H297*10, I297/10, J297,0)*10</f>
        <v>0</v>
      </c>
      <c r="N297" s="119">
        <v>337</v>
      </c>
      <c r="O297" s="120" t="str">
        <f t="shared" si="55"/>
        <v>NG</v>
      </c>
    </row>
    <row r="298" spans="3:15" x14ac:dyDescent="0.15">
      <c r="C298" s="52">
        <f t="shared" si="48"/>
        <v>500</v>
      </c>
      <c r="D298" s="35">
        <f t="shared" si="49"/>
        <v>190</v>
      </c>
      <c r="E298" s="28" t="str">
        <f t="shared" si="50"/>
        <v>6-D19</v>
      </c>
      <c r="F298" s="112">
        <f t="shared" si="51"/>
        <v>1721.9999313354492</v>
      </c>
      <c r="G298" s="112">
        <f t="shared" si="52"/>
        <v>14</v>
      </c>
      <c r="H298" s="112">
        <f t="shared" si="53"/>
        <v>345</v>
      </c>
      <c r="I298" s="111">
        <f t="shared" si="46"/>
        <v>4260</v>
      </c>
      <c r="J298" s="112">
        <f t="shared" si="54"/>
        <v>15</v>
      </c>
      <c r="K298" s="123">
        <f>[2]!RcCMaC(C298/10,D298/10,E298,G298*10,H298*10, I298/10, J298,3)</f>
        <v>180.00000498545322</v>
      </c>
      <c r="L298" s="47">
        <f>[2]!RcCMaC(C298/10,D298/10,E298,G298*10,H298*10,I298/10,J298,4)</f>
        <v>57.939743400844101</v>
      </c>
      <c r="M298" s="48">
        <f>[2]!RcCMaC(C298/10,D298/10,E298,G298*10,H298*10, I298/10, J298,0)*10</f>
        <v>0</v>
      </c>
      <c r="N298" s="119">
        <v>338</v>
      </c>
      <c r="O298" s="120" t="str">
        <f t="shared" si="55"/>
        <v>NG</v>
      </c>
    </row>
    <row r="299" spans="3:15" x14ac:dyDescent="0.15">
      <c r="C299" s="52">
        <f t="shared" si="48"/>
        <v>500</v>
      </c>
      <c r="D299" s="35">
        <f t="shared" si="49"/>
        <v>190</v>
      </c>
      <c r="E299" s="28" t="str">
        <f t="shared" si="50"/>
        <v>6-D19</v>
      </c>
      <c r="F299" s="112">
        <f t="shared" si="51"/>
        <v>1721.9999313354492</v>
      </c>
      <c r="G299" s="112">
        <f t="shared" si="52"/>
        <v>14</v>
      </c>
      <c r="H299" s="112">
        <f t="shared" si="53"/>
        <v>345</v>
      </c>
      <c r="I299" s="111">
        <f t="shared" si="46"/>
        <v>4280</v>
      </c>
      <c r="J299" s="112">
        <f t="shared" si="54"/>
        <v>15</v>
      </c>
      <c r="K299" s="123">
        <f>[2]!RcCMaC(C299/10,D299/10,E299,G299*10,H299*10, I299/10, J299,3)</f>
        <v>180.00000498545322</v>
      </c>
      <c r="L299" s="47">
        <f>[2]!RcCMaC(C299/10,D299/10,E299,G299*10,H299*10,I299/10,J299,4)</f>
        <v>57.939743400844101</v>
      </c>
      <c r="M299" s="48">
        <f>[2]!RcCMaC(C299/10,D299/10,E299,G299*10,H299*10, I299/10, J299,0)*10</f>
        <v>0</v>
      </c>
      <c r="N299" s="119">
        <v>339</v>
      </c>
      <c r="O299" s="120" t="str">
        <f t="shared" si="55"/>
        <v>NG</v>
      </c>
    </row>
    <row r="300" spans="3:15" x14ac:dyDescent="0.15">
      <c r="C300" s="52">
        <f t="shared" si="48"/>
        <v>500</v>
      </c>
      <c r="D300" s="35">
        <f t="shared" si="49"/>
        <v>190</v>
      </c>
      <c r="E300" s="28" t="str">
        <f t="shared" si="50"/>
        <v>6-D19</v>
      </c>
      <c r="F300" s="112">
        <f t="shared" si="51"/>
        <v>1721.9999313354492</v>
      </c>
      <c r="G300" s="112">
        <f t="shared" si="52"/>
        <v>14</v>
      </c>
      <c r="H300" s="112">
        <f t="shared" si="53"/>
        <v>345</v>
      </c>
      <c r="I300" s="111">
        <f t="shared" si="46"/>
        <v>4300</v>
      </c>
      <c r="J300" s="112">
        <f t="shared" si="54"/>
        <v>15</v>
      </c>
      <c r="K300" s="123">
        <f>[2]!RcCMaC(C300/10,D300/10,E300,G300*10,H300*10, I300/10, J300,3)</f>
        <v>180.00000498545322</v>
      </c>
      <c r="L300" s="47">
        <f>[2]!RcCMaC(C300/10,D300/10,E300,G300*10,H300*10,I300/10,J300,4)</f>
        <v>57.939743400844101</v>
      </c>
      <c r="M300" s="48">
        <f>[2]!RcCMaC(C300/10,D300/10,E300,G300*10,H300*10, I300/10, J300,0)*10</f>
        <v>0</v>
      </c>
      <c r="N300" s="119">
        <v>340</v>
      </c>
      <c r="O300" s="120" t="str">
        <f t="shared" si="55"/>
        <v>NG</v>
      </c>
    </row>
    <row r="301" spans="3:15" x14ac:dyDescent="0.15">
      <c r="C301" s="52">
        <f t="shared" si="48"/>
        <v>500</v>
      </c>
      <c r="D301" s="35">
        <f t="shared" si="49"/>
        <v>190</v>
      </c>
      <c r="E301" s="28" t="str">
        <f t="shared" si="50"/>
        <v>6-D19</v>
      </c>
      <c r="F301" s="112">
        <f t="shared" si="51"/>
        <v>1721.9999313354492</v>
      </c>
      <c r="G301" s="112">
        <f t="shared" si="52"/>
        <v>14</v>
      </c>
      <c r="H301" s="112">
        <f t="shared" si="53"/>
        <v>345</v>
      </c>
      <c r="I301" s="111">
        <f t="shared" si="46"/>
        <v>4320</v>
      </c>
      <c r="J301" s="112">
        <f t="shared" si="54"/>
        <v>15</v>
      </c>
      <c r="K301" s="123">
        <f>[2]!RcCMaC(C301/10,D301/10,E301,G301*10,H301*10, I301/10, J301,3)</f>
        <v>180.00000498545322</v>
      </c>
      <c r="L301" s="47">
        <f>[2]!RcCMaC(C301/10,D301/10,E301,G301*10,H301*10,I301/10,J301,4)</f>
        <v>57.939743400844101</v>
      </c>
      <c r="M301" s="48">
        <f>[2]!RcCMaC(C301/10,D301/10,E301,G301*10,H301*10, I301/10, J301,0)*10</f>
        <v>0</v>
      </c>
      <c r="N301" s="119">
        <v>341</v>
      </c>
      <c r="O301" s="120" t="str">
        <f t="shared" si="55"/>
        <v>NG</v>
      </c>
    </row>
    <row r="302" spans="3:15" x14ac:dyDescent="0.15">
      <c r="C302" s="52">
        <f t="shared" si="48"/>
        <v>500</v>
      </c>
      <c r="D302" s="35">
        <f t="shared" si="49"/>
        <v>190</v>
      </c>
      <c r="E302" s="28" t="str">
        <f t="shared" si="50"/>
        <v>6-D19</v>
      </c>
      <c r="F302" s="112">
        <f t="shared" si="51"/>
        <v>1721.9999313354492</v>
      </c>
      <c r="G302" s="112">
        <f t="shared" si="52"/>
        <v>14</v>
      </c>
      <c r="H302" s="112">
        <f t="shared" si="53"/>
        <v>345</v>
      </c>
      <c r="I302" s="111">
        <f t="shared" si="46"/>
        <v>4340</v>
      </c>
      <c r="J302" s="112">
        <f t="shared" si="54"/>
        <v>15</v>
      </c>
      <c r="K302" s="123">
        <f>[2]!RcCMaC(C302/10,D302/10,E302,G302*10,H302*10, I302/10, J302,3)</f>
        <v>180.00000498545322</v>
      </c>
      <c r="L302" s="47">
        <f>[2]!RcCMaC(C302/10,D302/10,E302,G302*10,H302*10,I302/10,J302,4)</f>
        <v>57.939743400844101</v>
      </c>
      <c r="M302" s="48">
        <f>[2]!RcCMaC(C302/10,D302/10,E302,G302*10,H302*10, I302/10, J302,0)*10</f>
        <v>0</v>
      </c>
      <c r="N302" s="119">
        <v>342</v>
      </c>
      <c r="O302" s="120" t="str">
        <f t="shared" si="55"/>
        <v>NG</v>
      </c>
    </row>
    <row r="303" spans="3:15" x14ac:dyDescent="0.15">
      <c r="C303" s="52">
        <f t="shared" si="48"/>
        <v>500</v>
      </c>
      <c r="D303" s="35">
        <f t="shared" si="49"/>
        <v>190</v>
      </c>
      <c r="E303" s="28" t="str">
        <f t="shared" si="50"/>
        <v>6-D19</v>
      </c>
      <c r="F303" s="112">
        <f t="shared" si="51"/>
        <v>1721.9999313354492</v>
      </c>
      <c r="G303" s="112">
        <f t="shared" si="52"/>
        <v>14</v>
      </c>
      <c r="H303" s="112">
        <f t="shared" si="53"/>
        <v>345</v>
      </c>
      <c r="I303" s="111">
        <f t="shared" si="46"/>
        <v>4360</v>
      </c>
      <c r="J303" s="112">
        <f t="shared" si="54"/>
        <v>15</v>
      </c>
      <c r="K303" s="123">
        <f>[2]!RcCMaC(C303/10,D303/10,E303,G303*10,H303*10, I303/10, J303,3)</f>
        <v>180.00000498545322</v>
      </c>
      <c r="L303" s="47">
        <f>[2]!RcCMaC(C303/10,D303/10,E303,G303*10,H303*10,I303/10,J303,4)</f>
        <v>57.939743400844101</v>
      </c>
      <c r="M303" s="48">
        <f>[2]!RcCMaC(C303/10,D303/10,E303,G303*10,H303*10, I303/10, J303,0)*10</f>
        <v>0</v>
      </c>
      <c r="N303" s="119">
        <v>343</v>
      </c>
      <c r="O303" s="120" t="str">
        <f t="shared" si="55"/>
        <v>NG</v>
      </c>
    </row>
    <row r="304" spans="3:15" x14ac:dyDescent="0.15">
      <c r="C304" s="52">
        <f t="shared" si="48"/>
        <v>500</v>
      </c>
      <c r="D304" s="35">
        <f t="shared" si="49"/>
        <v>190</v>
      </c>
      <c r="E304" s="28" t="str">
        <f t="shared" si="50"/>
        <v>6-D19</v>
      </c>
      <c r="F304" s="112">
        <f t="shared" si="51"/>
        <v>1721.9999313354492</v>
      </c>
      <c r="G304" s="112">
        <f t="shared" si="52"/>
        <v>14</v>
      </c>
      <c r="H304" s="112">
        <f t="shared" si="53"/>
        <v>345</v>
      </c>
      <c r="I304" s="111">
        <f t="shared" si="46"/>
        <v>4380</v>
      </c>
      <c r="J304" s="112">
        <f t="shared" si="54"/>
        <v>15</v>
      </c>
      <c r="K304" s="123">
        <f>[2]!RcCMaC(C304/10,D304/10,E304,G304*10,H304*10, I304/10, J304,3)</f>
        <v>180.00000498545322</v>
      </c>
      <c r="L304" s="47">
        <f>[2]!RcCMaC(C304/10,D304/10,E304,G304*10,H304*10,I304/10,J304,4)</f>
        <v>57.939743400844101</v>
      </c>
      <c r="M304" s="48">
        <f>[2]!RcCMaC(C304/10,D304/10,E304,G304*10,H304*10, I304/10, J304,0)*10</f>
        <v>0</v>
      </c>
      <c r="N304" s="119">
        <v>344</v>
      </c>
      <c r="O304" s="120" t="str">
        <f t="shared" si="55"/>
        <v>NG</v>
      </c>
    </row>
    <row r="305" spans="3:15" x14ac:dyDescent="0.15">
      <c r="C305" s="52">
        <f t="shared" si="48"/>
        <v>500</v>
      </c>
      <c r="D305" s="35">
        <f t="shared" si="49"/>
        <v>190</v>
      </c>
      <c r="E305" s="28" t="str">
        <f t="shared" si="50"/>
        <v>6-D19</v>
      </c>
      <c r="F305" s="112">
        <f t="shared" si="51"/>
        <v>1721.9999313354492</v>
      </c>
      <c r="G305" s="112">
        <f t="shared" si="52"/>
        <v>14</v>
      </c>
      <c r="H305" s="112">
        <f t="shared" si="53"/>
        <v>345</v>
      </c>
      <c r="I305" s="111">
        <f t="shared" si="46"/>
        <v>4400</v>
      </c>
      <c r="J305" s="112">
        <f t="shared" si="54"/>
        <v>15</v>
      </c>
      <c r="K305" s="123">
        <f>[2]!RcCMaC(C305/10,D305/10,E305,G305*10,H305*10, I305/10, J305,3)</f>
        <v>180.00000498545322</v>
      </c>
      <c r="L305" s="47">
        <f>[2]!RcCMaC(C305/10,D305/10,E305,G305*10,H305*10,I305/10,J305,4)</f>
        <v>57.939743400844101</v>
      </c>
      <c r="M305" s="48">
        <f>[2]!RcCMaC(C305/10,D305/10,E305,G305*10,H305*10, I305/10, J305,0)*10</f>
        <v>0</v>
      </c>
      <c r="N305" s="119">
        <v>345</v>
      </c>
      <c r="O305" s="120" t="str">
        <f t="shared" si="55"/>
        <v>NG</v>
      </c>
    </row>
    <row r="306" spans="3:15" x14ac:dyDescent="0.15">
      <c r="C306" s="52">
        <f t="shared" si="48"/>
        <v>500</v>
      </c>
      <c r="D306" s="35">
        <f t="shared" si="49"/>
        <v>190</v>
      </c>
      <c r="E306" s="28" t="str">
        <f t="shared" si="50"/>
        <v>6-D19</v>
      </c>
      <c r="F306" s="112">
        <f t="shared" si="51"/>
        <v>1721.9999313354492</v>
      </c>
      <c r="G306" s="112">
        <f t="shared" si="52"/>
        <v>14</v>
      </c>
      <c r="H306" s="112">
        <f t="shared" si="53"/>
        <v>345</v>
      </c>
      <c r="I306" s="111">
        <f t="shared" si="46"/>
        <v>4420</v>
      </c>
      <c r="J306" s="112">
        <f t="shared" si="54"/>
        <v>15</v>
      </c>
      <c r="K306" s="123">
        <f>[2]!RcCMaC(C306/10,D306/10,E306,G306*10,H306*10, I306/10, J306,3)</f>
        <v>180.00000498545322</v>
      </c>
      <c r="L306" s="47">
        <f>[2]!RcCMaC(C306/10,D306/10,E306,G306*10,H306*10,I306/10,J306,4)</f>
        <v>57.939743400844101</v>
      </c>
      <c r="M306" s="48">
        <f>[2]!RcCMaC(C306/10,D306/10,E306,G306*10,H306*10, I306/10, J306,0)*10</f>
        <v>0</v>
      </c>
      <c r="N306" s="119">
        <v>346</v>
      </c>
      <c r="O306" s="120" t="str">
        <f t="shared" si="55"/>
        <v>NG</v>
      </c>
    </row>
    <row r="307" spans="3:15" x14ac:dyDescent="0.15">
      <c r="C307" s="52">
        <f t="shared" si="48"/>
        <v>500</v>
      </c>
      <c r="D307" s="35">
        <f t="shared" si="49"/>
        <v>190</v>
      </c>
      <c r="E307" s="28" t="str">
        <f t="shared" si="50"/>
        <v>6-D19</v>
      </c>
      <c r="F307" s="112">
        <f t="shared" si="51"/>
        <v>1721.9999313354492</v>
      </c>
      <c r="G307" s="112">
        <f t="shared" si="52"/>
        <v>14</v>
      </c>
      <c r="H307" s="112">
        <f t="shared" si="53"/>
        <v>345</v>
      </c>
      <c r="I307" s="111">
        <f t="shared" si="46"/>
        <v>4440</v>
      </c>
      <c r="J307" s="112">
        <f t="shared" si="54"/>
        <v>15</v>
      </c>
      <c r="K307" s="123">
        <f>[2]!RcCMaC(C307/10,D307/10,E307,G307*10,H307*10, I307/10, J307,3)</f>
        <v>180.00000498545322</v>
      </c>
      <c r="L307" s="47">
        <f>[2]!RcCMaC(C307/10,D307/10,E307,G307*10,H307*10,I307/10,J307,4)</f>
        <v>57.939743400844101</v>
      </c>
      <c r="M307" s="48">
        <f>[2]!RcCMaC(C307/10,D307/10,E307,G307*10,H307*10, I307/10, J307,0)*10</f>
        <v>0</v>
      </c>
      <c r="N307" s="119">
        <v>347</v>
      </c>
      <c r="O307" s="120" t="str">
        <f t="shared" si="55"/>
        <v>NG</v>
      </c>
    </row>
    <row r="308" spans="3:15" x14ac:dyDescent="0.15">
      <c r="C308" s="52">
        <f t="shared" si="48"/>
        <v>500</v>
      </c>
      <c r="D308" s="35">
        <f t="shared" si="49"/>
        <v>190</v>
      </c>
      <c r="E308" s="28" t="str">
        <f t="shared" si="50"/>
        <v>6-D19</v>
      </c>
      <c r="F308" s="112">
        <f t="shared" si="51"/>
        <v>1721.9999313354492</v>
      </c>
      <c r="G308" s="112">
        <f t="shared" si="52"/>
        <v>14</v>
      </c>
      <c r="H308" s="112">
        <f t="shared" si="53"/>
        <v>345</v>
      </c>
      <c r="I308" s="111">
        <f t="shared" si="46"/>
        <v>4460</v>
      </c>
      <c r="J308" s="112">
        <f t="shared" si="54"/>
        <v>15</v>
      </c>
      <c r="K308" s="123">
        <f>[2]!RcCMaC(C308/10,D308/10,E308,G308*10,H308*10, I308/10, J308,3)</f>
        <v>180.00000498545322</v>
      </c>
      <c r="L308" s="47">
        <f>[2]!RcCMaC(C308/10,D308/10,E308,G308*10,H308*10,I308/10,J308,4)</f>
        <v>57.939743400844101</v>
      </c>
      <c r="M308" s="48">
        <f>[2]!RcCMaC(C308/10,D308/10,E308,G308*10,H308*10, I308/10, J308,0)*10</f>
        <v>0</v>
      </c>
      <c r="N308" s="119">
        <v>348</v>
      </c>
      <c r="O308" s="120" t="str">
        <f t="shared" si="55"/>
        <v>NG</v>
      </c>
    </row>
    <row r="309" spans="3:15" x14ac:dyDescent="0.15">
      <c r="C309" s="52">
        <f t="shared" si="48"/>
        <v>500</v>
      </c>
      <c r="D309" s="35">
        <f t="shared" si="49"/>
        <v>190</v>
      </c>
      <c r="E309" s="28" t="str">
        <f t="shared" si="50"/>
        <v>6-D19</v>
      </c>
      <c r="F309" s="112">
        <f t="shared" si="51"/>
        <v>1721.9999313354492</v>
      </c>
      <c r="G309" s="112">
        <f t="shared" si="52"/>
        <v>14</v>
      </c>
      <c r="H309" s="112">
        <f t="shared" si="53"/>
        <v>345</v>
      </c>
      <c r="I309" s="111">
        <f t="shared" si="46"/>
        <v>4480</v>
      </c>
      <c r="J309" s="112">
        <f t="shared" si="54"/>
        <v>15</v>
      </c>
      <c r="K309" s="123">
        <f>[2]!RcCMaC(C309/10,D309/10,E309,G309*10,H309*10, I309/10, J309,3)</f>
        <v>180.00000498545322</v>
      </c>
      <c r="L309" s="47">
        <f>[2]!RcCMaC(C309/10,D309/10,E309,G309*10,H309*10,I309/10,J309,4)</f>
        <v>57.939743400844101</v>
      </c>
      <c r="M309" s="48">
        <f>[2]!RcCMaC(C309/10,D309/10,E309,G309*10,H309*10, I309/10, J309,0)*10</f>
        <v>0</v>
      </c>
      <c r="N309" s="119">
        <v>349</v>
      </c>
      <c r="O309" s="120" t="str">
        <f t="shared" si="55"/>
        <v>NG</v>
      </c>
    </row>
    <row r="310" spans="3:15" x14ac:dyDescent="0.15">
      <c r="C310" s="52">
        <f t="shared" si="48"/>
        <v>500</v>
      </c>
      <c r="D310" s="35">
        <f t="shared" si="49"/>
        <v>190</v>
      </c>
      <c r="E310" s="28" t="str">
        <f t="shared" si="50"/>
        <v>6-D19</v>
      </c>
      <c r="F310" s="112">
        <f t="shared" si="51"/>
        <v>1721.9999313354492</v>
      </c>
      <c r="G310" s="112">
        <f t="shared" si="52"/>
        <v>14</v>
      </c>
      <c r="H310" s="112">
        <f t="shared" si="53"/>
        <v>345</v>
      </c>
      <c r="I310" s="111">
        <f t="shared" si="46"/>
        <v>4500</v>
      </c>
      <c r="J310" s="112">
        <f t="shared" si="54"/>
        <v>15</v>
      </c>
      <c r="K310" s="123">
        <f>[2]!RcCMaC(C310/10,D310/10,E310,G310*10,H310*10, I310/10, J310,3)</f>
        <v>180.00000498545322</v>
      </c>
      <c r="L310" s="47">
        <f>[2]!RcCMaC(C310/10,D310/10,E310,G310*10,H310*10,I310/10,J310,4)</f>
        <v>57.939743400844101</v>
      </c>
      <c r="M310" s="48">
        <f>[2]!RcCMaC(C310/10,D310/10,E310,G310*10,H310*10, I310/10, J310,0)*10</f>
        <v>0</v>
      </c>
      <c r="N310" s="119">
        <v>350</v>
      </c>
      <c r="O310" s="120" t="str">
        <f t="shared" si="55"/>
        <v>NG</v>
      </c>
    </row>
    <row r="311" spans="3:15" x14ac:dyDescent="0.15">
      <c r="C311" s="52">
        <f t="shared" si="48"/>
        <v>500</v>
      </c>
      <c r="D311" s="35">
        <f t="shared" si="49"/>
        <v>190</v>
      </c>
      <c r="E311" s="28" t="str">
        <f t="shared" si="50"/>
        <v>6-D19</v>
      </c>
      <c r="F311" s="112">
        <f t="shared" si="51"/>
        <v>1721.9999313354492</v>
      </c>
      <c r="G311" s="112">
        <f t="shared" si="52"/>
        <v>14</v>
      </c>
      <c r="H311" s="112">
        <f t="shared" si="53"/>
        <v>345</v>
      </c>
      <c r="I311" s="111">
        <f t="shared" si="46"/>
        <v>4520</v>
      </c>
      <c r="J311" s="112">
        <f t="shared" si="54"/>
        <v>15</v>
      </c>
      <c r="K311" s="123">
        <f>[2]!RcCMaC(C311/10,D311/10,E311,G311*10,H311*10, I311/10, J311,3)</f>
        <v>180.00000498545322</v>
      </c>
      <c r="L311" s="47">
        <f>[2]!RcCMaC(C311/10,D311/10,E311,G311*10,H311*10,I311/10,J311,4)</f>
        <v>57.939743400844101</v>
      </c>
      <c r="M311" s="48">
        <f>[2]!RcCMaC(C311/10,D311/10,E311,G311*10,H311*10, I311/10, J311,0)*10</f>
        <v>0</v>
      </c>
      <c r="N311" s="119">
        <v>351</v>
      </c>
      <c r="O311" s="120" t="str">
        <f t="shared" si="55"/>
        <v>NG</v>
      </c>
    </row>
    <row r="312" spans="3:15" x14ac:dyDescent="0.15">
      <c r="C312" s="52">
        <f t="shared" si="48"/>
        <v>500</v>
      </c>
      <c r="D312" s="35">
        <f t="shared" si="49"/>
        <v>190</v>
      </c>
      <c r="E312" s="28" t="str">
        <f t="shared" si="50"/>
        <v>6-D19</v>
      </c>
      <c r="F312" s="112">
        <f t="shared" si="51"/>
        <v>1721.9999313354492</v>
      </c>
      <c r="G312" s="112">
        <f t="shared" si="52"/>
        <v>14</v>
      </c>
      <c r="H312" s="112">
        <f t="shared" si="53"/>
        <v>345</v>
      </c>
      <c r="I312" s="111">
        <f t="shared" si="46"/>
        <v>4540</v>
      </c>
      <c r="J312" s="112">
        <f t="shared" si="54"/>
        <v>15</v>
      </c>
      <c r="K312" s="123">
        <f>[2]!RcCMaC(C312/10,D312/10,E312,G312*10,H312*10, I312/10, J312,3)</f>
        <v>180.00000498545322</v>
      </c>
      <c r="L312" s="47">
        <f>[2]!RcCMaC(C312/10,D312/10,E312,G312*10,H312*10,I312/10,J312,4)</f>
        <v>57.939743400844101</v>
      </c>
      <c r="M312" s="48">
        <f>[2]!RcCMaC(C312/10,D312/10,E312,G312*10,H312*10, I312/10, J312,0)*10</f>
        <v>0</v>
      </c>
      <c r="N312" s="119">
        <v>352</v>
      </c>
      <c r="O312" s="120" t="str">
        <f t="shared" si="55"/>
        <v>NG</v>
      </c>
    </row>
    <row r="313" spans="3:15" x14ac:dyDescent="0.15">
      <c r="C313" s="52">
        <f t="shared" si="48"/>
        <v>500</v>
      </c>
      <c r="D313" s="35">
        <f t="shared" si="49"/>
        <v>190</v>
      </c>
      <c r="E313" s="28" t="str">
        <f t="shared" si="50"/>
        <v>6-D19</v>
      </c>
      <c r="F313" s="112">
        <f t="shared" si="51"/>
        <v>1721.9999313354492</v>
      </c>
      <c r="G313" s="112">
        <f t="shared" si="52"/>
        <v>14</v>
      </c>
      <c r="H313" s="112">
        <f t="shared" si="53"/>
        <v>345</v>
      </c>
      <c r="I313" s="111">
        <f t="shared" si="46"/>
        <v>4560</v>
      </c>
      <c r="J313" s="112">
        <f t="shared" si="54"/>
        <v>15</v>
      </c>
      <c r="K313" s="123">
        <f>[2]!RcCMaC(C313/10,D313/10,E313,G313*10,H313*10, I313/10, J313,3)</f>
        <v>180.00000498545322</v>
      </c>
      <c r="L313" s="47">
        <f>[2]!RcCMaC(C313/10,D313/10,E313,G313*10,H313*10,I313/10,J313,4)</f>
        <v>57.939743400844101</v>
      </c>
      <c r="M313" s="48">
        <f>[2]!RcCMaC(C313/10,D313/10,E313,G313*10,H313*10, I313/10, J313,0)*10</f>
        <v>0</v>
      </c>
      <c r="N313" s="119">
        <v>353</v>
      </c>
      <c r="O313" s="120" t="str">
        <f t="shared" si="55"/>
        <v>NG</v>
      </c>
    </row>
    <row r="314" spans="3:15" x14ac:dyDescent="0.15">
      <c r="C314" s="52">
        <f t="shared" si="48"/>
        <v>500</v>
      </c>
      <c r="D314" s="35">
        <f t="shared" si="49"/>
        <v>190</v>
      </c>
      <c r="E314" s="28" t="str">
        <f t="shared" si="50"/>
        <v>6-D19</v>
      </c>
      <c r="F314" s="112">
        <f t="shared" si="51"/>
        <v>1721.9999313354492</v>
      </c>
      <c r="G314" s="112">
        <f t="shared" si="52"/>
        <v>14</v>
      </c>
      <c r="H314" s="112">
        <f t="shared" si="53"/>
        <v>345</v>
      </c>
      <c r="I314" s="111">
        <f t="shared" si="46"/>
        <v>4580</v>
      </c>
      <c r="J314" s="112">
        <f t="shared" si="54"/>
        <v>15</v>
      </c>
      <c r="K314" s="123">
        <f>[2]!RcCMaC(C314/10,D314/10,E314,G314*10,H314*10, I314/10, J314,3)</f>
        <v>180.00000498545322</v>
      </c>
      <c r="L314" s="47">
        <f>[2]!RcCMaC(C314/10,D314/10,E314,G314*10,H314*10,I314/10,J314,4)</f>
        <v>57.939743400844101</v>
      </c>
      <c r="M314" s="48">
        <f>[2]!RcCMaC(C314/10,D314/10,E314,G314*10,H314*10, I314/10, J314,0)*10</f>
        <v>0</v>
      </c>
      <c r="N314" s="119">
        <v>354</v>
      </c>
      <c r="O314" s="120" t="str">
        <f t="shared" si="55"/>
        <v>NG</v>
      </c>
    </row>
    <row r="315" spans="3:15" x14ac:dyDescent="0.15">
      <c r="C315" s="52">
        <f t="shared" si="48"/>
        <v>500</v>
      </c>
      <c r="D315" s="35">
        <f t="shared" si="49"/>
        <v>190</v>
      </c>
      <c r="E315" s="28" t="str">
        <f t="shared" si="50"/>
        <v>6-D19</v>
      </c>
      <c r="F315" s="112">
        <f t="shared" si="51"/>
        <v>1721.9999313354492</v>
      </c>
      <c r="G315" s="112">
        <f t="shared" si="52"/>
        <v>14</v>
      </c>
      <c r="H315" s="112">
        <f t="shared" si="53"/>
        <v>345</v>
      </c>
      <c r="I315" s="111">
        <f t="shared" si="46"/>
        <v>4600</v>
      </c>
      <c r="J315" s="112">
        <f t="shared" si="54"/>
        <v>15</v>
      </c>
      <c r="K315" s="123">
        <f>[2]!RcCMaC(C315/10,D315/10,E315,G315*10,H315*10, I315/10, J315,3)</f>
        <v>180.00000498545322</v>
      </c>
      <c r="L315" s="47">
        <f>[2]!RcCMaC(C315/10,D315/10,E315,G315*10,H315*10,I315/10,J315,4)</f>
        <v>57.939743400844101</v>
      </c>
      <c r="M315" s="48">
        <f>[2]!RcCMaC(C315/10,D315/10,E315,G315*10,H315*10, I315/10, J315,0)*10</f>
        <v>0</v>
      </c>
      <c r="N315" s="119">
        <v>355</v>
      </c>
      <c r="O315" s="120" t="str">
        <f t="shared" si="55"/>
        <v>NG</v>
      </c>
    </row>
    <row r="316" spans="3:15" x14ac:dyDescent="0.15">
      <c r="C316" s="52">
        <f t="shared" si="48"/>
        <v>500</v>
      </c>
      <c r="D316" s="35">
        <f t="shared" si="49"/>
        <v>190</v>
      </c>
      <c r="E316" s="28" t="str">
        <f t="shared" si="50"/>
        <v>6-D19</v>
      </c>
      <c r="F316" s="112">
        <f t="shared" si="51"/>
        <v>1721.9999313354492</v>
      </c>
      <c r="G316" s="112">
        <f t="shared" si="52"/>
        <v>14</v>
      </c>
      <c r="H316" s="112">
        <f t="shared" si="53"/>
        <v>345</v>
      </c>
      <c r="I316" s="111">
        <f t="shared" si="46"/>
        <v>4620</v>
      </c>
      <c r="J316" s="112">
        <f t="shared" si="54"/>
        <v>15</v>
      </c>
      <c r="K316" s="123">
        <f>[2]!RcCMaC(C316/10,D316/10,E316,G316*10,H316*10, I316/10, J316,3)</f>
        <v>180.00000498545322</v>
      </c>
      <c r="L316" s="47">
        <f>[2]!RcCMaC(C316/10,D316/10,E316,G316*10,H316*10,I316/10,J316,4)</f>
        <v>57.939743400844101</v>
      </c>
      <c r="M316" s="48">
        <f>[2]!RcCMaC(C316/10,D316/10,E316,G316*10,H316*10, I316/10, J316,0)*10</f>
        <v>0</v>
      </c>
      <c r="N316" s="119">
        <v>356</v>
      </c>
      <c r="O316" s="120" t="str">
        <f t="shared" si="55"/>
        <v>NG</v>
      </c>
    </row>
    <row r="317" spans="3:15" x14ac:dyDescent="0.15">
      <c r="C317" s="52">
        <f t="shared" si="48"/>
        <v>500</v>
      </c>
      <c r="D317" s="35">
        <f t="shared" si="49"/>
        <v>190</v>
      </c>
      <c r="E317" s="28" t="str">
        <f t="shared" si="50"/>
        <v>6-D19</v>
      </c>
      <c r="F317" s="112">
        <f t="shared" si="51"/>
        <v>1721.9999313354492</v>
      </c>
      <c r="G317" s="112">
        <f t="shared" si="52"/>
        <v>14</v>
      </c>
      <c r="H317" s="112">
        <f t="shared" si="53"/>
        <v>345</v>
      </c>
      <c r="I317" s="111">
        <f t="shared" si="46"/>
        <v>4640</v>
      </c>
      <c r="J317" s="112">
        <f t="shared" si="54"/>
        <v>15</v>
      </c>
      <c r="K317" s="123">
        <f>[2]!RcCMaC(C317/10,D317/10,E317,G317*10,H317*10, I317/10, J317,3)</f>
        <v>180.00000498545322</v>
      </c>
      <c r="L317" s="47">
        <f>[2]!RcCMaC(C317/10,D317/10,E317,G317*10,H317*10,I317/10,J317,4)</f>
        <v>57.939743400844101</v>
      </c>
      <c r="M317" s="48">
        <f>[2]!RcCMaC(C317/10,D317/10,E317,G317*10,H317*10, I317/10, J317,0)*10</f>
        <v>0</v>
      </c>
      <c r="N317" s="119">
        <v>357</v>
      </c>
      <c r="O317" s="120" t="str">
        <f t="shared" si="55"/>
        <v>NG</v>
      </c>
    </row>
    <row r="318" spans="3:15" x14ac:dyDescent="0.15">
      <c r="C318" s="52">
        <f t="shared" si="48"/>
        <v>500</v>
      </c>
      <c r="D318" s="35">
        <f t="shared" si="49"/>
        <v>190</v>
      </c>
      <c r="E318" s="28" t="str">
        <f t="shared" si="50"/>
        <v>6-D19</v>
      </c>
      <c r="F318" s="112">
        <f t="shared" si="51"/>
        <v>1721.9999313354492</v>
      </c>
      <c r="G318" s="112">
        <f t="shared" si="52"/>
        <v>14</v>
      </c>
      <c r="H318" s="112">
        <f t="shared" si="53"/>
        <v>345</v>
      </c>
      <c r="I318" s="111">
        <f t="shared" si="46"/>
        <v>4660</v>
      </c>
      <c r="J318" s="112">
        <f t="shared" si="54"/>
        <v>15</v>
      </c>
      <c r="K318" s="123">
        <f>[2]!RcCMaC(C318/10,D318/10,E318,G318*10,H318*10, I318/10, J318,3)</f>
        <v>180.00000498545322</v>
      </c>
      <c r="L318" s="47">
        <f>[2]!RcCMaC(C318/10,D318/10,E318,G318*10,H318*10,I318/10,J318,4)</f>
        <v>57.939743400844101</v>
      </c>
      <c r="M318" s="48">
        <f>[2]!RcCMaC(C318/10,D318/10,E318,G318*10,H318*10, I318/10, J318,0)*10</f>
        <v>0</v>
      </c>
      <c r="N318" s="119">
        <v>358</v>
      </c>
      <c r="O318" s="120" t="str">
        <f t="shared" si="55"/>
        <v>NG</v>
      </c>
    </row>
    <row r="319" spans="3:15" x14ac:dyDescent="0.15">
      <c r="C319" s="52">
        <f t="shared" si="48"/>
        <v>500</v>
      </c>
      <c r="D319" s="35">
        <f t="shared" si="49"/>
        <v>190</v>
      </c>
      <c r="E319" s="28" t="str">
        <f t="shared" si="50"/>
        <v>6-D19</v>
      </c>
      <c r="F319" s="112">
        <f t="shared" si="51"/>
        <v>1721.9999313354492</v>
      </c>
      <c r="G319" s="112">
        <f t="shared" si="52"/>
        <v>14</v>
      </c>
      <c r="H319" s="112">
        <f t="shared" si="53"/>
        <v>345</v>
      </c>
      <c r="I319" s="111">
        <f t="shared" si="46"/>
        <v>4680</v>
      </c>
      <c r="J319" s="112">
        <f t="shared" si="54"/>
        <v>15</v>
      </c>
      <c r="K319" s="123">
        <f>[2]!RcCMaC(C319/10,D319/10,E319,G319*10,H319*10, I319/10, J319,3)</f>
        <v>180.00000498545322</v>
      </c>
      <c r="L319" s="47">
        <f>[2]!RcCMaC(C319/10,D319/10,E319,G319*10,H319*10,I319/10,J319,4)</f>
        <v>57.939743400844101</v>
      </c>
      <c r="M319" s="48">
        <f>[2]!RcCMaC(C319/10,D319/10,E319,G319*10,H319*10, I319/10, J319,0)*10</f>
        <v>0</v>
      </c>
      <c r="N319" s="119">
        <v>359</v>
      </c>
      <c r="O319" s="120" t="str">
        <f t="shared" si="55"/>
        <v>NG</v>
      </c>
    </row>
    <row r="320" spans="3:15" x14ac:dyDescent="0.15">
      <c r="C320" s="52">
        <f t="shared" si="48"/>
        <v>500</v>
      </c>
      <c r="D320" s="35">
        <f t="shared" si="49"/>
        <v>190</v>
      </c>
      <c r="E320" s="28" t="str">
        <f t="shared" si="50"/>
        <v>6-D19</v>
      </c>
      <c r="F320" s="112">
        <f t="shared" si="51"/>
        <v>1721.9999313354492</v>
      </c>
      <c r="G320" s="112">
        <f t="shared" si="52"/>
        <v>14</v>
      </c>
      <c r="H320" s="112">
        <f t="shared" si="53"/>
        <v>345</v>
      </c>
      <c r="I320" s="111">
        <f t="shared" si="46"/>
        <v>4700</v>
      </c>
      <c r="J320" s="112">
        <f t="shared" si="54"/>
        <v>15</v>
      </c>
      <c r="K320" s="123">
        <f>[2]!RcCMaC(C320/10,D320/10,E320,G320*10,H320*10, I320/10, J320,3)</f>
        <v>180.00000498545322</v>
      </c>
      <c r="L320" s="47">
        <f>[2]!RcCMaC(C320/10,D320/10,E320,G320*10,H320*10,I320/10,J320,4)</f>
        <v>57.939743400844101</v>
      </c>
      <c r="M320" s="48">
        <f>[2]!RcCMaC(C320/10,D320/10,E320,G320*10,H320*10, I320/10, J320,0)*10</f>
        <v>0</v>
      </c>
      <c r="N320" s="119">
        <v>360</v>
      </c>
      <c r="O320" s="120" t="str">
        <f t="shared" si="55"/>
        <v>NG</v>
      </c>
    </row>
    <row r="321" spans="3:15" x14ac:dyDescent="0.15">
      <c r="C321" s="52">
        <f t="shared" si="48"/>
        <v>500</v>
      </c>
      <c r="D321" s="35">
        <f t="shared" si="49"/>
        <v>190</v>
      </c>
      <c r="E321" s="28" t="str">
        <f t="shared" si="50"/>
        <v>6-D19</v>
      </c>
      <c r="F321" s="112">
        <f t="shared" si="51"/>
        <v>1721.9999313354492</v>
      </c>
      <c r="G321" s="112">
        <f t="shared" si="52"/>
        <v>14</v>
      </c>
      <c r="H321" s="112">
        <f t="shared" si="53"/>
        <v>345</v>
      </c>
      <c r="I321" s="111">
        <f t="shared" si="46"/>
        <v>4720</v>
      </c>
      <c r="J321" s="112">
        <f t="shared" si="54"/>
        <v>15</v>
      </c>
      <c r="K321" s="123">
        <f>[2]!RcCMaC(C321/10,D321/10,E321,G321*10,H321*10, I321/10, J321,3)</f>
        <v>180.00000498545322</v>
      </c>
      <c r="L321" s="47">
        <f>[2]!RcCMaC(C321/10,D321/10,E321,G321*10,H321*10,I321/10,J321,4)</f>
        <v>57.939743400844101</v>
      </c>
      <c r="M321" s="48">
        <f>[2]!RcCMaC(C321/10,D321/10,E321,G321*10,H321*10, I321/10, J321,0)*10</f>
        <v>0</v>
      </c>
      <c r="N321" s="119">
        <v>361</v>
      </c>
      <c r="O321" s="120" t="str">
        <f t="shared" si="55"/>
        <v>NG</v>
      </c>
    </row>
    <row r="322" spans="3:15" x14ac:dyDescent="0.15">
      <c r="C322" s="52">
        <f t="shared" si="48"/>
        <v>500</v>
      </c>
      <c r="D322" s="35">
        <f t="shared" si="49"/>
        <v>190</v>
      </c>
      <c r="E322" s="28" t="str">
        <f t="shared" si="50"/>
        <v>6-D19</v>
      </c>
      <c r="F322" s="112">
        <f t="shared" si="51"/>
        <v>1721.9999313354492</v>
      </c>
      <c r="G322" s="112">
        <f t="shared" si="52"/>
        <v>14</v>
      </c>
      <c r="H322" s="112">
        <f t="shared" si="53"/>
        <v>345</v>
      </c>
      <c r="I322" s="111">
        <f t="shared" si="46"/>
        <v>4740</v>
      </c>
      <c r="J322" s="112">
        <f t="shared" si="54"/>
        <v>15</v>
      </c>
      <c r="K322" s="123">
        <f>[2]!RcCMaC(C322/10,D322/10,E322,G322*10,H322*10, I322/10, J322,3)</f>
        <v>180.00000498545322</v>
      </c>
      <c r="L322" s="47">
        <f>[2]!RcCMaC(C322/10,D322/10,E322,G322*10,H322*10,I322/10,J322,4)</f>
        <v>57.939743400844101</v>
      </c>
      <c r="M322" s="48">
        <f>[2]!RcCMaC(C322/10,D322/10,E322,G322*10,H322*10, I322/10, J322,0)*10</f>
        <v>0</v>
      </c>
      <c r="N322" s="119">
        <v>362</v>
      </c>
      <c r="O322" s="120" t="str">
        <f t="shared" si="55"/>
        <v>NG</v>
      </c>
    </row>
    <row r="323" spans="3:15" x14ac:dyDescent="0.15">
      <c r="C323" s="52">
        <f t="shared" si="48"/>
        <v>500</v>
      </c>
      <c r="D323" s="35">
        <f t="shared" si="49"/>
        <v>190</v>
      </c>
      <c r="E323" s="28" t="str">
        <f t="shared" si="50"/>
        <v>6-D19</v>
      </c>
      <c r="F323" s="112">
        <f t="shared" si="51"/>
        <v>1721.9999313354492</v>
      </c>
      <c r="G323" s="112">
        <f t="shared" si="52"/>
        <v>14</v>
      </c>
      <c r="H323" s="112">
        <f t="shared" si="53"/>
        <v>345</v>
      </c>
      <c r="I323" s="111">
        <f t="shared" si="46"/>
        <v>4760</v>
      </c>
      <c r="J323" s="112">
        <f t="shared" si="54"/>
        <v>15</v>
      </c>
      <c r="K323" s="123">
        <f>[2]!RcCMaC(C323/10,D323/10,E323,G323*10,H323*10, I323/10, J323,3)</f>
        <v>180.00000498545322</v>
      </c>
      <c r="L323" s="47">
        <f>[2]!RcCMaC(C323/10,D323/10,E323,G323*10,H323*10,I323/10,J323,4)</f>
        <v>57.939743400844101</v>
      </c>
      <c r="M323" s="48">
        <f>[2]!RcCMaC(C323/10,D323/10,E323,G323*10,H323*10, I323/10, J323,0)*10</f>
        <v>0</v>
      </c>
      <c r="N323" s="119">
        <v>363</v>
      </c>
      <c r="O323" s="120" t="str">
        <f t="shared" si="55"/>
        <v>NG</v>
      </c>
    </row>
    <row r="324" spans="3:15" x14ac:dyDescent="0.15">
      <c r="C324" s="52">
        <f t="shared" si="48"/>
        <v>500</v>
      </c>
      <c r="D324" s="35">
        <f t="shared" si="49"/>
        <v>190</v>
      </c>
      <c r="E324" s="28" t="str">
        <f t="shared" si="50"/>
        <v>6-D19</v>
      </c>
      <c r="F324" s="112">
        <f t="shared" si="51"/>
        <v>1721.9999313354492</v>
      </c>
      <c r="G324" s="112">
        <f t="shared" si="52"/>
        <v>14</v>
      </c>
      <c r="H324" s="112">
        <f t="shared" si="53"/>
        <v>345</v>
      </c>
      <c r="I324" s="111">
        <f t="shared" si="46"/>
        <v>4780</v>
      </c>
      <c r="J324" s="112">
        <f t="shared" si="54"/>
        <v>15</v>
      </c>
      <c r="K324" s="123">
        <f>[2]!RcCMaC(C324/10,D324/10,E324,G324*10,H324*10, I324/10, J324,3)</f>
        <v>180.00000498545322</v>
      </c>
      <c r="L324" s="47">
        <f>[2]!RcCMaC(C324/10,D324/10,E324,G324*10,H324*10,I324/10,J324,4)</f>
        <v>57.939743400844101</v>
      </c>
      <c r="M324" s="48">
        <f>[2]!RcCMaC(C324/10,D324/10,E324,G324*10,H324*10, I324/10, J324,0)*10</f>
        <v>0</v>
      </c>
      <c r="N324" s="119">
        <v>364</v>
      </c>
      <c r="O324" s="120" t="str">
        <f t="shared" si="55"/>
        <v>NG</v>
      </c>
    </row>
    <row r="325" spans="3:15" x14ac:dyDescent="0.15">
      <c r="C325" s="52">
        <f t="shared" si="48"/>
        <v>500</v>
      </c>
      <c r="D325" s="35">
        <f t="shared" si="49"/>
        <v>190</v>
      </c>
      <c r="E325" s="28" t="str">
        <f t="shared" si="50"/>
        <v>6-D19</v>
      </c>
      <c r="F325" s="112">
        <f t="shared" si="51"/>
        <v>1721.9999313354492</v>
      </c>
      <c r="G325" s="112">
        <f t="shared" si="52"/>
        <v>14</v>
      </c>
      <c r="H325" s="112">
        <f t="shared" si="53"/>
        <v>345</v>
      </c>
      <c r="I325" s="111">
        <f t="shared" si="46"/>
        <v>4800</v>
      </c>
      <c r="J325" s="112">
        <f t="shared" si="54"/>
        <v>15</v>
      </c>
      <c r="K325" s="123">
        <f>[2]!RcCMaC(C325/10,D325/10,E325,G325*10,H325*10, I325/10, J325,3)</f>
        <v>180.00000498545322</v>
      </c>
      <c r="L325" s="47">
        <f>[2]!RcCMaC(C325/10,D325/10,E325,G325*10,H325*10,I325/10,J325,4)</f>
        <v>57.939743400844101</v>
      </c>
      <c r="M325" s="48">
        <f>[2]!RcCMaC(C325/10,D325/10,E325,G325*10,H325*10, I325/10, J325,0)*10</f>
        <v>0</v>
      </c>
      <c r="N325" s="119">
        <v>365</v>
      </c>
      <c r="O325" s="120" t="str">
        <f t="shared" si="55"/>
        <v>NG</v>
      </c>
    </row>
    <row r="326" spans="3:15" x14ac:dyDescent="0.15">
      <c r="C326" s="52">
        <f t="shared" si="48"/>
        <v>500</v>
      </c>
      <c r="D326" s="35">
        <f t="shared" si="49"/>
        <v>190</v>
      </c>
      <c r="E326" s="28" t="str">
        <f t="shared" si="50"/>
        <v>6-D19</v>
      </c>
      <c r="F326" s="112">
        <f t="shared" si="51"/>
        <v>1721.9999313354492</v>
      </c>
      <c r="G326" s="112">
        <f t="shared" si="52"/>
        <v>14</v>
      </c>
      <c r="H326" s="112">
        <f t="shared" si="53"/>
        <v>345</v>
      </c>
      <c r="I326" s="111">
        <f t="shared" si="46"/>
        <v>4820</v>
      </c>
      <c r="J326" s="112">
        <f t="shared" si="54"/>
        <v>15</v>
      </c>
      <c r="K326" s="123">
        <f>[2]!RcCMaC(C326/10,D326/10,E326,G326*10,H326*10, I326/10, J326,3)</f>
        <v>180.00000498545322</v>
      </c>
      <c r="L326" s="47">
        <f>[2]!RcCMaC(C326/10,D326/10,E326,G326*10,H326*10,I326/10,J326,4)</f>
        <v>57.939743400844101</v>
      </c>
      <c r="M326" s="48">
        <f>[2]!RcCMaC(C326/10,D326/10,E326,G326*10,H326*10, I326/10, J326,0)*10</f>
        <v>0</v>
      </c>
      <c r="N326" s="119">
        <v>366</v>
      </c>
      <c r="O326" s="120" t="str">
        <f t="shared" si="55"/>
        <v>NG</v>
      </c>
    </row>
    <row r="327" spans="3:15" x14ac:dyDescent="0.15">
      <c r="C327" s="52">
        <f t="shared" si="48"/>
        <v>500</v>
      </c>
      <c r="D327" s="35">
        <f t="shared" si="49"/>
        <v>190</v>
      </c>
      <c r="E327" s="28" t="str">
        <f t="shared" si="50"/>
        <v>6-D19</v>
      </c>
      <c r="F327" s="112">
        <f t="shared" si="51"/>
        <v>1721.9999313354492</v>
      </c>
      <c r="G327" s="112">
        <f t="shared" si="52"/>
        <v>14</v>
      </c>
      <c r="H327" s="112">
        <f t="shared" si="53"/>
        <v>345</v>
      </c>
      <c r="I327" s="111">
        <f t="shared" ref="I327:I384" si="56">+I326+20</f>
        <v>4840</v>
      </c>
      <c r="J327" s="112">
        <f t="shared" si="54"/>
        <v>15</v>
      </c>
      <c r="K327" s="123">
        <f>[2]!RcCMaC(C327/10,D327/10,E327,G327*10,H327*10, I327/10, J327,3)</f>
        <v>180.00000498545322</v>
      </c>
      <c r="L327" s="47">
        <f>[2]!RcCMaC(C327/10,D327/10,E327,G327*10,H327*10,I327/10,J327,4)</f>
        <v>57.939743400844101</v>
      </c>
      <c r="M327" s="48">
        <f>[2]!RcCMaC(C327/10,D327/10,E327,G327*10,H327*10, I327/10, J327,0)*10</f>
        <v>0</v>
      </c>
      <c r="N327" s="119">
        <v>367</v>
      </c>
      <c r="O327" s="120" t="str">
        <f t="shared" si="55"/>
        <v>NG</v>
      </c>
    </row>
    <row r="328" spans="3:15" x14ac:dyDescent="0.15">
      <c r="C328" s="52">
        <f t="shared" si="48"/>
        <v>500</v>
      </c>
      <c r="D328" s="35">
        <f t="shared" si="49"/>
        <v>190</v>
      </c>
      <c r="E328" s="28" t="str">
        <f t="shared" si="50"/>
        <v>6-D19</v>
      </c>
      <c r="F328" s="112">
        <f t="shared" si="51"/>
        <v>1721.9999313354492</v>
      </c>
      <c r="G328" s="112">
        <f t="shared" si="52"/>
        <v>14</v>
      </c>
      <c r="H328" s="112">
        <f t="shared" si="53"/>
        <v>345</v>
      </c>
      <c r="I328" s="111">
        <f t="shared" si="56"/>
        <v>4860</v>
      </c>
      <c r="J328" s="112">
        <f t="shared" si="54"/>
        <v>15</v>
      </c>
      <c r="K328" s="123">
        <f>[2]!RcCMaC(C328/10,D328/10,E328,G328*10,H328*10, I328/10, J328,3)</f>
        <v>180.00000498545322</v>
      </c>
      <c r="L328" s="47">
        <f>[2]!RcCMaC(C328/10,D328/10,E328,G328*10,H328*10,I328/10,J328,4)</f>
        <v>57.939743400844101</v>
      </c>
      <c r="M328" s="48">
        <f>[2]!RcCMaC(C328/10,D328/10,E328,G328*10,H328*10, I328/10, J328,0)*10</f>
        <v>0</v>
      </c>
      <c r="N328" s="119">
        <v>368</v>
      </c>
      <c r="O328" s="120" t="str">
        <f t="shared" si="55"/>
        <v>NG</v>
      </c>
    </row>
    <row r="329" spans="3:15" x14ac:dyDescent="0.15">
      <c r="C329" s="52">
        <f t="shared" si="48"/>
        <v>500</v>
      </c>
      <c r="D329" s="35">
        <f t="shared" si="49"/>
        <v>190</v>
      </c>
      <c r="E329" s="28" t="str">
        <f t="shared" si="50"/>
        <v>6-D19</v>
      </c>
      <c r="F329" s="112">
        <f t="shared" si="51"/>
        <v>1721.9999313354492</v>
      </c>
      <c r="G329" s="112">
        <f t="shared" si="52"/>
        <v>14</v>
      </c>
      <c r="H329" s="112">
        <f t="shared" si="53"/>
        <v>345</v>
      </c>
      <c r="I329" s="111">
        <f t="shared" si="56"/>
        <v>4880</v>
      </c>
      <c r="J329" s="112">
        <f t="shared" si="54"/>
        <v>15</v>
      </c>
      <c r="K329" s="123">
        <f>[2]!RcCMaC(C329/10,D329/10,E329,G329*10,H329*10, I329/10, J329,3)</f>
        <v>180.00000498545322</v>
      </c>
      <c r="L329" s="47">
        <f>[2]!RcCMaC(C329/10,D329/10,E329,G329*10,H329*10,I329/10,J329,4)</f>
        <v>57.939743400844101</v>
      </c>
      <c r="M329" s="48">
        <f>[2]!RcCMaC(C329/10,D329/10,E329,G329*10,H329*10, I329/10, J329,0)*10</f>
        <v>0</v>
      </c>
      <c r="N329" s="119">
        <v>369</v>
      </c>
      <c r="O329" s="120" t="str">
        <f t="shared" si="55"/>
        <v>NG</v>
      </c>
    </row>
    <row r="330" spans="3:15" x14ac:dyDescent="0.15">
      <c r="C330" s="52">
        <f t="shared" si="48"/>
        <v>500</v>
      </c>
      <c r="D330" s="35">
        <f t="shared" si="49"/>
        <v>190</v>
      </c>
      <c r="E330" s="28" t="str">
        <f t="shared" si="50"/>
        <v>6-D19</v>
      </c>
      <c r="F330" s="112">
        <f t="shared" si="51"/>
        <v>1721.9999313354492</v>
      </c>
      <c r="G330" s="112">
        <f t="shared" si="52"/>
        <v>14</v>
      </c>
      <c r="H330" s="112">
        <f t="shared" si="53"/>
        <v>345</v>
      </c>
      <c r="I330" s="111">
        <f t="shared" si="56"/>
        <v>4900</v>
      </c>
      <c r="J330" s="112">
        <f t="shared" si="54"/>
        <v>15</v>
      </c>
      <c r="K330" s="123">
        <f>[2]!RcCMaC(C330/10,D330/10,E330,G330*10,H330*10, I330/10, J330,3)</f>
        <v>180.00000498545322</v>
      </c>
      <c r="L330" s="47">
        <f>[2]!RcCMaC(C330/10,D330/10,E330,G330*10,H330*10,I330/10,J330,4)</f>
        <v>57.939743400844101</v>
      </c>
      <c r="M330" s="48">
        <f>[2]!RcCMaC(C330/10,D330/10,E330,G330*10,H330*10, I330/10, J330,0)*10</f>
        <v>0</v>
      </c>
      <c r="N330" s="119">
        <v>370</v>
      </c>
      <c r="O330" s="120" t="str">
        <f t="shared" si="55"/>
        <v>NG</v>
      </c>
    </row>
    <row r="331" spans="3:15" x14ac:dyDescent="0.15">
      <c r="C331" s="52">
        <f t="shared" si="48"/>
        <v>500</v>
      </c>
      <c r="D331" s="35">
        <f t="shared" si="49"/>
        <v>190</v>
      </c>
      <c r="E331" s="28" t="str">
        <f t="shared" si="50"/>
        <v>6-D19</v>
      </c>
      <c r="F331" s="112">
        <f t="shared" si="51"/>
        <v>1721.9999313354492</v>
      </c>
      <c r="G331" s="112">
        <f t="shared" si="52"/>
        <v>14</v>
      </c>
      <c r="H331" s="112">
        <f t="shared" si="53"/>
        <v>345</v>
      </c>
      <c r="I331" s="111">
        <f t="shared" si="56"/>
        <v>4920</v>
      </c>
      <c r="J331" s="112">
        <f t="shared" si="54"/>
        <v>15</v>
      </c>
      <c r="K331" s="123">
        <f>[2]!RcCMaC(C331/10,D331/10,E331,G331*10,H331*10, I331/10, J331,3)</f>
        <v>180.00000498545322</v>
      </c>
      <c r="L331" s="47">
        <f>[2]!RcCMaC(C331/10,D331/10,E331,G331*10,H331*10,I331/10,J331,4)</f>
        <v>57.939743400844101</v>
      </c>
      <c r="M331" s="48">
        <f>[2]!RcCMaC(C331/10,D331/10,E331,G331*10,H331*10, I331/10, J331,0)*10</f>
        <v>0</v>
      </c>
      <c r="N331" s="119">
        <v>371</v>
      </c>
      <c r="O331" s="120" t="str">
        <f t="shared" si="55"/>
        <v>NG</v>
      </c>
    </row>
    <row r="332" spans="3:15" x14ac:dyDescent="0.15">
      <c r="C332" s="52">
        <f t="shared" si="48"/>
        <v>500</v>
      </c>
      <c r="D332" s="35">
        <f t="shared" si="49"/>
        <v>190</v>
      </c>
      <c r="E332" s="28" t="str">
        <f t="shared" si="50"/>
        <v>6-D19</v>
      </c>
      <c r="F332" s="112">
        <f t="shared" si="51"/>
        <v>1721.9999313354492</v>
      </c>
      <c r="G332" s="112">
        <f t="shared" si="52"/>
        <v>14</v>
      </c>
      <c r="H332" s="112">
        <f t="shared" si="53"/>
        <v>345</v>
      </c>
      <c r="I332" s="111">
        <f t="shared" si="56"/>
        <v>4940</v>
      </c>
      <c r="J332" s="112">
        <f t="shared" si="54"/>
        <v>15</v>
      </c>
      <c r="K332" s="123">
        <f>[2]!RcCMaC(C332/10,D332/10,E332,G332*10,H332*10, I332/10, J332,3)</f>
        <v>180.00000498545322</v>
      </c>
      <c r="L332" s="47">
        <f>[2]!RcCMaC(C332/10,D332/10,E332,G332*10,H332*10,I332/10,J332,4)</f>
        <v>57.939743400844101</v>
      </c>
      <c r="M332" s="48">
        <f>[2]!RcCMaC(C332/10,D332/10,E332,G332*10,H332*10, I332/10, J332,0)*10</f>
        <v>0</v>
      </c>
      <c r="N332" s="119">
        <v>372</v>
      </c>
      <c r="O332" s="120" t="str">
        <f t="shared" si="55"/>
        <v>NG</v>
      </c>
    </row>
    <row r="333" spans="3:15" x14ac:dyDescent="0.15">
      <c r="C333" s="52">
        <f t="shared" si="48"/>
        <v>500</v>
      </c>
      <c r="D333" s="35">
        <f t="shared" si="49"/>
        <v>190</v>
      </c>
      <c r="E333" s="28" t="str">
        <f t="shared" si="50"/>
        <v>6-D19</v>
      </c>
      <c r="F333" s="112">
        <f t="shared" si="51"/>
        <v>1721.9999313354492</v>
      </c>
      <c r="G333" s="112">
        <f t="shared" si="52"/>
        <v>14</v>
      </c>
      <c r="H333" s="112">
        <f t="shared" si="53"/>
        <v>345</v>
      </c>
      <c r="I333" s="111">
        <f t="shared" si="56"/>
        <v>4960</v>
      </c>
      <c r="J333" s="112">
        <f t="shared" si="54"/>
        <v>15</v>
      </c>
      <c r="K333" s="123">
        <f>[2]!RcCMaC(C333/10,D333/10,E333,G333*10,H333*10, I333/10, J333,3)</f>
        <v>180.00000498545322</v>
      </c>
      <c r="L333" s="47">
        <f>[2]!RcCMaC(C333/10,D333/10,E333,G333*10,H333*10,I333/10,J333,4)</f>
        <v>57.939743400844101</v>
      </c>
      <c r="M333" s="48">
        <f>[2]!RcCMaC(C333/10,D333/10,E333,G333*10,H333*10, I333/10, J333,0)*10</f>
        <v>0</v>
      </c>
      <c r="N333" s="119">
        <v>373</v>
      </c>
      <c r="O333" s="120" t="str">
        <f t="shared" si="55"/>
        <v>NG</v>
      </c>
    </row>
    <row r="334" spans="3:15" x14ac:dyDescent="0.15">
      <c r="C334" s="52">
        <f t="shared" si="48"/>
        <v>500</v>
      </c>
      <c r="D334" s="35">
        <f t="shared" si="49"/>
        <v>190</v>
      </c>
      <c r="E334" s="28" t="str">
        <f t="shared" si="50"/>
        <v>6-D19</v>
      </c>
      <c r="F334" s="112">
        <f t="shared" si="51"/>
        <v>1721.9999313354492</v>
      </c>
      <c r="G334" s="112">
        <f t="shared" si="52"/>
        <v>14</v>
      </c>
      <c r="H334" s="112">
        <f t="shared" si="53"/>
        <v>345</v>
      </c>
      <c r="I334" s="111">
        <f t="shared" si="56"/>
        <v>4980</v>
      </c>
      <c r="J334" s="112">
        <f t="shared" si="54"/>
        <v>15</v>
      </c>
      <c r="K334" s="123">
        <f>[2]!RcCMaC(C334/10,D334/10,E334,G334*10,H334*10, I334/10, J334,3)</f>
        <v>180.00000498545322</v>
      </c>
      <c r="L334" s="47">
        <f>[2]!RcCMaC(C334/10,D334/10,E334,G334*10,H334*10,I334/10,J334,4)</f>
        <v>57.939743400844101</v>
      </c>
      <c r="M334" s="48">
        <f>[2]!RcCMaC(C334/10,D334/10,E334,G334*10,H334*10, I334/10, J334,0)*10</f>
        <v>0</v>
      </c>
      <c r="N334" s="119">
        <v>374</v>
      </c>
      <c r="O334" s="120" t="str">
        <f t="shared" si="55"/>
        <v>NG</v>
      </c>
    </row>
    <row r="335" spans="3:15" x14ac:dyDescent="0.15">
      <c r="C335" s="52">
        <f t="shared" si="48"/>
        <v>500</v>
      </c>
      <c r="D335" s="35">
        <f t="shared" si="49"/>
        <v>190</v>
      </c>
      <c r="E335" s="28" t="str">
        <f t="shared" si="50"/>
        <v>6-D19</v>
      </c>
      <c r="F335" s="112">
        <f t="shared" si="51"/>
        <v>1721.9999313354492</v>
      </c>
      <c r="G335" s="112">
        <f t="shared" si="52"/>
        <v>14</v>
      </c>
      <c r="H335" s="112">
        <f t="shared" si="53"/>
        <v>345</v>
      </c>
      <c r="I335" s="111">
        <f t="shared" si="56"/>
        <v>5000</v>
      </c>
      <c r="J335" s="112">
        <f t="shared" si="54"/>
        <v>15</v>
      </c>
      <c r="K335" s="123">
        <f>[2]!RcCMaC(C335/10,D335/10,E335,G335*10,H335*10, I335/10, J335,3)</f>
        <v>180.00000498545322</v>
      </c>
      <c r="L335" s="47">
        <f>[2]!RcCMaC(C335/10,D335/10,E335,G335*10,H335*10,I335/10,J335,4)</f>
        <v>57.939743400844101</v>
      </c>
      <c r="M335" s="48">
        <f>[2]!RcCMaC(C335/10,D335/10,E335,G335*10,H335*10, I335/10, J335,0)*10</f>
        <v>0</v>
      </c>
      <c r="N335" s="119">
        <v>375</v>
      </c>
      <c r="O335" s="120" t="str">
        <f t="shared" si="55"/>
        <v>NG</v>
      </c>
    </row>
    <row r="336" spans="3:15" x14ac:dyDescent="0.15">
      <c r="C336" s="52">
        <f t="shared" si="48"/>
        <v>500</v>
      </c>
      <c r="D336" s="35">
        <f t="shared" si="49"/>
        <v>190</v>
      </c>
      <c r="E336" s="28" t="str">
        <f t="shared" si="50"/>
        <v>6-D19</v>
      </c>
      <c r="F336" s="112">
        <f t="shared" si="51"/>
        <v>1721.9999313354492</v>
      </c>
      <c r="G336" s="112">
        <f t="shared" si="52"/>
        <v>14</v>
      </c>
      <c r="H336" s="112">
        <f t="shared" si="53"/>
        <v>345</v>
      </c>
      <c r="I336" s="111">
        <f t="shared" si="56"/>
        <v>5020</v>
      </c>
      <c r="J336" s="112">
        <f t="shared" si="54"/>
        <v>15</v>
      </c>
      <c r="K336" s="123">
        <f>[2]!RcCMaC(C336/10,D336/10,E336,G336*10,H336*10, I336/10, J336,3)</f>
        <v>180.00000498545322</v>
      </c>
      <c r="L336" s="47">
        <f>[2]!RcCMaC(C336/10,D336/10,E336,G336*10,H336*10,I336/10,J336,4)</f>
        <v>57.939743400844101</v>
      </c>
      <c r="M336" s="48">
        <f>[2]!RcCMaC(C336/10,D336/10,E336,G336*10,H336*10, I336/10, J336,0)*10</f>
        <v>0</v>
      </c>
      <c r="N336" s="119">
        <v>376</v>
      </c>
      <c r="O336" s="120" t="str">
        <f t="shared" si="55"/>
        <v>NG</v>
      </c>
    </row>
    <row r="337" spans="3:15" x14ac:dyDescent="0.15">
      <c r="C337" s="52">
        <f t="shared" si="48"/>
        <v>500</v>
      </c>
      <c r="D337" s="35">
        <f t="shared" si="49"/>
        <v>190</v>
      </c>
      <c r="E337" s="28" t="str">
        <f t="shared" si="50"/>
        <v>6-D19</v>
      </c>
      <c r="F337" s="112">
        <f t="shared" si="51"/>
        <v>1721.9999313354492</v>
      </c>
      <c r="G337" s="112">
        <f t="shared" si="52"/>
        <v>14</v>
      </c>
      <c r="H337" s="112">
        <f t="shared" si="53"/>
        <v>345</v>
      </c>
      <c r="I337" s="111">
        <f t="shared" si="56"/>
        <v>5040</v>
      </c>
      <c r="J337" s="112">
        <f t="shared" si="54"/>
        <v>15</v>
      </c>
      <c r="K337" s="123">
        <f>[2]!RcCMaC(C337/10,D337/10,E337,G337*10,H337*10, I337/10, J337,3)</f>
        <v>180.00000498545322</v>
      </c>
      <c r="L337" s="47">
        <f>[2]!RcCMaC(C337/10,D337/10,E337,G337*10,H337*10,I337/10,J337,4)</f>
        <v>57.939743400844101</v>
      </c>
      <c r="M337" s="48">
        <f>[2]!RcCMaC(C337/10,D337/10,E337,G337*10,H337*10, I337/10, J337,0)*10</f>
        <v>0</v>
      </c>
      <c r="N337" s="119">
        <v>377</v>
      </c>
      <c r="O337" s="120" t="str">
        <f t="shared" si="55"/>
        <v>NG</v>
      </c>
    </row>
    <row r="338" spans="3:15" x14ac:dyDescent="0.15">
      <c r="C338" s="52">
        <f t="shared" si="48"/>
        <v>500</v>
      </c>
      <c r="D338" s="35">
        <f t="shared" si="49"/>
        <v>190</v>
      </c>
      <c r="E338" s="28" t="str">
        <f t="shared" si="50"/>
        <v>6-D19</v>
      </c>
      <c r="F338" s="112">
        <f t="shared" si="51"/>
        <v>1721.9999313354492</v>
      </c>
      <c r="G338" s="112">
        <f t="shared" si="52"/>
        <v>14</v>
      </c>
      <c r="H338" s="112">
        <f t="shared" si="53"/>
        <v>345</v>
      </c>
      <c r="I338" s="111">
        <f t="shared" si="56"/>
        <v>5060</v>
      </c>
      <c r="J338" s="112">
        <f t="shared" si="54"/>
        <v>15</v>
      </c>
      <c r="K338" s="123">
        <f>[2]!RcCMaC(C338/10,D338/10,E338,G338*10,H338*10, I338/10, J338,3)</f>
        <v>180.00000498545322</v>
      </c>
      <c r="L338" s="47">
        <f>[2]!RcCMaC(C338/10,D338/10,E338,G338*10,H338*10,I338/10,J338,4)</f>
        <v>57.939743400844101</v>
      </c>
      <c r="M338" s="48">
        <f>[2]!RcCMaC(C338/10,D338/10,E338,G338*10,H338*10, I338/10, J338,0)*10</f>
        <v>0</v>
      </c>
      <c r="N338" s="119">
        <v>378</v>
      </c>
      <c r="O338" s="120" t="str">
        <f t="shared" si="55"/>
        <v>NG</v>
      </c>
    </row>
    <row r="339" spans="3:15" x14ac:dyDescent="0.15">
      <c r="C339" s="52">
        <f t="shared" si="48"/>
        <v>500</v>
      </c>
      <c r="D339" s="35">
        <f t="shared" si="49"/>
        <v>190</v>
      </c>
      <c r="E339" s="28" t="str">
        <f t="shared" si="50"/>
        <v>6-D19</v>
      </c>
      <c r="F339" s="112">
        <f t="shared" si="51"/>
        <v>1721.9999313354492</v>
      </c>
      <c r="G339" s="112">
        <f t="shared" si="52"/>
        <v>14</v>
      </c>
      <c r="H339" s="112">
        <f t="shared" si="53"/>
        <v>345</v>
      </c>
      <c r="I339" s="111">
        <f t="shared" si="56"/>
        <v>5080</v>
      </c>
      <c r="J339" s="112">
        <f t="shared" si="54"/>
        <v>15</v>
      </c>
      <c r="K339" s="123">
        <f>[2]!RcCMaC(C339/10,D339/10,E339,G339*10,H339*10, I339/10, J339,3)</f>
        <v>180.00000498545322</v>
      </c>
      <c r="L339" s="47">
        <f>[2]!RcCMaC(C339/10,D339/10,E339,G339*10,H339*10,I339/10,J339,4)</f>
        <v>57.939743400844101</v>
      </c>
      <c r="M339" s="48">
        <f>[2]!RcCMaC(C339/10,D339/10,E339,G339*10,H339*10, I339/10, J339,0)*10</f>
        <v>0</v>
      </c>
      <c r="N339" s="119">
        <v>379</v>
      </c>
      <c r="O339" s="120" t="str">
        <f t="shared" si="55"/>
        <v>NG</v>
      </c>
    </row>
    <row r="340" spans="3:15" x14ac:dyDescent="0.15">
      <c r="C340" s="52">
        <f t="shared" si="48"/>
        <v>500</v>
      </c>
      <c r="D340" s="35">
        <f t="shared" si="49"/>
        <v>190</v>
      </c>
      <c r="E340" s="28" t="str">
        <f t="shared" si="50"/>
        <v>6-D19</v>
      </c>
      <c r="F340" s="112">
        <f t="shared" si="51"/>
        <v>1721.9999313354492</v>
      </c>
      <c r="G340" s="112">
        <f t="shared" si="52"/>
        <v>14</v>
      </c>
      <c r="H340" s="112">
        <f t="shared" si="53"/>
        <v>345</v>
      </c>
      <c r="I340" s="111">
        <f t="shared" si="56"/>
        <v>5100</v>
      </c>
      <c r="J340" s="112">
        <f t="shared" si="54"/>
        <v>15</v>
      </c>
      <c r="K340" s="123">
        <f>[2]!RcCMaC(C340/10,D340/10,E340,G340*10,H340*10, I340/10, J340,3)</f>
        <v>180.00000498545322</v>
      </c>
      <c r="L340" s="47">
        <f>[2]!RcCMaC(C340/10,D340/10,E340,G340*10,H340*10,I340/10,J340,4)</f>
        <v>57.939743400844101</v>
      </c>
      <c r="M340" s="48">
        <f>[2]!RcCMaC(C340/10,D340/10,E340,G340*10,H340*10, I340/10, J340,0)*10</f>
        <v>0</v>
      </c>
      <c r="N340" s="119">
        <v>380</v>
      </c>
      <c r="O340" s="120" t="str">
        <f t="shared" si="55"/>
        <v>NG</v>
      </c>
    </row>
    <row r="341" spans="3:15" x14ac:dyDescent="0.15">
      <c r="C341" s="52">
        <f t="shared" si="48"/>
        <v>500</v>
      </c>
      <c r="D341" s="35">
        <f t="shared" si="49"/>
        <v>190</v>
      </c>
      <c r="E341" s="28" t="str">
        <f t="shared" si="50"/>
        <v>6-D19</v>
      </c>
      <c r="F341" s="112">
        <f t="shared" si="51"/>
        <v>1721.9999313354492</v>
      </c>
      <c r="G341" s="112">
        <f t="shared" si="52"/>
        <v>14</v>
      </c>
      <c r="H341" s="112">
        <f t="shared" si="53"/>
        <v>345</v>
      </c>
      <c r="I341" s="111">
        <f t="shared" si="56"/>
        <v>5120</v>
      </c>
      <c r="J341" s="112">
        <f t="shared" si="54"/>
        <v>15</v>
      </c>
      <c r="K341" s="123">
        <f>[2]!RcCMaC(C341/10,D341/10,E341,G341*10,H341*10, I341/10, J341,3)</f>
        <v>180.00000498545322</v>
      </c>
      <c r="L341" s="47">
        <f>[2]!RcCMaC(C341/10,D341/10,E341,G341*10,H341*10,I341/10,J341,4)</f>
        <v>57.939743400844101</v>
      </c>
      <c r="M341" s="48">
        <f>[2]!RcCMaC(C341/10,D341/10,E341,G341*10,H341*10, I341/10, J341,0)*10</f>
        <v>0</v>
      </c>
      <c r="N341" s="119">
        <v>381</v>
      </c>
      <c r="O341" s="120" t="str">
        <f t="shared" si="55"/>
        <v>NG</v>
      </c>
    </row>
    <row r="342" spans="3:15" x14ac:dyDescent="0.15">
      <c r="C342" s="52">
        <f t="shared" si="48"/>
        <v>500</v>
      </c>
      <c r="D342" s="35">
        <f t="shared" si="49"/>
        <v>190</v>
      </c>
      <c r="E342" s="28" t="str">
        <f t="shared" si="50"/>
        <v>6-D19</v>
      </c>
      <c r="F342" s="112">
        <f t="shared" si="51"/>
        <v>1721.9999313354492</v>
      </c>
      <c r="G342" s="112">
        <f t="shared" si="52"/>
        <v>14</v>
      </c>
      <c r="H342" s="112">
        <f t="shared" si="53"/>
        <v>345</v>
      </c>
      <c r="I342" s="111">
        <f t="shared" si="56"/>
        <v>5140</v>
      </c>
      <c r="J342" s="112">
        <f t="shared" si="54"/>
        <v>15</v>
      </c>
      <c r="K342" s="123">
        <f>[2]!RcCMaC(C342/10,D342/10,E342,G342*10,H342*10, I342/10, J342,3)</f>
        <v>180.00000498545322</v>
      </c>
      <c r="L342" s="47">
        <f>[2]!RcCMaC(C342/10,D342/10,E342,G342*10,H342*10,I342/10,J342,4)</f>
        <v>57.939743400844101</v>
      </c>
      <c r="M342" s="48">
        <f>[2]!RcCMaC(C342/10,D342/10,E342,G342*10,H342*10, I342/10, J342,0)*10</f>
        <v>0</v>
      </c>
      <c r="N342" s="119">
        <v>382</v>
      </c>
      <c r="O342" s="120" t="str">
        <f t="shared" si="55"/>
        <v>NG</v>
      </c>
    </row>
    <row r="343" spans="3:15" x14ac:dyDescent="0.15">
      <c r="C343" s="52">
        <f t="shared" si="48"/>
        <v>500</v>
      </c>
      <c r="D343" s="35">
        <f t="shared" si="49"/>
        <v>190</v>
      </c>
      <c r="E343" s="28" t="str">
        <f t="shared" si="50"/>
        <v>6-D19</v>
      </c>
      <c r="F343" s="112">
        <f t="shared" si="51"/>
        <v>1721.9999313354492</v>
      </c>
      <c r="G343" s="112">
        <f t="shared" si="52"/>
        <v>14</v>
      </c>
      <c r="H343" s="112">
        <f t="shared" si="53"/>
        <v>345</v>
      </c>
      <c r="I343" s="111">
        <f t="shared" si="56"/>
        <v>5160</v>
      </c>
      <c r="J343" s="112">
        <f t="shared" si="54"/>
        <v>15</v>
      </c>
      <c r="K343" s="123">
        <f>[2]!RcCMaC(C343/10,D343/10,E343,G343*10,H343*10, I343/10, J343,3)</f>
        <v>180.00000498545322</v>
      </c>
      <c r="L343" s="47">
        <f>[2]!RcCMaC(C343/10,D343/10,E343,G343*10,H343*10,I343/10,J343,4)</f>
        <v>57.939743400844101</v>
      </c>
      <c r="M343" s="48">
        <f>[2]!RcCMaC(C343/10,D343/10,E343,G343*10,H343*10, I343/10, J343,0)*10</f>
        <v>0</v>
      </c>
      <c r="N343" s="119">
        <v>383</v>
      </c>
      <c r="O343" s="120" t="str">
        <f t="shared" si="55"/>
        <v>NG</v>
      </c>
    </row>
    <row r="344" spans="3:15" x14ac:dyDescent="0.15">
      <c r="C344" s="52">
        <f t="shared" si="48"/>
        <v>500</v>
      </c>
      <c r="D344" s="35">
        <f t="shared" si="49"/>
        <v>190</v>
      </c>
      <c r="E344" s="28" t="str">
        <f t="shared" si="50"/>
        <v>6-D19</v>
      </c>
      <c r="F344" s="112">
        <f t="shared" si="51"/>
        <v>1721.9999313354492</v>
      </c>
      <c r="G344" s="112">
        <f t="shared" si="52"/>
        <v>14</v>
      </c>
      <c r="H344" s="112">
        <f t="shared" si="53"/>
        <v>345</v>
      </c>
      <c r="I344" s="111">
        <f t="shared" si="56"/>
        <v>5180</v>
      </c>
      <c r="J344" s="112">
        <f t="shared" si="54"/>
        <v>15</v>
      </c>
      <c r="K344" s="123">
        <f>[2]!RcCMaC(C344/10,D344/10,E344,G344*10,H344*10, I344/10, J344,3)</f>
        <v>180.00000498545322</v>
      </c>
      <c r="L344" s="47">
        <f>[2]!RcCMaC(C344/10,D344/10,E344,G344*10,H344*10,I344/10,J344,4)</f>
        <v>57.939743400844101</v>
      </c>
      <c r="M344" s="48">
        <f>[2]!RcCMaC(C344/10,D344/10,E344,G344*10,H344*10, I344/10, J344,0)*10</f>
        <v>0</v>
      </c>
      <c r="N344" s="119">
        <v>384</v>
      </c>
      <c r="O344" s="120" t="str">
        <f t="shared" si="55"/>
        <v>NG</v>
      </c>
    </row>
    <row r="345" spans="3:15" x14ac:dyDescent="0.15">
      <c r="C345" s="52">
        <f t="shared" si="48"/>
        <v>500</v>
      </c>
      <c r="D345" s="35">
        <f t="shared" si="49"/>
        <v>190</v>
      </c>
      <c r="E345" s="28" t="str">
        <f t="shared" si="50"/>
        <v>6-D19</v>
      </c>
      <c r="F345" s="112">
        <f t="shared" si="51"/>
        <v>1721.9999313354492</v>
      </c>
      <c r="G345" s="112">
        <f t="shared" si="52"/>
        <v>14</v>
      </c>
      <c r="H345" s="112">
        <f t="shared" si="53"/>
        <v>345</v>
      </c>
      <c r="I345" s="111">
        <f t="shared" si="56"/>
        <v>5200</v>
      </c>
      <c r="J345" s="112">
        <f t="shared" si="54"/>
        <v>15</v>
      </c>
      <c r="K345" s="123">
        <f>[2]!RcCMaC(C345/10,D345/10,E345,G345*10,H345*10, I345/10, J345,3)</f>
        <v>180.00000498545322</v>
      </c>
      <c r="L345" s="47">
        <f>[2]!RcCMaC(C345/10,D345/10,E345,G345*10,H345*10,I345/10,J345,4)</f>
        <v>57.939743400844101</v>
      </c>
      <c r="M345" s="48">
        <f>[2]!RcCMaC(C345/10,D345/10,E345,G345*10,H345*10, I345/10, J345,0)*10</f>
        <v>0</v>
      </c>
      <c r="N345" s="119">
        <v>385</v>
      </c>
      <c r="O345" s="120" t="str">
        <f t="shared" si="55"/>
        <v>NG</v>
      </c>
    </row>
    <row r="346" spans="3:15" x14ac:dyDescent="0.15">
      <c r="C346" s="52">
        <f t="shared" si="48"/>
        <v>500</v>
      </c>
      <c r="D346" s="35">
        <f t="shared" si="49"/>
        <v>190</v>
      </c>
      <c r="E346" s="28" t="str">
        <f t="shared" si="50"/>
        <v>6-D19</v>
      </c>
      <c r="F346" s="112">
        <f t="shared" si="51"/>
        <v>1721.9999313354492</v>
      </c>
      <c r="G346" s="112">
        <f t="shared" si="52"/>
        <v>14</v>
      </c>
      <c r="H346" s="112">
        <f t="shared" si="53"/>
        <v>345</v>
      </c>
      <c r="I346" s="111">
        <f t="shared" si="56"/>
        <v>5220</v>
      </c>
      <c r="J346" s="112">
        <f t="shared" si="54"/>
        <v>15</v>
      </c>
      <c r="K346" s="123">
        <f>[2]!RcCMaC(C346/10,D346/10,E346,G346*10,H346*10, I346/10, J346,3)</f>
        <v>180.00000498545322</v>
      </c>
      <c r="L346" s="47">
        <f>[2]!RcCMaC(C346/10,D346/10,E346,G346*10,H346*10,I346/10,J346,4)</f>
        <v>57.939743400844101</v>
      </c>
      <c r="M346" s="48">
        <f>[2]!RcCMaC(C346/10,D346/10,E346,G346*10,H346*10, I346/10, J346,0)*10</f>
        <v>0</v>
      </c>
      <c r="N346" s="119">
        <v>386</v>
      </c>
      <c r="O346" s="120" t="str">
        <f t="shared" si="55"/>
        <v>NG</v>
      </c>
    </row>
    <row r="347" spans="3:15" x14ac:dyDescent="0.15">
      <c r="C347" s="52">
        <f t="shared" si="48"/>
        <v>500</v>
      </c>
      <c r="D347" s="35">
        <f t="shared" si="49"/>
        <v>190</v>
      </c>
      <c r="E347" s="28" t="str">
        <f t="shared" si="50"/>
        <v>6-D19</v>
      </c>
      <c r="F347" s="112">
        <f t="shared" si="51"/>
        <v>1721.9999313354492</v>
      </c>
      <c r="G347" s="112">
        <f t="shared" si="52"/>
        <v>14</v>
      </c>
      <c r="H347" s="112">
        <f t="shared" si="53"/>
        <v>345</v>
      </c>
      <c r="I347" s="111">
        <f t="shared" si="56"/>
        <v>5240</v>
      </c>
      <c r="J347" s="112">
        <f t="shared" si="54"/>
        <v>15</v>
      </c>
      <c r="K347" s="123">
        <f>[2]!RcCMaC(C347/10,D347/10,E347,G347*10,H347*10, I347/10, J347,3)</f>
        <v>180.00000498545322</v>
      </c>
      <c r="L347" s="47">
        <f>[2]!RcCMaC(C347/10,D347/10,E347,G347*10,H347*10,I347/10,J347,4)</f>
        <v>57.939743400844101</v>
      </c>
      <c r="M347" s="48">
        <f>[2]!RcCMaC(C347/10,D347/10,E347,G347*10,H347*10, I347/10, J347,0)*10</f>
        <v>0</v>
      </c>
      <c r="N347" s="119">
        <v>387</v>
      </c>
      <c r="O347" s="120" t="str">
        <f t="shared" si="55"/>
        <v>NG</v>
      </c>
    </row>
    <row r="348" spans="3:15" x14ac:dyDescent="0.15">
      <c r="C348" s="52">
        <f t="shared" si="48"/>
        <v>500</v>
      </c>
      <c r="D348" s="35">
        <f t="shared" si="49"/>
        <v>190</v>
      </c>
      <c r="E348" s="28" t="str">
        <f t="shared" si="50"/>
        <v>6-D19</v>
      </c>
      <c r="F348" s="112">
        <f t="shared" si="51"/>
        <v>1721.9999313354492</v>
      </c>
      <c r="G348" s="112">
        <f t="shared" si="52"/>
        <v>14</v>
      </c>
      <c r="H348" s="112">
        <f t="shared" si="53"/>
        <v>345</v>
      </c>
      <c r="I348" s="111">
        <f t="shared" si="56"/>
        <v>5260</v>
      </c>
      <c r="J348" s="112">
        <f t="shared" si="54"/>
        <v>15</v>
      </c>
      <c r="K348" s="123">
        <f>[2]!RcCMaC(C348/10,D348/10,E348,G348*10,H348*10, I348/10, J348,3)</f>
        <v>180.00000498545322</v>
      </c>
      <c r="L348" s="47">
        <f>[2]!RcCMaC(C348/10,D348/10,E348,G348*10,H348*10,I348/10,J348,4)</f>
        <v>57.939743400844101</v>
      </c>
      <c r="M348" s="48">
        <f>[2]!RcCMaC(C348/10,D348/10,E348,G348*10,H348*10, I348/10, J348,0)*10</f>
        <v>0</v>
      </c>
      <c r="N348" s="119">
        <v>388</v>
      </c>
      <c r="O348" s="120" t="str">
        <f t="shared" si="55"/>
        <v>NG</v>
      </c>
    </row>
    <row r="349" spans="3:15" x14ac:dyDescent="0.15">
      <c r="C349" s="52">
        <f t="shared" si="48"/>
        <v>500</v>
      </c>
      <c r="D349" s="35">
        <f t="shared" si="49"/>
        <v>190</v>
      </c>
      <c r="E349" s="28" t="str">
        <f t="shared" si="50"/>
        <v>6-D19</v>
      </c>
      <c r="F349" s="112">
        <f t="shared" si="51"/>
        <v>1721.9999313354492</v>
      </c>
      <c r="G349" s="112">
        <f t="shared" si="52"/>
        <v>14</v>
      </c>
      <c r="H349" s="112">
        <f t="shared" si="53"/>
        <v>345</v>
      </c>
      <c r="I349" s="111">
        <f t="shared" si="56"/>
        <v>5280</v>
      </c>
      <c r="J349" s="112">
        <f t="shared" si="54"/>
        <v>15</v>
      </c>
      <c r="K349" s="123">
        <f>[2]!RcCMaC(C349/10,D349/10,E349,G349*10,H349*10, I349/10, J349,3)</f>
        <v>180.00000498545322</v>
      </c>
      <c r="L349" s="47">
        <f>[2]!RcCMaC(C349/10,D349/10,E349,G349*10,H349*10,I349/10,J349,4)</f>
        <v>57.939743400844101</v>
      </c>
      <c r="M349" s="48">
        <f>[2]!RcCMaC(C349/10,D349/10,E349,G349*10,H349*10, I349/10, J349,0)*10</f>
        <v>0</v>
      </c>
      <c r="N349" s="119">
        <v>389</v>
      </c>
      <c r="O349" s="120" t="str">
        <f t="shared" si="55"/>
        <v>NG</v>
      </c>
    </row>
    <row r="350" spans="3:15" x14ac:dyDescent="0.15">
      <c r="C350" s="52">
        <f t="shared" ref="C350:C413" si="57">+C349</f>
        <v>500</v>
      </c>
      <c r="D350" s="35">
        <f t="shared" ref="D350:D413" si="58">+D349</f>
        <v>190</v>
      </c>
      <c r="E350" s="28" t="str">
        <f t="shared" ref="E350:E413" si="59">+E349</f>
        <v>6-D19</v>
      </c>
      <c r="F350" s="112">
        <f t="shared" ref="F350:F413" si="60">+F349</f>
        <v>1721.9999313354492</v>
      </c>
      <c r="G350" s="112">
        <f t="shared" ref="G350:G413" si="61">+G349</f>
        <v>14</v>
      </c>
      <c r="H350" s="112">
        <f t="shared" ref="H350:H413" si="62">+H349</f>
        <v>345</v>
      </c>
      <c r="I350" s="111">
        <f t="shared" si="56"/>
        <v>5300</v>
      </c>
      <c r="J350" s="112">
        <f t="shared" ref="J350:J413" si="63">+J349</f>
        <v>15</v>
      </c>
      <c r="K350" s="123">
        <f>[2]!RcCMaC(C350/10,D350/10,E350,G350*10,H350*10, I350/10, J350,3)</f>
        <v>180.00000498545322</v>
      </c>
      <c r="L350" s="47">
        <f>[2]!RcCMaC(C350/10,D350/10,E350,G350*10,H350*10,I350/10,J350,4)</f>
        <v>57.939743400844101</v>
      </c>
      <c r="M350" s="48">
        <f>[2]!RcCMaC(C350/10,D350/10,E350,G350*10,H350*10, I350/10, J350,0)*10</f>
        <v>0</v>
      </c>
      <c r="N350" s="119">
        <v>390</v>
      </c>
      <c r="O350" s="120" t="str">
        <f t="shared" ref="O350:O413" si="64">IF(M350&gt;N350,"OK","NG")</f>
        <v>NG</v>
      </c>
    </row>
    <row r="351" spans="3:15" x14ac:dyDescent="0.15">
      <c r="C351" s="52">
        <f t="shared" si="57"/>
        <v>500</v>
      </c>
      <c r="D351" s="35">
        <f t="shared" si="58"/>
        <v>190</v>
      </c>
      <c r="E351" s="28" t="str">
        <f t="shared" si="59"/>
        <v>6-D19</v>
      </c>
      <c r="F351" s="112">
        <f t="shared" si="60"/>
        <v>1721.9999313354492</v>
      </c>
      <c r="G351" s="112">
        <f t="shared" si="61"/>
        <v>14</v>
      </c>
      <c r="H351" s="112">
        <f t="shared" si="62"/>
        <v>345</v>
      </c>
      <c r="I351" s="111">
        <f t="shared" si="56"/>
        <v>5320</v>
      </c>
      <c r="J351" s="112">
        <f t="shared" si="63"/>
        <v>15</v>
      </c>
      <c r="K351" s="123">
        <f>[2]!RcCMaC(C351/10,D351/10,E351,G351*10,H351*10, I351/10, J351,3)</f>
        <v>180.00000498545322</v>
      </c>
      <c r="L351" s="47">
        <f>[2]!RcCMaC(C351/10,D351/10,E351,G351*10,H351*10,I351/10,J351,4)</f>
        <v>57.939743400844101</v>
      </c>
      <c r="M351" s="48">
        <f>[2]!RcCMaC(C351/10,D351/10,E351,G351*10,H351*10, I351/10, J351,0)*10</f>
        <v>0</v>
      </c>
      <c r="N351" s="119">
        <v>391</v>
      </c>
      <c r="O351" s="120" t="str">
        <f t="shared" si="64"/>
        <v>NG</v>
      </c>
    </row>
    <row r="352" spans="3:15" x14ac:dyDescent="0.15">
      <c r="C352" s="52">
        <f t="shared" si="57"/>
        <v>500</v>
      </c>
      <c r="D352" s="35">
        <f t="shared" si="58"/>
        <v>190</v>
      </c>
      <c r="E352" s="28" t="str">
        <f t="shared" si="59"/>
        <v>6-D19</v>
      </c>
      <c r="F352" s="112">
        <f t="shared" si="60"/>
        <v>1721.9999313354492</v>
      </c>
      <c r="G352" s="112">
        <f t="shared" si="61"/>
        <v>14</v>
      </c>
      <c r="H352" s="112">
        <f t="shared" si="62"/>
        <v>345</v>
      </c>
      <c r="I352" s="111">
        <f t="shared" si="56"/>
        <v>5340</v>
      </c>
      <c r="J352" s="112">
        <f t="shared" si="63"/>
        <v>15</v>
      </c>
      <c r="K352" s="123">
        <f>[2]!RcCMaC(C352/10,D352/10,E352,G352*10,H352*10, I352/10, J352,3)</f>
        <v>180.00000498545322</v>
      </c>
      <c r="L352" s="47">
        <f>[2]!RcCMaC(C352/10,D352/10,E352,G352*10,H352*10,I352/10,J352,4)</f>
        <v>57.939743400844101</v>
      </c>
      <c r="M352" s="48">
        <f>[2]!RcCMaC(C352/10,D352/10,E352,G352*10,H352*10, I352/10, J352,0)*10</f>
        <v>0</v>
      </c>
      <c r="N352" s="119">
        <v>392</v>
      </c>
      <c r="O352" s="120" t="str">
        <f t="shared" si="64"/>
        <v>NG</v>
      </c>
    </row>
    <row r="353" spans="3:15" x14ac:dyDescent="0.15">
      <c r="C353" s="52">
        <f t="shared" si="57"/>
        <v>500</v>
      </c>
      <c r="D353" s="35">
        <f t="shared" si="58"/>
        <v>190</v>
      </c>
      <c r="E353" s="28" t="str">
        <f t="shared" si="59"/>
        <v>6-D19</v>
      </c>
      <c r="F353" s="112">
        <f t="shared" si="60"/>
        <v>1721.9999313354492</v>
      </c>
      <c r="G353" s="112">
        <f t="shared" si="61"/>
        <v>14</v>
      </c>
      <c r="H353" s="112">
        <f t="shared" si="62"/>
        <v>345</v>
      </c>
      <c r="I353" s="111">
        <f t="shared" si="56"/>
        <v>5360</v>
      </c>
      <c r="J353" s="112">
        <f t="shared" si="63"/>
        <v>15</v>
      </c>
      <c r="K353" s="123">
        <f>[2]!RcCMaC(C353/10,D353/10,E353,G353*10,H353*10, I353/10, J353,3)</f>
        <v>180.00000498545322</v>
      </c>
      <c r="L353" s="47">
        <f>[2]!RcCMaC(C353/10,D353/10,E353,G353*10,H353*10,I353/10,J353,4)</f>
        <v>57.939743400844101</v>
      </c>
      <c r="M353" s="48">
        <f>[2]!RcCMaC(C353/10,D353/10,E353,G353*10,H353*10, I353/10, J353,0)*10</f>
        <v>0</v>
      </c>
      <c r="N353" s="119">
        <v>393</v>
      </c>
      <c r="O353" s="120" t="str">
        <f t="shared" si="64"/>
        <v>NG</v>
      </c>
    </row>
    <row r="354" spans="3:15" x14ac:dyDescent="0.15">
      <c r="C354" s="52">
        <f t="shared" si="57"/>
        <v>500</v>
      </c>
      <c r="D354" s="35">
        <f t="shared" si="58"/>
        <v>190</v>
      </c>
      <c r="E354" s="28" t="str">
        <f t="shared" si="59"/>
        <v>6-D19</v>
      </c>
      <c r="F354" s="112">
        <f t="shared" si="60"/>
        <v>1721.9999313354492</v>
      </c>
      <c r="G354" s="112">
        <f t="shared" si="61"/>
        <v>14</v>
      </c>
      <c r="H354" s="112">
        <f t="shared" si="62"/>
        <v>345</v>
      </c>
      <c r="I354" s="111">
        <f t="shared" si="56"/>
        <v>5380</v>
      </c>
      <c r="J354" s="112">
        <f t="shared" si="63"/>
        <v>15</v>
      </c>
      <c r="K354" s="123">
        <f>[2]!RcCMaC(C354/10,D354/10,E354,G354*10,H354*10, I354/10, J354,3)</f>
        <v>180.00000498545322</v>
      </c>
      <c r="L354" s="47">
        <f>[2]!RcCMaC(C354/10,D354/10,E354,G354*10,H354*10,I354/10,J354,4)</f>
        <v>57.939743400844101</v>
      </c>
      <c r="M354" s="48">
        <f>[2]!RcCMaC(C354/10,D354/10,E354,G354*10,H354*10, I354/10, J354,0)*10</f>
        <v>0</v>
      </c>
      <c r="N354" s="119">
        <v>394</v>
      </c>
      <c r="O354" s="120" t="str">
        <f t="shared" si="64"/>
        <v>NG</v>
      </c>
    </row>
    <row r="355" spans="3:15" x14ac:dyDescent="0.15">
      <c r="C355" s="52">
        <f t="shared" si="57"/>
        <v>500</v>
      </c>
      <c r="D355" s="35">
        <f t="shared" si="58"/>
        <v>190</v>
      </c>
      <c r="E355" s="28" t="str">
        <f t="shared" si="59"/>
        <v>6-D19</v>
      </c>
      <c r="F355" s="112">
        <f t="shared" si="60"/>
        <v>1721.9999313354492</v>
      </c>
      <c r="G355" s="112">
        <f t="shared" si="61"/>
        <v>14</v>
      </c>
      <c r="H355" s="112">
        <f t="shared" si="62"/>
        <v>345</v>
      </c>
      <c r="I355" s="111">
        <f t="shared" si="56"/>
        <v>5400</v>
      </c>
      <c r="J355" s="112">
        <f t="shared" si="63"/>
        <v>15</v>
      </c>
      <c r="K355" s="123">
        <f>[2]!RcCMaC(C355/10,D355/10,E355,G355*10,H355*10, I355/10, J355,3)</f>
        <v>180.00000498545322</v>
      </c>
      <c r="L355" s="47">
        <f>[2]!RcCMaC(C355/10,D355/10,E355,G355*10,H355*10,I355/10,J355,4)</f>
        <v>57.939743400844101</v>
      </c>
      <c r="M355" s="48">
        <f>[2]!RcCMaC(C355/10,D355/10,E355,G355*10,H355*10, I355/10, J355,0)*10</f>
        <v>0</v>
      </c>
      <c r="N355" s="119">
        <v>395</v>
      </c>
      <c r="O355" s="120" t="str">
        <f t="shared" si="64"/>
        <v>NG</v>
      </c>
    </row>
    <row r="356" spans="3:15" x14ac:dyDescent="0.15">
      <c r="C356" s="52">
        <f t="shared" si="57"/>
        <v>500</v>
      </c>
      <c r="D356" s="35">
        <f t="shared" si="58"/>
        <v>190</v>
      </c>
      <c r="E356" s="28" t="str">
        <f t="shared" si="59"/>
        <v>6-D19</v>
      </c>
      <c r="F356" s="112">
        <f t="shared" si="60"/>
        <v>1721.9999313354492</v>
      </c>
      <c r="G356" s="112">
        <f t="shared" si="61"/>
        <v>14</v>
      </c>
      <c r="H356" s="112">
        <f t="shared" si="62"/>
        <v>345</v>
      </c>
      <c r="I356" s="111">
        <f t="shared" si="56"/>
        <v>5420</v>
      </c>
      <c r="J356" s="112">
        <f t="shared" si="63"/>
        <v>15</v>
      </c>
      <c r="K356" s="123">
        <f>[2]!RcCMaC(C356/10,D356/10,E356,G356*10,H356*10, I356/10, J356,3)</f>
        <v>180.00000498545322</v>
      </c>
      <c r="L356" s="47">
        <f>[2]!RcCMaC(C356/10,D356/10,E356,G356*10,H356*10,I356/10,J356,4)</f>
        <v>57.939743400844101</v>
      </c>
      <c r="M356" s="48">
        <f>[2]!RcCMaC(C356/10,D356/10,E356,G356*10,H356*10, I356/10, J356,0)*10</f>
        <v>0</v>
      </c>
      <c r="N356" s="119">
        <v>396</v>
      </c>
      <c r="O356" s="120" t="str">
        <f t="shared" si="64"/>
        <v>NG</v>
      </c>
    </row>
    <row r="357" spans="3:15" x14ac:dyDescent="0.15">
      <c r="C357" s="52">
        <f t="shared" si="57"/>
        <v>500</v>
      </c>
      <c r="D357" s="35">
        <f t="shared" si="58"/>
        <v>190</v>
      </c>
      <c r="E357" s="28" t="str">
        <f t="shared" si="59"/>
        <v>6-D19</v>
      </c>
      <c r="F357" s="112">
        <f t="shared" si="60"/>
        <v>1721.9999313354492</v>
      </c>
      <c r="G357" s="112">
        <f t="shared" si="61"/>
        <v>14</v>
      </c>
      <c r="H357" s="112">
        <f t="shared" si="62"/>
        <v>345</v>
      </c>
      <c r="I357" s="111">
        <f t="shared" si="56"/>
        <v>5440</v>
      </c>
      <c r="J357" s="112">
        <f t="shared" si="63"/>
        <v>15</v>
      </c>
      <c r="K357" s="123">
        <f>[2]!RcCMaC(C357/10,D357/10,E357,G357*10,H357*10, I357/10, J357,3)</f>
        <v>180.00000498545322</v>
      </c>
      <c r="L357" s="47">
        <f>[2]!RcCMaC(C357/10,D357/10,E357,G357*10,H357*10,I357/10,J357,4)</f>
        <v>57.939743400844101</v>
      </c>
      <c r="M357" s="48">
        <f>[2]!RcCMaC(C357/10,D357/10,E357,G357*10,H357*10, I357/10, J357,0)*10</f>
        <v>0</v>
      </c>
      <c r="N357" s="119">
        <v>397</v>
      </c>
      <c r="O357" s="120" t="str">
        <f t="shared" si="64"/>
        <v>NG</v>
      </c>
    </row>
    <row r="358" spans="3:15" x14ac:dyDescent="0.15">
      <c r="C358" s="52">
        <f t="shared" si="57"/>
        <v>500</v>
      </c>
      <c r="D358" s="35">
        <f t="shared" si="58"/>
        <v>190</v>
      </c>
      <c r="E358" s="28" t="str">
        <f t="shared" si="59"/>
        <v>6-D19</v>
      </c>
      <c r="F358" s="112">
        <f t="shared" si="60"/>
        <v>1721.9999313354492</v>
      </c>
      <c r="G358" s="112">
        <f t="shared" si="61"/>
        <v>14</v>
      </c>
      <c r="H358" s="112">
        <f t="shared" si="62"/>
        <v>345</v>
      </c>
      <c r="I358" s="111">
        <f t="shared" si="56"/>
        <v>5460</v>
      </c>
      <c r="J358" s="112">
        <f t="shared" si="63"/>
        <v>15</v>
      </c>
      <c r="K358" s="123">
        <f>[2]!RcCMaC(C358/10,D358/10,E358,G358*10,H358*10, I358/10, J358,3)</f>
        <v>180.00000498545322</v>
      </c>
      <c r="L358" s="47">
        <f>[2]!RcCMaC(C358/10,D358/10,E358,G358*10,H358*10,I358/10,J358,4)</f>
        <v>57.939743400844101</v>
      </c>
      <c r="M358" s="48">
        <f>[2]!RcCMaC(C358/10,D358/10,E358,G358*10,H358*10, I358/10, J358,0)*10</f>
        <v>0</v>
      </c>
      <c r="N358" s="119">
        <v>398</v>
      </c>
      <c r="O358" s="120" t="str">
        <f t="shared" si="64"/>
        <v>NG</v>
      </c>
    </row>
    <row r="359" spans="3:15" x14ac:dyDescent="0.15">
      <c r="C359" s="52">
        <f t="shared" si="57"/>
        <v>500</v>
      </c>
      <c r="D359" s="35">
        <f t="shared" si="58"/>
        <v>190</v>
      </c>
      <c r="E359" s="28" t="str">
        <f t="shared" si="59"/>
        <v>6-D19</v>
      </c>
      <c r="F359" s="112">
        <f t="shared" si="60"/>
        <v>1721.9999313354492</v>
      </c>
      <c r="G359" s="112">
        <f t="shared" si="61"/>
        <v>14</v>
      </c>
      <c r="H359" s="112">
        <f t="shared" si="62"/>
        <v>345</v>
      </c>
      <c r="I359" s="111">
        <f t="shared" si="56"/>
        <v>5480</v>
      </c>
      <c r="J359" s="112">
        <f t="shared" si="63"/>
        <v>15</v>
      </c>
      <c r="K359" s="123">
        <f>[2]!RcCMaC(C359/10,D359/10,E359,G359*10,H359*10, I359/10, J359,3)</f>
        <v>180.00000498545322</v>
      </c>
      <c r="L359" s="47">
        <f>[2]!RcCMaC(C359/10,D359/10,E359,G359*10,H359*10,I359/10,J359,4)</f>
        <v>57.939743400844101</v>
      </c>
      <c r="M359" s="48">
        <f>[2]!RcCMaC(C359/10,D359/10,E359,G359*10,H359*10, I359/10, J359,0)*10</f>
        <v>0</v>
      </c>
      <c r="N359" s="119">
        <v>399</v>
      </c>
      <c r="O359" s="120" t="str">
        <f t="shared" si="64"/>
        <v>NG</v>
      </c>
    </row>
    <row r="360" spans="3:15" x14ac:dyDescent="0.15">
      <c r="C360" s="52">
        <f t="shared" si="57"/>
        <v>500</v>
      </c>
      <c r="D360" s="35">
        <f t="shared" si="58"/>
        <v>190</v>
      </c>
      <c r="E360" s="28" t="str">
        <f t="shared" si="59"/>
        <v>6-D19</v>
      </c>
      <c r="F360" s="112">
        <f t="shared" si="60"/>
        <v>1721.9999313354492</v>
      </c>
      <c r="G360" s="112">
        <f t="shared" si="61"/>
        <v>14</v>
      </c>
      <c r="H360" s="112">
        <f t="shared" si="62"/>
        <v>345</v>
      </c>
      <c r="I360" s="111">
        <f t="shared" si="56"/>
        <v>5500</v>
      </c>
      <c r="J360" s="112">
        <f t="shared" si="63"/>
        <v>15</v>
      </c>
      <c r="K360" s="123">
        <f>[2]!RcCMaC(C360/10,D360/10,E360,G360*10,H360*10, I360/10, J360,3)</f>
        <v>180.00000498545322</v>
      </c>
      <c r="L360" s="47">
        <f>[2]!RcCMaC(C360/10,D360/10,E360,G360*10,H360*10,I360/10,J360,4)</f>
        <v>57.939743400844101</v>
      </c>
      <c r="M360" s="48">
        <f>[2]!RcCMaC(C360/10,D360/10,E360,G360*10,H360*10, I360/10, J360,0)*10</f>
        <v>0</v>
      </c>
      <c r="N360" s="119">
        <v>400</v>
      </c>
      <c r="O360" s="120" t="str">
        <f t="shared" si="64"/>
        <v>NG</v>
      </c>
    </row>
    <row r="361" spans="3:15" x14ac:dyDescent="0.15">
      <c r="C361" s="52">
        <f t="shared" si="57"/>
        <v>500</v>
      </c>
      <c r="D361" s="35">
        <f t="shared" si="58"/>
        <v>190</v>
      </c>
      <c r="E361" s="28" t="str">
        <f t="shared" si="59"/>
        <v>6-D19</v>
      </c>
      <c r="F361" s="112">
        <f t="shared" si="60"/>
        <v>1721.9999313354492</v>
      </c>
      <c r="G361" s="112">
        <f t="shared" si="61"/>
        <v>14</v>
      </c>
      <c r="H361" s="112">
        <f t="shared" si="62"/>
        <v>345</v>
      </c>
      <c r="I361" s="111">
        <f t="shared" si="56"/>
        <v>5520</v>
      </c>
      <c r="J361" s="112">
        <f t="shared" si="63"/>
        <v>15</v>
      </c>
      <c r="K361" s="123">
        <f>[2]!RcCMaC(C361/10,D361/10,E361,G361*10,H361*10, I361/10, J361,3)</f>
        <v>180.00000498545322</v>
      </c>
      <c r="L361" s="47">
        <f>[2]!RcCMaC(C361/10,D361/10,E361,G361*10,H361*10,I361/10,J361,4)</f>
        <v>57.939743400844101</v>
      </c>
      <c r="M361" s="48">
        <f>[2]!RcCMaC(C361/10,D361/10,E361,G361*10,H361*10, I361/10, J361,0)*10</f>
        <v>0</v>
      </c>
      <c r="N361" s="119">
        <v>401</v>
      </c>
      <c r="O361" s="120" t="str">
        <f t="shared" si="64"/>
        <v>NG</v>
      </c>
    </row>
    <row r="362" spans="3:15" x14ac:dyDescent="0.15">
      <c r="C362" s="52">
        <f t="shared" si="57"/>
        <v>500</v>
      </c>
      <c r="D362" s="35">
        <f t="shared" si="58"/>
        <v>190</v>
      </c>
      <c r="E362" s="28" t="str">
        <f t="shared" si="59"/>
        <v>6-D19</v>
      </c>
      <c r="F362" s="112">
        <f t="shared" si="60"/>
        <v>1721.9999313354492</v>
      </c>
      <c r="G362" s="112">
        <f t="shared" si="61"/>
        <v>14</v>
      </c>
      <c r="H362" s="112">
        <f t="shared" si="62"/>
        <v>345</v>
      </c>
      <c r="I362" s="111">
        <f t="shared" si="56"/>
        <v>5540</v>
      </c>
      <c r="J362" s="112">
        <f t="shared" si="63"/>
        <v>15</v>
      </c>
      <c r="K362" s="123">
        <f>[2]!RcCMaC(C362/10,D362/10,E362,G362*10,H362*10, I362/10, J362,3)</f>
        <v>180.00000498545322</v>
      </c>
      <c r="L362" s="47">
        <f>[2]!RcCMaC(C362/10,D362/10,E362,G362*10,H362*10,I362/10,J362,4)</f>
        <v>57.939743400844101</v>
      </c>
      <c r="M362" s="48">
        <f>[2]!RcCMaC(C362/10,D362/10,E362,G362*10,H362*10, I362/10, J362,0)*10</f>
        <v>0</v>
      </c>
      <c r="N362" s="119">
        <v>402</v>
      </c>
      <c r="O362" s="120" t="str">
        <f t="shared" si="64"/>
        <v>NG</v>
      </c>
    </row>
    <row r="363" spans="3:15" x14ac:dyDescent="0.15">
      <c r="C363" s="52">
        <f t="shared" si="57"/>
        <v>500</v>
      </c>
      <c r="D363" s="35">
        <f t="shared" si="58"/>
        <v>190</v>
      </c>
      <c r="E363" s="28" t="str">
        <f t="shared" si="59"/>
        <v>6-D19</v>
      </c>
      <c r="F363" s="112">
        <f t="shared" si="60"/>
        <v>1721.9999313354492</v>
      </c>
      <c r="G363" s="112">
        <f t="shared" si="61"/>
        <v>14</v>
      </c>
      <c r="H363" s="112">
        <f t="shared" si="62"/>
        <v>345</v>
      </c>
      <c r="I363" s="111">
        <f t="shared" si="56"/>
        <v>5560</v>
      </c>
      <c r="J363" s="112">
        <f t="shared" si="63"/>
        <v>15</v>
      </c>
      <c r="K363" s="123">
        <f>[2]!RcCMaC(C363/10,D363/10,E363,G363*10,H363*10, I363/10, J363,3)</f>
        <v>180.00000498545322</v>
      </c>
      <c r="L363" s="47">
        <f>[2]!RcCMaC(C363/10,D363/10,E363,G363*10,H363*10,I363/10,J363,4)</f>
        <v>57.939743400844101</v>
      </c>
      <c r="M363" s="48">
        <f>[2]!RcCMaC(C363/10,D363/10,E363,G363*10,H363*10, I363/10, J363,0)*10</f>
        <v>0</v>
      </c>
      <c r="N363" s="119">
        <v>403</v>
      </c>
      <c r="O363" s="120" t="str">
        <f t="shared" si="64"/>
        <v>NG</v>
      </c>
    </row>
    <row r="364" spans="3:15" x14ac:dyDescent="0.15">
      <c r="C364" s="52">
        <f t="shared" si="57"/>
        <v>500</v>
      </c>
      <c r="D364" s="35">
        <f t="shared" si="58"/>
        <v>190</v>
      </c>
      <c r="E364" s="28" t="str">
        <f t="shared" si="59"/>
        <v>6-D19</v>
      </c>
      <c r="F364" s="112">
        <f t="shared" si="60"/>
        <v>1721.9999313354492</v>
      </c>
      <c r="G364" s="112">
        <f t="shared" si="61"/>
        <v>14</v>
      </c>
      <c r="H364" s="112">
        <f t="shared" si="62"/>
        <v>345</v>
      </c>
      <c r="I364" s="111">
        <f t="shared" si="56"/>
        <v>5580</v>
      </c>
      <c r="J364" s="112">
        <f t="shared" si="63"/>
        <v>15</v>
      </c>
      <c r="K364" s="123">
        <f>[2]!RcCMaC(C364/10,D364/10,E364,G364*10,H364*10, I364/10, J364,3)</f>
        <v>180.00000498545322</v>
      </c>
      <c r="L364" s="47">
        <f>[2]!RcCMaC(C364/10,D364/10,E364,G364*10,H364*10,I364/10,J364,4)</f>
        <v>57.939743400844101</v>
      </c>
      <c r="M364" s="48">
        <f>[2]!RcCMaC(C364/10,D364/10,E364,G364*10,H364*10, I364/10, J364,0)*10</f>
        <v>0</v>
      </c>
      <c r="N364" s="119">
        <v>404</v>
      </c>
      <c r="O364" s="120" t="str">
        <f t="shared" si="64"/>
        <v>NG</v>
      </c>
    </row>
    <row r="365" spans="3:15" x14ac:dyDescent="0.15">
      <c r="C365" s="52">
        <f t="shared" si="57"/>
        <v>500</v>
      </c>
      <c r="D365" s="35">
        <f t="shared" si="58"/>
        <v>190</v>
      </c>
      <c r="E365" s="28" t="str">
        <f t="shared" si="59"/>
        <v>6-D19</v>
      </c>
      <c r="F365" s="112">
        <f t="shared" si="60"/>
        <v>1721.9999313354492</v>
      </c>
      <c r="G365" s="112">
        <f t="shared" si="61"/>
        <v>14</v>
      </c>
      <c r="H365" s="112">
        <f t="shared" si="62"/>
        <v>345</v>
      </c>
      <c r="I365" s="111">
        <f t="shared" si="56"/>
        <v>5600</v>
      </c>
      <c r="J365" s="112">
        <f t="shared" si="63"/>
        <v>15</v>
      </c>
      <c r="K365" s="123">
        <f>[2]!RcCMaC(C365/10,D365/10,E365,G365*10,H365*10, I365/10, J365,3)</f>
        <v>180.00000498545322</v>
      </c>
      <c r="L365" s="47">
        <f>[2]!RcCMaC(C365/10,D365/10,E365,G365*10,H365*10,I365/10,J365,4)</f>
        <v>57.939743400844101</v>
      </c>
      <c r="M365" s="48">
        <f>[2]!RcCMaC(C365/10,D365/10,E365,G365*10,H365*10, I365/10, J365,0)*10</f>
        <v>0</v>
      </c>
      <c r="N365" s="119">
        <v>405</v>
      </c>
      <c r="O365" s="120" t="str">
        <f t="shared" si="64"/>
        <v>NG</v>
      </c>
    </row>
    <row r="366" spans="3:15" x14ac:dyDescent="0.15">
      <c r="C366" s="52">
        <f t="shared" si="57"/>
        <v>500</v>
      </c>
      <c r="D366" s="35">
        <f t="shared" si="58"/>
        <v>190</v>
      </c>
      <c r="E366" s="28" t="str">
        <f t="shared" si="59"/>
        <v>6-D19</v>
      </c>
      <c r="F366" s="112">
        <f t="shared" si="60"/>
        <v>1721.9999313354492</v>
      </c>
      <c r="G366" s="112">
        <f t="shared" si="61"/>
        <v>14</v>
      </c>
      <c r="H366" s="112">
        <f t="shared" si="62"/>
        <v>345</v>
      </c>
      <c r="I366" s="111">
        <f t="shared" si="56"/>
        <v>5620</v>
      </c>
      <c r="J366" s="112">
        <f t="shared" si="63"/>
        <v>15</v>
      </c>
      <c r="K366" s="123">
        <f>[2]!RcCMaC(C366/10,D366/10,E366,G366*10,H366*10, I366/10, J366,3)</f>
        <v>180.00000498545322</v>
      </c>
      <c r="L366" s="47">
        <f>[2]!RcCMaC(C366/10,D366/10,E366,G366*10,H366*10,I366/10,J366,4)</f>
        <v>57.939743400844101</v>
      </c>
      <c r="M366" s="48">
        <f>[2]!RcCMaC(C366/10,D366/10,E366,G366*10,H366*10, I366/10, J366,0)*10</f>
        <v>0</v>
      </c>
      <c r="N366" s="119">
        <v>406</v>
      </c>
      <c r="O366" s="120" t="str">
        <f t="shared" si="64"/>
        <v>NG</v>
      </c>
    </row>
    <row r="367" spans="3:15" x14ac:dyDescent="0.15">
      <c r="C367" s="52">
        <f t="shared" si="57"/>
        <v>500</v>
      </c>
      <c r="D367" s="35">
        <f t="shared" si="58"/>
        <v>190</v>
      </c>
      <c r="E367" s="28" t="str">
        <f t="shared" si="59"/>
        <v>6-D19</v>
      </c>
      <c r="F367" s="112">
        <f t="shared" si="60"/>
        <v>1721.9999313354492</v>
      </c>
      <c r="G367" s="112">
        <f t="shared" si="61"/>
        <v>14</v>
      </c>
      <c r="H367" s="112">
        <f t="shared" si="62"/>
        <v>345</v>
      </c>
      <c r="I367" s="111">
        <f t="shared" si="56"/>
        <v>5640</v>
      </c>
      <c r="J367" s="112">
        <f t="shared" si="63"/>
        <v>15</v>
      </c>
      <c r="K367" s="123">
        <f>[2]!RcCMaC(C367/10,D367/10,E367,G367*10,H367*10, I367/10, J367,3)</f>
        <v>180.00000498545322</v>
      </c>
      <c r="L367" s="47">
        <f>[2]!RcCMaC(C367/10,D367/10,E367,G367*10,H367*10,I367/10,J367,4)</f>
        <v>57.939743400844101</v>
      </c>
      <c r="M367" s="48">
        <f>[2]!RcCMaC(C367/10,D367/10,E367,G367*10,H367*10, I367/10, J367,0)*10</f>
        <v>0</v>
      </c>
      <c r="N367" s="119">
        <v>407</v>
      </c>
      <c r="O367" s="120" t="str">
        <f t="shared" si="64"/>
        <v>NG</v>
      </c>
    </row>
    <row r="368" spans="3:15" x14ac:dyDescent="0.15">
      <c r="C368" s="52">
        <f t="shared" si="57"/>
        <v>500</v>
      </c>
      <c r="D368" s="35">
        <f t="shared" si="58"/>
        <v>190</v>
      </c>
      <c r="E368" s="28" t="str">
        <f t="shared" si="59"/>
        <v>6-D19</v>
      </c>
      <c r="F368" s="112">
        <f t="shared" si="60"/>
        <v>1721.9999313354492</v>
      </c>
      <c r="G368" s="112">
        <f t="shared" si="61"/>
        <v>14</v>
      </c>
      <c r="H368" s="112">
        <f t="shared" si="62"/>
        <v>345</v>
      </c>
      <c r="I368" s="111">
        <f t="shared" si="56"/>
        <v>5660</v>
      </c>
      <c r="J368" s="112">
        <f t="shared" si="63"/>
        <v>15</v>
      </c>
      <c r="K368" s="123">
        <f>[2]!RcCMaC(C368/10,D368/10,E368,G368*10,H368*10, I368/10, J368,3)</f>
        <v>180.00000498545322</v>
      </c>
      <c r="L368" s="47">
        <f>[2]!RcCMaC(C368/10,D368/10,E368,G368*10,H368*10,I368/10,J368,4)</f>
        <v>57.939743400844101</v>
      </c>
      <c r="M368" s="48">
        <f>[2]!RcCMaC(C368/10,D368/10,E368,G368*10,H368*10, I368/10, J368,0)*10</f>
        <v>0</v>
      </c>
      <c r="N368" s="119">
        <v>408</v>
      </c>
      <c r="O368" s="120" t="str">
        <f t="shared" si="64"/>
        <v>NG</v>
      </c>
    </row>
    <row r="369" spans="3:15" x14ac:dyDescent="0.15">
      <c r="C369" s="52">
        <f t="shared" si="57"/>
        <v>500</v>
      </c>
      <c r="D369" s="35">
        <f t="shared" si="58"/>
        <v>190</v>
      </c>
      <c r="E369" s="28" t="str">
        <f t="shared" si="59"/>
        <v>6-D19</v>
      </c>
      <c r="F369" s="112">
        <f t="shared" si="60"/>
        <v>1721.9999313354492</v>
      </c>
      <c r="G369" s="112">
        <f t="shared" si="61"/>
        <v>14</v>
      </c>
      <c r="H369" s="112">
        <f t="shared" si="62"/>
        <v>345</v>
      </c>
      <c r="I369" s="111">
        <f t="shared" si="56"/>
        <v>5680</v>
      </c>
      <c r="J369" s="112">
        <f t="shared" si="63"/>
        <v>15</v>
      </c>
      <c r="K369" s="123">
        <f>[2]!RcCMaC(C369/10,D369/10,E369,G369*10,H369*10, I369/10, J369,3)</f>
        <v>180.00000498545322</v>
      </c>
      <c r="L369" s="47">
        <f>[2]!RcCMaC(C369/10,D369/10,E369,G369*10,H369*10,I369/10,J369,4)</f>
        <v>57.939743400844101</v>
      </c>
      <c r="M369" s="48">
        <f>[2]!RcCMaC(C369/10,D369/10,E369,G369*10,H369*10, I369/10, J369,0)*10</f>
        <v>0</v>
      </c>
      <c r="N369" s="119">
        <v>409</v>
      </c>
      <c r="O369" s="120" t="str">
        <f t="shared" si="64"/>
        <v>NG</v>
      </c>
    </row>
    <row r="370" spans="3:15" x14ac:dyDescent="0.15">
      <c r="C370" s="52">
        <f t="shared" si="57"/>
        <v>500</v>
      </c>
      <c r="D370" s="35">
        <f t="shared" si="58"/>
        <v>190</v>
      </c>
      <c r="E370" s="28" t="str">
        <f t="shared" si="59"/>
        <v>6-D19</v>
      </c>
      <c r="F370" s="112">
        <f t="shared" si="60"/>
        <v>1721.9999313354492</v>
      </c>
      <c r="G370" s="112">
        <f t="shared" si="61"/>
        <v>14</v>
      </c>
      <c r="H370" s="112">
        <f t="shared" si="62"/>
        <v>345</v>
      </c>
      <c r="I370" s="111">
        <f t="shared" si="56"/>
        <v>5700</v>
      </c>
      <c r="J370" s="112">
        <f t="shared" si="63"/>
        <v>15</v>
      </c>
      <c r="K370" s="123">
        <f>[2]!RcCMaC(C370/10,D370/10,E370,G370*10,H370*10, I370/10, J370,3)</f>
        <v>180.00000498545322</v>
      </c>
      <c r="L370" s="47">
        <f>[2]!RcCMaC(C370/10,D370/10,E370,G370*10,H370*10,I370/10,J370,4)</f>
        <v>57.939743400844101</v>
      </c>
      <c r="M370" s="48">
        <f>[2]!RcCMaC(C370/10,D370/10,E370,G370*10,H370*10, I370/10, J370,0)*10</f>
        <v>0</v>
      </c>
      <c r="N370" s="119">
        <v>410</v>
      </c>
      <c r="O370" s="120" t="str">
        <f t="shared" si="64"/>
        <v>NG</v>
      </c>
    </row>
    <row r="371" spans="3:15" x14ac:dyDescent="0.15">
      <c r="C371" s="52">
        <f t="shared" si="57"/>
        <v>500</v>
      </c>
      <c r="D371" s="35">
        <f t="shared" si="58"/>
        <v>190</v>
      </c>
      <c r="E371" s="28" t="str">
        <f t="shared" si="59"/>
        <v>6-D19</v>
      </c>
      <c r="F371" s="112">
        <f t="shared" si="60"/>
        <v>1721.9999313354492</v>
      </c>
      <c r="G371" s="112">
        <f t="shared" si="61"/>
        <v>14</v>
      </c>
      <c r="H371" s="112">
        <f t="shared" si="62"/>
        <v>345</v>
      </c>
      <c r="I371" s="111">
        <f t="shared" si="56"/>
        <v>5720</v>
      </c>
      <c r="J371" s="112">
        <f t="shared" si="63"/>
        <v>15</v>
      </c>
      <c r="K371" s="123">
        <f>[2]!RcCMaC(C371/10,D371/10,E371,G371*10,H371*10, I371/10, J371,3)</f>
        <v>180.00000498545322</v>
      </c>
      <c r="L371" s="47">
        <f>[2]!RcCMaC(C371/10,D371/10,E371,G371*10,H371*10,I371/10,J371,4)</f>
        <v>57.939743400844101</v>
      </c>
      <c r="M371" s="48">
        <f>[2]!RcCMaC(C371/10,D371/10,E371,G371*10,H371*10, I371/10, J371,0)*10</f>
        <v>0</v>
      </c>
      <c r="N371" s="119">
        <v>411</v>
      </c>
      <c r="O371" s="120" t="str">
        <f t="shared" si="64"/>
        <v>NG</v>
      </c>
    </row>
    <row r="372" spans="3:15" x14ac:dyDescent="0.15">
      <c r="C372" s="52">
        <f t="shared" si="57"/>
        <v>500</v>
      </c>
      <c r="D372" s="35">
        <f t="shared" si="58"/>
        <v>190</v>
      </c>
      <c r="E372" s="28" t="str">
        <f t="shared" si="59"/>
        <v>6-D19</v>
      </c>
      <c r="F372" s="112">
        <f t="shared" si="60"/>
        <v>1721.9999313354492</v>
      </c>
      <c r="G372" s="112">
        <f t="shared" si="61"/>
        <v>14</v>
      </c>
      <c r="H372" s="112">
        <f t="shared" si="62"/>
        <v>345</v>
      </c>
      <c r="I372" s="111">
        <f t="shared" si="56"/>
        <v>5740</v>
      </c>
      <c r="J372" s="112">
        <f t="shared" si="63"/>
        <v>15</v>
      </c>
      <c r="K372" s="123">
        <f>[2]!RcCMaC(C372/10,D372/10,E372,G372*10,H372*10, I372/10, J372,3)</f>
        <v>180.00000498545322</v>
      </c>
      <c r="L372" s="47">
        <f>[2]!RcCMaC(C372/10,D372/10,E372,G372*10,H372*10,I372/10,J372,4)</f>
        <v>57.939743400844101</v>
      </c>
      <c r="M372" s="48">
        <f>[2]!RcCMaC(C372/10,D372/10,E372,G372*10,H372*10, I372/10, J372,0)*10</f>
        <v>0</v>
      </c>
      <c r="N372" s="119">
        <v>412</v>
      </c>
      <c r="O372" s="120" t="str">
        <f t="shared" si="64"/>
        <v>NG</v>
      </c>
    </row>
    <row r="373" spans="3:15" x14ac:dyDescent="0.15">
      <c r="C373" s="52">
        <f t="shared" si="57"/>
        <v>500</v>
      </c>
      <c r="D373" s="35">
        <f t="shared" si="58"/>
        <v>190</v>
      </c>
      <c r="E373" s="28" t="str">
        <f t="shared" si="59"/>
        <v>6-D19</v>
      </c>
      <c r="F373" s="112">
        <f t="shared" si="60"/>
        <v>1721.9999313354492</v>
      </c>
      <c r="G373" s="112">
        <f t="shared" si="61"/>
        <v>14</v>
      </c>
      <c r="H373" s="112">
        <f t="shared" si="62"/>
        <v>345</v>
      </c>
      <c r="I373" s="111">
        <f t="shared" si="56"/>
        <v>5760</v>
      </c>
      <c r="J373" s="112">
        <f t="shared" si="63"/>
        <v>15</v>
      </c>
      <c r="K373" s="123">
        <f>[2]!RcCMaC(C373/10,D373/10,E373,G373*10,H373*10, I373/10, J373,3)</f>
        <v>180.00000498545322</v>
      </c>
      <c r="L373" s="47">
        <f>[2]!RcCMaC(C373/10,D373/10,E373,G373*10,H373*10,I373/10,J373,4)</f>
        <v>57.939743400844101</v>
      </c>
      <c r="M373" s="48">
        <f>[2]!RcCMaC(C373/10,D373/10,E373,G373*10,H373*10, I373/10, J373,0)*10</f>
        <v>0</v>
      </c>
      <c r="N373" s="119">
        <v>413</v>
      </c>
      <c r="O373" s="120" t="str">
        <f t="shared" si="64"/>
        <v>NG</v>
      </c>
    </row>
    <row r="374" spans="3:15" x14ac:dyDescent="0.15">
      <c r="C374" s="52">
        <f t="shared" si="57"/>
        <v>500</v>
      </c>
      <c r="D374" s="35">
        <f t="shared" si="58"/>
        <v>190</v>
      </c>
      <c r="E374" s="28" t="str">
        <f t="shared" si="59"/>
        <v>6-D19</v>
      </c>
      <c r="F374" s="112">
        <f t="shared" si="60"/>
        <v>1721.9999313354492</v>
      </c>
      <c r="G374" s="112">
        <f t="shared" si="61"/>
        <v>14</v>
      </c>
      <c r="H374" s="112">
        <f t="shared" si="62"/>
        <v>345</v>
      </c>
      <c r="I374" s="111">
        <f t="shared" si="56"/>
        <v>5780</v>
      </c>
      <c r="J374" s="112">
        <f t="shared" si="63"/>
        <v>15</v>
      </c>
      <c r="K374" s="123">
        <f>[2]!RcCMaC(C374/10,D374/10,E374,G374*10,H374*10, I374/10, J374,3)</f>
        <v>180.00000498545322</v>
      </c>
      <c r="L374" s="47">
        <f>[2]!RcCMaC(C374/10,D374/10,E374,G374*10,H374*10,I374/10,J374,4)</f>
        <v>57.939743400844101</v>
      </c>
      <c r="M374" s="48">
        <f>[2]!RcCMaC(C374/10,D374/10,E374,G374*10,H374*10, I374/10, J374,0)*10</f>
        <v>0</v>
      </c>
      <c r="N374" s="119">
        <v>414</v>
      </c>
      <c r="O374" s="120" t="str">
        <f t="shared" si="64"/>
        <v>NG</v>
      </c>
    </row>
    <row r="375" spans="3:15" x14ac:dyDescent="0.15">
      <c r="C375" s="52">
        <f t="shared" si="57"/>
        <v>500</v>
      </c>
      <c r="D375" s="35">
        <f t="shared" si="58"/>
        <v>190</v>
      </c>
      <c r="E375" s="28" t="str">
        <f t="shared" si="59"/>
        <v>6-D19</v>
      </c>
      <c r="F375" s="112">
        <f t="shared" si="60"/>
        <v>1721.9999313354492</v>
      </c>
      <c r="G375" s="112">
        <f t="shared" si="61"/>
        <v>14</v>
      </c>
      <c r="H375" s="112">
        <f t="shared" si="62"/>
        <v>345</v>
      </c>
      <c r="I375" s="111">
        <f t="shared" si="56"/>
        <v>5800</v>
      </c>
      <c r="J375" s="112">
        <f t="shared" si="63"/>
        <v>15</v>
      </c>
      <c r="K375" s="123">
        <f>[2]!RcCMaC(C375/10,D375/10,E375,G375*10,H375*10, I375/10, J375,3)</f>
        <v>180.00000498545322</v>
      </c>
      <c r="L375" s="47">
        <f>[2]!RcCMaC(C375/10,D375/10,E375,G375*10,H375*10,I375/10,J375,4)</f>
        <v>57.939743400844101</v>
      </c>
      <c r="M375" s="48">
        <f>[2]!RcCMaC(C375/10,D375/10,E375,G375*10,H375*10, I375/10, J375,0)*10</f>
        <v>0</v>
      </c>
      <c r="N375" s="119">
        <v>415</v>
      </c>
      <c r="O375" s="120" t="str">
        <f t="shared" si="64"/>
        <v>NG</v>
      </c>
    </row>
    <row r="376" spans="3:15" x14ac:dyDescent="0.15">
      <c r="C376" s="52">
        <f t="shared" si="57"/>
        <v>500</v>
      </c>
      <c r="D376" s="35">
        <f t="shared" si="58"/>
        <v>190</v>
      </c>
      <c r="E376" s="28" t="str">
        <f t="shared" si="59"/>
        <v>6-D19</v>
      </c>
      <c r="F376" s="112">
        <f t="shared" si="60"/>
        <v>1721.9999313354492</v>
      </c>
      <c r="G376" s="112">
        <f t="shared" si="61"/>
        <v>14</v>
      </c>
      <c r="H376" s="112">
        <f t="shared" si="62"/>
        <v>345</v>
      </c>
      <c r="I376" s="111">
        <f t="shared" si="56"/>
        <v>5820</v>
      </c>
      <c r="J376" s="112">
        <f t="shared" si="63"/>
        <v>15</v>
      </c>
      <c r="K376" s="123">
        <f>[2]!RcCMaC(C376/10,D376/10,E376,G376*10,H376*10, I376/10, J376,3)</f>
        <v>180.00000498545322</v>
      </c>
      <c r="L376" s="47">
        <f>[2]!RcCMaC(C376/10,D376/10,E376,G376*10,H376*10,I376/10,J376,4)</f>
        <v>57.939743400844101</v>
      </c>
      <c r="M376" s="48">
        <f>[2]!RcCMaC(C376/10,D376/10,E376,G376*10,H376*10, I376/10, J376,0)*10</f>
        <v>0</v>
      </c>
      <c r="N376" s="119">
        <v>416</v>
      </c>
      <c r="O376" s="120" t="str">
        <f t="shared" si="64"/>
        <v>NG</v>
      </c>
    </row>
    <row r="377" spans="3:15" x14ac:dyDescent="0.15">
      <c r="C377" s="52">
        <f t="shared" si="57"/>
        <v>500</v>
      </c>
      <c r="D377" s="35">
        <f t="shared" si="58"/>
        <v>190</v>
      </c>
      <c r="E377" s="28" t="str">
        <f t="shared" si="59"/>
        <v>6-D19</v>
      </c>
      <c r="F377" s="112">
        <f t="shared" si="60"/>
        <v>1721.9999313354492</v>
      </c>
      <c r="G377" s="112">
        <f t="shared" si="61"/>
        <v>14</v>
      </c>
      <c r="H377" s="112">
        <f t="shared" si="62"/>
        <v>345</v>
      </c>
      <c r="I377" s="111">
        <f t="shared" si="56"/>
        <v>5840</v>
      </c>
      <c r="J377" s="112">
        <f t="shared" si="63"/>
        <v>15</v>
      </c>
      <c r="K377" s="123">
        <f>[2]!RcCMaC(C377/10,D377/10,E377,G377*10,H377*10, I377/10, J377,3)</f>
        <v>180.00000498545322</v>
      </c>
      <c r="L377" s="47">
        <f>[2]!RcCMaC(C377/10,D377/10,E377,G377*10,H377*10,I377/10,J377,4)</f>
        <v>57.939743400844101</v>
      </c>
      <c r="M377" s="48">
        <f>[2]!RcCMaC(C377/10,D377/10,E377,G377*10,H377*10, I377/10, J377,0)*10</f>
        <v>0</v>
      </c>
      <c r="N377" s="119">
        <v>417</v>
      </c>
      <c r="O377" s="120" t="str">
        <f t="shared" si="64"/>
        <v>NG</v>
      </c>
    </row>
    <row r="378" spans="3:15" x14ac:dyDescent="0.15">
      <c r="C378" s="52">
        <f t="shared" si="57"/>
        <v>500</v>
      </c>
      <c r="D378" s="35">
        <f t="shared" si="58"/>
        <v>190</v>
      </c>
      <c r="E378" s="28" t="str">
        <f t="shared" si="59"/>
        <v>6-D19</v>
      </c>
      <c r="F378" s="112">
        <f t="shared" si="60"/>
        <v>1721.9999313354492</v>
      </c>
      <c r="G378" s="112">
        <f t="shared" si="61"/>
        <v>14</v>
      </c>
      <c r="H378" s="112">
        <f t="shared" si="62"/>
        <v>345</v>
      </c>
      <c r="I378" s="111">
        <f t="shared" si="56"/>
        <v>5860</v>
      </c>
      <c r="J378" s="112">
        <f t="shared" si="63"/>
        <v>15</v>
      </c>
      <c r="K378" s="123">
        <f>[2]!RcCMaC(C378/10,D378/10,E378,G378*10,H378*10, I378/10, J378,3)</f>
        <v>180.00000498545322</v>
      </c>
      <c r="L378" s="47">
        <f>[2]!RcCMaC(C378/10,D378/10,E378,G378*10,H378*10,I378/10,J378,4)</f>
        <v>57.939743400844101</v>
      </c>
      <c r="M378" s="48">
        <f>[2]!RcCMaC(C378/10,D378/10,E378,G378*10,H378*10, I378/10, J378,0)*10</f>
        <v>0</v>
      </c>
      <c r="N378" s="119">
        <v>418</v>
      </c>
      <c r="O378" s="120" t="str">
        <f t="shared" si="64"/>
        <v>NG</v>
      </c>
    </row>
    <row r="379" spans="3:15" x14ac:dyDescent="0.15">
      <c r="C379" s="52">
        <f t="shared" si="57"/>
        <v>500</v>
      </c>
      <c r="D379" s="35">
        <f t="shared" si="58"/>
        <v>190</v>
      </c>
      <c r="E379" s="28" t="str">
        <f t="shared" si="59"/>
        <v>6-D19</v>
      </c>
      <c r="F379" s="112">
        <f t="shared" si="60"/>
        <v>1721.9999313354492</v>
      </c>
      <c r="G379" s="112">
        <f t="shared" si="61"/>
        <v>14</v>
      </c>
      <c r="H379" s="112">
        <f t="shared" si="62"/>
        <v>345</v>
      </c>
      <c r="I379" s="111">
        <f t="shared" si="56"/>
        <v>5880</v>
      </c>
      <c r="J379" s="112">
        <f t="shared" si="63"/>
        <v>15</v>
      </c>
      <c r="K379" s="123">
        <f>[2]!RcCMaC(C379/10,D379/10,E379,G379*10,H379*10, I379/10, J379,3)</f>
        <v>180.00000498545322</v>
      </c>
      <c r="L379" s="47">
        <f>[2]!RcCMaC(C379/10,D379/10,E379,G379*10,H379*10,I379/10,J379,4)</f>
        <v>57.939743400844101</v>
      </c>
      <c r="M379" s="48">
        <f>[2]!RcCMaC(C379/10,D379/10,E379,G379*10,H379*10, I379/10, J379,0)*10</f>
        <v>0</v>
      </c>
      <c r="N379" s="119">
        <v>419</v>
      </c>
      <c r="O379" s="120" t="str">
        <f t="shared" si="64"/>
        <v>NG</v>
      </c>
    </row>
    <row r="380" spans="3:15" x14ac:dyDescent="0.15">
      <c r="C380" s="52">
        <f t="shared" si="57"/>
        <v>500</v>
      </c>
      <c r="D380" s="35">
        <f t="shared" si="58"/>
        <v>190</v>
      </c>
      <c r="E380" s="28" t="str">
        <f t="shared" si="59"/>
        <v>6-D19</v>
      </c>
      <c r="F380" s="112">
        <f t="shared" si="60"/>
        <v>1721.9999313354492</v>
      </c>
      <c r="G380" s="112">
        <f t="shared" si="61"/>
        <v>14</v>
      </c>
      <c r="H380" s="112">
        <f t="shared" si="62"/>
        <v>345</v>
      </c>
      <c r="I380" s="111">
        <f t="shared" si="56"/>
        <v>5900</v>
      </c>
      <c r="J380" s="112">
        <f t="shared" si="63"/>
        <v>15</v>
      </c>
      <c r="K380" s="123">
        <f>[2]!RcCMaC(C380/10,D380/10,E380,G380*10,H380*10, I380/10, J380,3)</f>
        <v>180.00000498545322</v>
      </c>
      <c r="L380" s="47">
        <f>[2]!RcCMaC(C380/10,D380/10,E380,G380*10,H380*10,I380/10,J380,4)</f>
        <v>57.939743400844101</v>
      </c>
      <c r="M380" s="48">
        <f>[2]!RcCMaC(C380/10,D380/10,E380,G380*10,H380*10, I380/10, J380,0)*10</f>
        <v>0</v>
      </c>
      <c r="N380" s="119">
        <v>420</v>
      </c>
      <c r="O380" s="120" t="str">
        <f t="shared" si="64"/>
        <v>NG</v>
      </c>
    </row>
    <row r="381" spans="3:15" x14ac:dyDescent="0.15">
      <c r="C381" s="52">
        <f t="shared" si="57"/>
        <v>500</v>
      </c>
      <c r="D381" s="35">
        <f t="shared" si="58"/>
        <v>190</v>
      </c>
      <c r="E381" s="28" t="str">
        <f t="shared" si="59"/>
        <v>6-D19</v>
      </c>
      <c r="F381" s="112">
        <f t="shared" si="60"/>
        <v>1721.9999313354492</v>
      </c>
      <c r="G381" s="112">
        <f t="shared" si="61"/>
        <v>14</v>
      </c>
      <c r="H381" s="112">
        <f t="shared" si="62"/>
        <v>345</v>
      </c>
      <c r="I381" s="111">
        <f t="shared" si="56"/>
        <v>5920</v>
      </c>
      <c r="J381" s="112">
        <f t="shared" si="63"/>
        <v>15</v>
      </c>
      <c r="K381" s="123">
        <f>[2]!RcCMaC(C381/10,D381/10,E381,G381*10,H381*10, I381/10, J381,3)</f>
        <v>180.00000498545322</v>
      </c>
      <c r="L381" s="47">
        <f>[2]!RcCMaC(C381/10,D381/10,E381,G381*10,H381*10,I381/10,J381,4)</f>
        <v>57.939743400844101</v>
      </c>
      <c r="M381" s="48">
        <f>[2]!RcCMaC(C381/10,D381/10,E381,G381*10,H381*10, I381/10, J381,0)*10</f>
        <v>0</v>
      </c>
      <c r="N381" s="119">
        <v>421</v>
      </c>
      <c r="O381" s="120" t="str">
        <f t="shared" si="64"/>
        <v>NG</v>
      </c>
    </row>
    <row r="382" spans="3:15" x14ac:dyDescent="0.15">
      <c r="C382" s="52">
        <f t="shared" si="57"/>
        <v>500</v>
      </c>
      <c r="D382" s="35">
        <f t="shared" si="58"/>
        <v>190</v>
      </c>
      <c r="E382" s="28" t="str">
        <f t="shared" si="59"/>
        <v>6-D19</v>
      </c>
      <c r="F382" s="112">
        <f t="shared" si="60"/>
        <v>1721.9999313354492</v>
      </c>
      <c r="G382" s="112">
        <f t="shared" si="61"/>
        <v>14</v>
      </c>
      <c r="H382" s="112">
        <f t="shared" si="62"/>
        <v>345</v>
      </c>
      <c r="I382" s="111">
        <f t="shared" si="56"/>
        <v>5940</v>
      </c>
      <c r="J382" s="112">
        <f t="shared" si="63"/>
        <v>15</v>
      </c>
      <c r="K382" s="123">
        <f>[2]!RcCMaC(C382/10,D382/10,E382,G382*10,H382*10, I382/10, J382,3)</f>
        <v>180.00000498545322</v>
      </c>
      <c r="L382" s="47">
        <f>[2]!RcCMaC(C382/10,D382/10,E382,G382*10,H382*10,I382/10,J382,4)</f>
        <v>57.939743400844101</v>
      </c>
      <c r="M382" s="48">
        <f>[2]!RcCMaC(C382/10,D382/10,E382,G382*10,H382*10, I382/10, J382,0)*10</f>
        <v>0</v>
      </c>
      <c r="N382" s="119">
        <v>422</v>
      </c>
      <c r="O382" s="120" t="str">
        <f t="shared" si="64"/>
        <v>NG</v>
      </c>
    </row>
    <row r="383" spans="3:15" x14ac:dyDescent="0.15">
      <c r="C383" s="52">
        <f t="shared" si="57"/>
        <v>500</v>
      </c>
      <c r="D383" s="35">
        <f t="shared" si="58"/>
        <v>190</v>
      </c>
      <c r="E383" s="28" t="str">
        <f t="shared" si="59"/>
        <v>6-D19</v>
      </c>
      <c r="F383" s="112">
        <f t="shared" si="60"/>
        <v>1721.9999313354492</v>
      </c>
      <c r="G383" s="112">
        <f t="shared" si="61"/>
        <v>14</v>
      </c>
      <c r="H383" s="112">
        <f t="shared" si="62"/>
        <v>345</v>
      </c>
      <c r="I383" s="111">
        <f t="shared" si="56"/>
        <v>5960</v>
      </c>
      <c r="J383" s="112">
        <f t="shared" si="63"/>
        <v>15</v>
      </c>
      <c r="K383" s="123">
        <f>[2]!RcCMaC(C383/10,D383/10,E383,G383*10,H383*10, I383/10, J383,3)</f>
        <v>180.00000498545322</v>
      </c>
      <c r="L383" s="47">
        <f>[2]!RcCMaC(C383/10,D383/10,E383,G383*10,H383*10,I383/10,J383,4)</f>
        <v>57.939743400844101</v>
      </c>
      <c r="M383" s="48">
        <f>[2]!RcCMaC(C383/10,D383/10,E383,G383*10,H383*10, I383/10, J383,0)*10</f>
        <v>0</v>
      </c>
      <c r="N383" s="119">
        <v>423</v>
      </c>
      <c r="O383" s="120" t="str">
        <f t="shared" si="64"/>
        <v>NG</v>
      </c>
    </row>
    <row r="384" spans="3:15" x14ac:dyDescent="0.15">
      <c r="C384" s="52">
        <f t="shared" si="57"/>
        <v>500</v>
      </c>
      <c r="D384" s="35">
        <f t="shared" si="58"/>
        <v>190</v>
      </c>
      <c r="E384" s="28" t="str">
        <f t="shared" si="59"/>
        <v>6-D19</v>
      </c>
      <c r="F384" s="112">
        <f t="shared" si="60"/>
        <v>1721.9999313354492</v>
      </c>
      <c r="G384" s="112">
        <f t="shared" si="61"/>
        <v>14</v>
      </c>
      <c r="H384" s="112">
        <f t="shared" si="62"/>
        <v>345</v>
      </c>
      <c r="I384" s="111">
        <f t="shared" si="56"/>
        <v>5980</v>
      </c>
      <c r="J384" s="112">
        <f t="shared" si="63"/>
        <v>15</v>
      </c>
      <c r="K384" s="123">
        <f>[2]!RcCMaC(C384/10,D384/10,E384,G384*10,H384*10, I384/10, J384,3)</f>
        <v>180.00000498545322</v>
      </c>
      <c r="L384" s="47">
        <f>[2]!RcCMaC(C384/10,D384/10,E384,G384*10,H384*10,I384/10,J384,4)</f>
        <v>57.939743400844101</v>
      </c>
      <c r="M384" s="48">
        <f>[2]!RcCMaC(C384/10,D384/10,E384,G384*10,H384*10, I384/10, J384,0)*10</f>
        <v>0</v>
      </c>
      <c r="N384" s="119">
        <v>424</v>
      </c>
      <c r="O384" s="120" t="str">
        <f t="shared" si="64"/>
        <v>NG</v>
      </c>
    </row>
    <row r="385" spans="3:15" x14ac:dyDescent="0.15">
      <c r="C385" s="52">
        <f t="shared" si="57"/>
        <v>500</v>
      </c>
      <c r="D385" s="35">
        <f t="shared" si="58"/>
        <v>190</v>
      </c>
      <c r="E385" s="28" t="str">
        <f t="shared" si="59"/>
        <v>6-D19</v>
      </c>
      <c r="F385" s="112">
        <f t="shared" si="60"/>
        <v>1721.9999313354492</v>
      </c>
      <c r="G385" s="112">
        <f t="shared" si="61"/>
        <v>14</v>
      </c>
      <c r="H385" s="112">
        <f t="shared" si="62"/>
        <v>345</v>
      </c>
      <c r="I385" s="111">
        <f t="shared" ref="I385:I390" si="65">+I384+10</f>
        <v>5990</v>
      </c>
      <c r="J385" s="112">
        <f t="shared" si="63"/>
        <v>15</v>
      </c>
      <c r="K385" s="123">
        <f>[2]!RcCMaC(C385/10,D385/10,E385,G385*10,H385*10, I385/10, J385,3)</f>
        <v>180.00000498545322</v>
      </c>
      <c r="L385" s="47">
        <f>[2]!RcCMaC(C385/10,D385/10,E385,G385*10,H385*10,I385/10,J385,4)</f>
        <v>57.939743400844101</v>
      </c>
      <c r="M385" s="48">
        <f>[2]!RcCMaC(C385/10,D385/10,E385,G385*10,H385*10, I385/10, J385,0)*10</f>
        <v>0</v>
      </c>
      <c r="N385" s="119">
        <v>425</v>
      </c>
      <c r="O385" s="120" t="str">
        <f t="shared" si="64"/>
        <v>NG</v>
      </c>
    </row>
    <row r="386" spans="3:15" x14ac:dyDescent="0.15">
      <c r="C386" s="52">
        <f t="shared" si="57"/>
        <v>500</v>
      </c>
      <c r="D386" s="35">
        <f t="shared" si="58"/>
        <v>190</v>
      </c>
      <c r="E386" s="28" t="str">
        <f t="shared" si="59"/>
        <v>6-D19</v>
      </c>
      <c r="F386" s="112">
        <f t="shared" si="60"/>
        <v>1721.9999313354492</v>
      </c>
      <c r="G386" s="112">
        <f t="shared" si="61"/>
        <v>14</v>
      </c>
      <c r="H386" s="112">
        <f t="shared" si="62"/>
        <v>345</v>
      </c>
      <c r="I386" s="111">
        <f t="shared" si="65"/>
        <v>6000</v>
      </c>
      <c r="J386" s="112">
        <f t="shared" si="63"/>
        <v>15</v>
      </c>
      <c r="K386" s="123">
        <f>[2]!RcCMaC(C386/10,D386/10,E386,G386*10,H386*10, I386/10, J386,3)</f>
        <v>180.00000498545322</v>
      </c>
      <c r="L386" s="47">
        <f>[2]!RcCMaC(C386/10,D386/10,E386,G386*10,H386*10,I386/10,J386,4)</f>
        <v>57.939743400844101</v>
      </c>
      <c r="M386" s="48">
        <f>[2]!RcCMaC(C386/10,D386/10,E386,G386*10,H386*10, I386/10, J386,0)*10</f>
        <v>0</v>
      </c>
      <c r="N386" s="119">
        <v>426</v>
      </c>
      <c r="O386" s="120" t="str">
        <f t="shared" si="64"/>
        <v>NG</v>
      </c>
    </row>
    <row r="387" spans="3:15" x14ac:dyDescent="0.15">
      <c r="C387" s="52">
        <f t="shared" si="57"/>
        <v>500</v>
      </c>
      <c r="D387" s="35">
        <f t="shared" si="58"/>
        <v>190</v>
      </c>
      <c r="E387" s="28" t="str">
        <f t="shared" si="59"/>
        <v>6-D19</v>
      </c>
      <c r="F387" s="112">
        <f t="shared" si="60"/>
        <v>1721.9999313354492</v>
      </c>
      <c r="G387" s="112">
        <f t="shared" si="61"/>
        <v>14</v>
      </c>
      <c r="H387" s="112">
        <f t="shared" si="62"/>
        <v>345</v>
      </c>
      <c r="I387" s="111">
        <f t="shared" si="65"/>
        <v>6010</v>
      </c>
      <c r="J387" s="112">
        <f t="shared" si="63"/>
        <v>15</v>
      </c>
      <c r="K387" s="123">
        <f>[2]!RcCMaC(C387/10,D387/10,E387,G387*10,H387*10, I387/10, J387,3)</f>
        <v>180.00000498545322</v>
      </c>
      <c r="L387" s="47">
        <f>[2]!RcCMaC(C387/10,D387/10,E387,G387*10,H387*10,I387/10,J387,4)</f>
        <v>57.939743400844101</v>
      </c>
      <c r="M387" s="48">
        <f>[2]!RcCMaC(C387/10,D387/10,E387,G387*10,H387*10, I387/10, J387,0)*10</f>
        <v>0</v>
      </c>
      <c r="N387" s="119">
        <v>427</v>
      </c>
      <c r="O387" s="120" t="str">
        <f t="shared" si="64"/>
        <v>NG</v>
      </c>
    </row>
    <row r="388" spans="3:15" x14ac:dyDescent="0.15">
      <c r="C388" s="52">
        <f t="shared" si="57"/>
        <v>500</v>
      </c>
      <c r="D388" s="35">
        <f t="shared" si="58"/>
        <v>190</v>
      </c>
      <c r="E388" s="28" t="str">
        <f t="shared" si="59"/>
        <v>6-D19</v>
      </c>
      <c r="F388" s="112">
        <f t="shared" si="60"/>
        <v>1721.9999313354492</v>
      </c>
      <c r="G388" s="112">
        <f t="shared" si="61"/>
        <v>14</v>
      </c>
      <c r="H388" s="112">
        <f t="shared" si="62"/>
        <v>345</v>
      </c>
      <c r="I388" s="111">
        <f t="shared" si="65"/>
        <v>6020</v>
      </c>
      <c r="J388" s="112">
        <f t="shared" si="63"/>
        <v>15</v>
      </c>
      <c r="K388" s="123">
        <f>[2]!RcCMaC(C388/10,D388/10,E388,G388*10,H388*10, I388/10, J388,3)</f>
        <v>180.00000498545322</v>
      </c>
      <c r="L388" s="47">
        <f>[2]!RcCMaC(C388/10,D388/10,E388,G388*10,H388*10,I388/10,J388,4)</f>
        <v>57.939743400844101</v>
      </c>
      <c r="M388" s="48">
        <f>[2]!RcCMaC(C388/10,D388/10,E388,G388*10,H388*10, I388/10, J388,0)*10</f>
        <v>0</v>
      </c>
      <c r="N388" s="119">
        <v>428</v>
      </c>
      <c r="O388" s="120" t="str">
        <f t="shared" si="64"/>
        <v>NG</v>
      </c>
    </row>
    <row r="389" spans="3:15" x14ac:dyDescent="0.15">
      <c r="C389" s="52">
        <f t="shared" si="57"/>
        <v>500</v>
      </c>
      <c r="D389" s="35">
        <f t="shared" si="58"/>
        <v>190</v>
      </c>
      <c r="E389" s="28" t="str">
        <f t="shared" si="59"/>
        <v>6-D19</v>
      </c>
      <c r="F389" s="112">
        <f t="shared" si="60"/>
        <v>1721.9999313354492</v>
      </c>
      <c r="G389" s="112">
        <f t="shared" si="61"/>
        <v>14</v>
      </c>
      <c r="H389" s="112">
        <f t="shared" si="62"/>
        <v>345</v>
      </c>
      <c r="I389" s="111">
        <f t="shared" si="65"/>
        <v>6030</v>
      </c>
      <c r="J389" s="112">
        <f t="shared" si="63"/>
        <v>15</v>
      </c>
      <c r="K389" s="123">
        <f>[2]!RcCMaC(C389/10,D389/10,E389,G389*10,H389*10, I389/10, J389,3)</f>
        <v>180.00000498545322</v>
      </c>
      <c r="L389" s="47">
        <f>[2]!RcCMaC(C389/10,D389/10,E389,G389*10,H389*10,I389/10,J389,4)</f>
        <v>57.939743400844101</v>
      </c>
      <c r="M389" s="48">
        <f>[2]!RcCMaC(C389/10,D389/10,E389,G389*10,H389*10, I389/10, J389,0)*10</f>
        <v>0</v>
      </c>
      <c r="N389" s="119">
        <v>429</v>
      </c>
      <c r="O389" s="120" t="str">
        <f t="shared" si="64"/>
        <v>NG</v>
      </c>
    </row>
    <row r="390" spans="3:15" x14ac:dyDescent="0.15">
      <c r="C390" s="52">
        <f t="shared" si="57"/>
        <v>500</v>
      </c>
      <c r="D390" s="35">
        <f t="shared" si="58"/>
        <v>190</v>
      </c>
      <c r="E390" s="28" t="str">
        <f t="shared" si="59"/>
        <v>6-D19</v>
      </c>
      <c r="F390" s="112">
        <f t="shared" si="60"/>
        <v>1721.9999313354492</v>
      </c>
      <c r="G390" s="112">
        <f t="shared" si="61"/>
        <v>14</v>
      </c>
      <c r="H390" s="112">
        <f t="shared" si="62"/>
        <v>345</v>
      </c>
      <c r="I390" s="111">
        <f t="shared" si="65"/>
        <v>6040</v>
      </c>
      <c r="J390" s="112">
        <f t="shared" si="63"/>
        <v>15</v>
      </c>
      <c r="K390" s="123">
        <f>[2]!RcCMaC(C390/10,D390/10,E390,G390*10,H390*10, I390/10, J390,3)</f>
        <v>180.00000498545322</v>
      </c>
      <c r="L390" s="47">
        <f>[2]!RcCMaC(C390/10,D390/10,E390,G390*10,H390*10,I390/10,J390,4)</f>
        <v>57.939743400844101</v>
      </c>
      <c r="M390" s="48">
        <f>[2]!RcCMaC(C390/10,D390/10,E390,G390*10,H390*10, I390/10, J390,0)*10</f>
        <v>0</v>
      </c>
      <c r="N390" s="119">
        <v>430</v>
      </c>
      <c r="O390" s="120" t="str">
        <f t="shared" si="64"/>
        <v>NG</v>
      </c>
    </row>
    <row r="391" spans="3:15" x14ac:dyDescent="0.15">
      <c r="C391" s="52">
        <f t="shared" si="57"/>
        <v>500</v>
      </c>
      <c r="D391" s="35">
        <f t="shared" si="58"/>
        <v>190</v>
      </c>
      <c r="E391" s="28" t="str">
        <f t="shared" si="59"/>
        <v>6-D19</v>
      </c>
      <c r="F391" s="112">
        <f t="shared" si="60"/>
        <v>1721.9999313354492</v>
      </c>
      <c r="G391" s="112">
        <f t="shared" si="61"/>
        <v>14</v>
      </c>
      <c r="H391" s="112">
        <f t="shared" si="62"/>
        <v>345</v>
      </c>
      <c r="I391" s="111">
        <f t="shared" ref="I391:I454" si="66">+I390+10</f>
        <v>6050</v>
      </c>
      <c r="J391" s="112">
        <f t="shared" si="63"/>
        <v>15</v>
      </c>
      <c r="K391" s="123">
        <f>[2]!RcCMaC(C391/10,D391/10,E391,G391*10,H391*10, I391/10, J391,3)</f>
        <v>180.00000498545322</v>
      </c>
      <c r="L391" s="47">
        <f>[2]!RcCMaC(C391/10,D391/10,E391,G391*10,H391*10,I391/10,J391,4)</f>
        <v>57.939743400844101</v>
      </c>
      <c r="M391" s="48">
        <f>[2]!RcCMaC(C391/10,D391/10,E391,G391*10,H391*10, I391/10, J391,0)*10</f>
        <v>0</v>
      </c>
      <c r="N391" s="119">
        <v>431</v>
      </c>
      <c r="O391" s="120" t="str">
        <f t="shared" si="64"/>
        <v>NG</v>
      </c>
    </row>
    <row r="392" spans="3:15" x14ac:dyDescent="0.15">
      <c r="C392" s="52">
        <f t="shared" si="57"/>
        <v>500</v>
      </c>
      <c r="D392" s="35">
        <f t="shared" si="58"/>
        <v>190</v>
      </c>
      <c r="E392" s="28" t="str">
        <f t="shared" si="59"/>
        <v>6-D19</v>
      </c>
      <c r="F392" s="112">
        <f t="shared" si="60"/>
        <v>1721.9999313354492</v>
      </c>
      <c r="G392" s="112">
        <f t="shared" si="61"/>
        <v>14</v>
      </c>
      <c r="H392" s="112">
        <f t="shared" si="62"/>
        <v>345</v>
      </c>
      <c r="I392" s="111">
        <f t="shared" si="66"/>
        <v>6060</v>
      </c>
      <c r="J392" s="112">
        <f t="shared" si="63"/>
        <v>15</v>
      </c>
      <c r="K392" s="123">
        <f>[2]!RcCMaC(C392/10,D392/10,E392,G392*10,H392*10, I392/10, J392,3)</f>
        <v>180.00000498545322</v>
      </c>
      <c r="L392" s="47">
        <f>[2]!RcCMaC(C392/10,D392/10,E392,G392*10,H392*10,I392/10,J392,4)</f>
        <v>57.939743400844101</v>
      </c>
      <c r="M392" s="48">
        <f>[2]!RcCMaC(C392/10,D392/10,E392,G392*10,H392*10, I392/10, J392,0)*10</f>
        <v>0</v>
      </c>
      <c r="N392" s="119">
        <v>432</v>
      </c>
      <c r="O392" s="120" t="str">
        <f t="shared" si="64"/>
        <v>NG</v>
      </c>
    </row>
    <row r="393" spans="3:15" x14ac:dyDescent="0.15">
      <c r="C393" s="52">
        <f t="shared" si="57"/>
        <v>500</v>
      </c>
      <c r="D393" s="35">
        <f t="shared" si="58"/>
        <v>190</v>
      </c>
      <c r="E393" s="28" t="str">
        <f t="shared" si="59"/>
        <v>6-D19</v>
      </c>
      <c r="F393" s="112">
        <f t="shared" si="60"/>
        <v>1721.9999313354492</v>
      </c>
      <c r="G393" s="112">
        <f t="shared" si="61"/>
        <v>14</v>
      </c>
      <c r="H393" s="112">
        <f t="shared" si="62"/>
        <v>345</v>
      </c>
      <c r="I393" s="111">
        <f t="shared" si="66"/>
        <v>6070</v>
      </c>
      <c r="J393" s="112">
        <f t="shared" si="63"/>
        <v>15</v>
      </c>
      <c r="K393" s="123">
        <f>[2]!RcCMaC(C393/10,D393/10,E393,G393*10,H393*10, I393/10, J393,3)</f>
        <v>180.00000498545322</v>
      </c>
      <c r="L393" s="47">
        <f>[2]!RcCMaC(C393/10,D393/10,E393,G393*10,H393*10,I393/10,J393,4)</f>
        <v>57.939743400844101</v>
      </c>
      <c r="M393" s="48">
        <f>[2]!RcCMaC(C393/10,D393/10,E393,G393*10,H393*10, I393/10, J393,0)*10</f>
        <v>0</v>
      </c>
      <c r="N393" s="119">
        <v>433</v>
      </c>
      <c r="O393" s="120" t="str">
        <f t="shared" si="64"/>
        <v>NG</v>
      </c>
    </row>
    <row r="394" spans="3:15" x14ac:dyDescent="0.15">
      <c r="C394" s="52">
        <f t="shared" si="57"/>
        <v>500</v>
      </c>
      <c r="D394" s="35">
        <f t="shared" si="58"/>
        <v>190</v>
      </c>
      <c r="E394" s="28" t="str">
        <f t="shared" si="59"/>
        <v>6-D19</v>
      </c>
      <c r="F394" s="112">
        <f t="shared" si="60"/>
        <v>1721.9999313354492</v>
      </c>
      <c r="G394" s="112">
        <f t="shared" si="61"/>
        <v>14</v>
      </c>
      <c r="H394" s="112">
        <f t="shared" si="62"/>
        <v>345</v>
      </c>
      <c r="I394" s="111">
        <f t="shared" si="66"/>
        <v>6080</v>
      </c>
      <c r="J394" s="112">
        <f t="shared" si="63"/>
        <v>15</v>
      </c>
      <c r="K394" s="123">
        <f>[2]!RcCMaC(C394/10,D394/10,E394,G394*10,H394*10, I394/10, J394,3)</f>
        <v>180.00000498545322</v>
      </c>
      <c r="L394" s="47">
        <f>[2]!RcCMaC(C394/10,D394/10,E394,G394*10,H394*10,I394/10,J394,4)</f>
        <v>57.939743400844101</v>
      </c>
      <c r="M394" s="48">
        <f>[2]!RcCMaC(C394/10,D394/10,E394,G394*10,H394*10, I394/10, J394,0)*10</f>
        <v>0</v>
      </c>
      <c r="N394" s="119">
        <v>434</v>
      </c>
      <c r="O394" s="120" t="str">
        <f t="shared" si="64"/>
        <v>NG</v>
      </c>
    </row>
    <row r="395" spans="3:15" x14ac:dyDescent="0.15">
      <c r="C395" s="52">
        <f t="shared" si="57"/>
        <v>500</v>
      </c>
      <c r="D395" s="35">
        <f t="shared" si="58"/>
        <v>190</v>
      </c>
      <c r="E395" s="28" t="str">
        <f t="shared" si="59"/>
        <v>6-D19</v>
      </c>
      <c r="F395" s="112">
        <f t="shared" si="60"/>
        <v>1721.9999313354492</v>
      </c>
      <c r="G395" s="112">
        <f t="shared" si="61"/>
        <v>14</v>
      </c>
      <c r="H395" s="112">
        <f t="shared" si="62"/>
        <v>345</v>
      </c>
      <c r="I395" s="111">
        <f t="shared" si="66"/>
        <v>6090</v>
      </c>
      <c r="J395" s="112">
        <f t="shared" si="63"/>
        <v>15</v>
      </c>
      <c r="K395" s="123">
        <f>[2]!RcCMaC(C395/10,D395/10,E395,G395*10,H395*10, I395/10, J395,3)</f>
        <v>180.00000498545322</v>
      </c>
      <c r="L395" s="47">
        <f>[2]!RcCMaC(C395/10,D395/10,E395,G395*10,H395*10,I395/10,J395,4)</f>
        <v>57.939743400844101</v>
      </c>
      <c r="M395" s="48">
        <f>[2]!RcCMaC(C395/10,D395/10,E395,G395*10,H395*10, I395/10, J395,0)*10</f>
        <v>0</v>
      </c>
      <c r="N395" s="119">
        <v>435</v>
      </c>
      <c r="O395" s="120" t="str">
        <f t="shared" si="64"/>
        <v>NG</v>
      </c>
    </row>
    <row r="396" spans="3:15" x14ac:dyDescent="0.15">
      <c r="C396" s="52">
        <f t="shared" si="57"/>
        <v>500</v>
      </c>
      <c r="D396" s="35">
        <f t="shared" si="58"/>
        <v>190</v>
      </c>
      <c r="E396" s="28" t="str">
        <f t="shared" si="59"/>
        <v>6-D19</v>
      </c>
      <c r="F396" s="112">
        <f t="shared" si="60"/>
        <v>1721.9999313354492</v>
      </c>
      <c r="G396" s="112">
        <f t="shared" si="61"/>
        <v>14</v>
      </c>
      <c r="H396" s="112">
        <f t="shared" si="62"/>
        <v>345</v>
      </c>
      <c r="I396" s="111">
        <f t="shared" si="66"/>
        <v>6100</v>
      </c>
      <c r="J396" s="112">
        <f t="shared" si="63"/>
        <v>15</v>
      </c>
      <c r="K396" s="123">
        <f>[2]!RcCMaC(C396/10,D396/10,E396,G396*10,H396*10, I396/10, J396,3)</f>
        <v>180.00000498545322</v>
      </c>
      <c r="L396" s="47">
        <f>[2]!RcCMaC(C396/10,D396/10,E396,G396*10,H396*10,I396/10,J396,4)</f>
        <v>57.939743400844101</v>
      </c>
      <c r="M396" s="48">
        <f>[2]!RcCMaC(C396/10,D396/10,E396,G396*10,H396*10, I396/10, J396,0)*10</f>
        <v>0</v>
      </c>
      <c r="N396" s="119">
        <v>436</v>
      </c>
      <c r="O396" s="120" t="str">
        <f t="shared" si="64"/>
        <v>NG</v>
      </c>
    </row>
    <row r="397" spans="3:15" x14ac:dyDescent="0.15">
      <c r="C397" s="52">
        <f t="shared" si="57"/>
        <v>500</v>
      </c>
      <c r="D397" s="35">
        <f t="shared" si="58"/>
        <v>190</v>
      </c>
      <c r="E397" s="28" t="str">
        <f t="shared" si="59"/>
        <v>6-D19</v>
      </c>
      <c r="F397" s="112">
        <f t="shared" si="60"/>
        <v>1721.9999313354492</v>
      </c>
      <c r="G397" s="112">
        <f t="shared" si="61"/>
        <v>14</v>
      </c>
      <c r="H397" s="112">
        <f t="shared" si="62"/>
        <v>345</v>
      </c>
      <c r="I397" s="111">
        <f t="shared" si="66"/>
        <v>6110</v>
      </c>
      <c r="J397" s="112">
        <f t="shared" si="63"/>
        <v>15</v>
      </c>
      <c r="K397" s="123">
        <f>[2]!RcCMaC(C397/10,D397/10,E397,G397*10,H397*10, I397/10, J397,3)</f>
        <v>180.00000498545322</v>
      </c>
      <c r="L397" s="47">
        <f>[2]!RcCMaC(C397/10,D397/10,E397,G397*10,H397*10,I397/10,J397,4)</f>
        <v>57.939743400844101</v>
      </c>
      <c r="M397" s="48">
        <f>[2]!RcCMaC(C397/10,D397/10,E397,G397*10,H397*10, I397/10, J397,0)*10</f>
        <v>0</v>
      </c>
      <c r="N397" s="119">
        <v>437</v>
      </c>
      <c r="O397" s="120" t="str">
        <f t="shared" si="64"/>
        <v>NG</v>
      </c>
    </row>
    <row r="398" spans="3:15" x14ac:dyDescent="0.15">
      <c r="C398" s="52">
        <f t="shared" si="57"/>
        <v>500</v>
      </c>
      <c r="D398" s="35">
        <f t="shared" si="58"/>
        <v>190</v>
      </c>
      <c r="E398" s="28" t="str">
        <f t="shared" si="59"/>
        <v>6-D19</v>
      </c>
      <c r="F398" s="112">
        <f t="shared" si="60"/>
        <v>1721.9999313354492</v>
      </c>
      <c r="G398" s="112">
        <f t="shared" si="61"/>
        <v>14</v>
      </c>
      <c r="H398" s="112">
        <f t="shared" si="62"/>
        <v>345</v>
      </c>
      <c r="I398" s="111">
        <f t="shared" si="66"/>
        <v>6120</v>
      </c>
      <c r="J398" s="112">
        <f t="shared" si="63"/>
        <v>15</v>
      </c>
      <c r="K398" s="123">
        <f>[2]!RcCMaC(C398/10,D398/10,E398,G398*10,H398*10, I398/10, J398,3)</f>
        <v>180.00000498545322</v>
      </c>
      <c r="L398" s="47">
        <f>[2]!RcCMaC(C398/10,D398/10,E398,G398*10,H398*10,I398/10,J398,4)</f>
        <v>57.939743400844101</v>
      </c>
      <c r="M398" s="48">
        <f>[2]!RcCMaC(C398/10,D398/10,E398,G398*10,H398*10, I398/10, J398,0)*10</f>
        <v>0</v>
      </c>
      <c r="N398" s="119">
        <v>438</v>
      </c>
      <c r="O398" s="120" t="str">
        <f t="shared" si="64"/>
        <v>NG</v>
      </c>
    </row>
    <row r="399" spans="3:15" x14ac:dyDescent="0.15">
      <c r="C399" s="52">
        <f t="shared" si="57"/>
        <v>500</v>
      </c>
      <c r="D399" s="35">
        <f t="shared" si="58"/>
        <v>190</v>
      </c>
      <c r="E399" s="28" t="str">
        <f t="shared" si="59"/>
        <v>6-D19</v>
      </c>
      <c r="F399" s="112">
        <f t="shared" si="60"/>
        <v>1721.9999313354492</v>
      </c>
      <c r="G399" s="112">
        <f t="shared" si="61"/>
        <v>14</v>
      </c>
      <c r="H399" s="112">
        <f t="shared" si="62"/>
        <v>345</v>
      </c>
      <c r="I399" s="111">
        <f t="shared" si="66"/>
        <v>6130</v>
      </c>
      <c r="J399" s="112">
        <f t="shared" si="63"/>
        <v>15</v>
      </c>
      <c r="K399" s="123">
        <f>[2]!RcCMaC(C399/10,D399/10,E399,G399*10,H399*10, I399/10, J399,3)</f>
        <v>180.00000498545322</v>
      </c>
      <c r="L399" s="47">
        <f>[2]!RcCMaC(C399/10,D399/10,E399,G399*10,H399*10,I399/10,J399,4)</f>
        <v>57.939743400844101</v>
      </c>
      <c r="M399" s="48">
        <f>[2]!RcCMaC(C399/10,D399/10,E399,G399*10,H399*10, I399/10, J399,0)*10</f>
        <v>0</v>
      </c>
      <c r="N399" s="119">
        <v>439</v>
      </c>
      <c r="O399" s="120" t="str">
        <f t="shared" si="64"/>
        <v>NG</v>
      </c>
    </row>
    <row r="400" spans="3:15" x14ac:dyDescent="0.15">
      <c r="C400" s="52">
        <f t="shared" si="57"/>
        <v>500</v>
      </c>
      <c r="D400" s="35">
        <f t="shared" si="58"/>
        <v>190</v>
      </c>
      <c r="E400" s="28" t="str">
        <f t="shared" si="59"/>
        <v>6-D19</v>
      </c>
      <c r="F400" s="112">
        <f t="shared" si="60"/>
        <v>1721.9999313354492</v>
      </c>
      <c r="G400" s="112">
        <f t="shared" si="61"/>
        <v>14</v>
      </c>
      <c r="H400" s="112">
        <f t="shared" si="62"/>
        <v>345</v>
      </c>
      <c r="I400" s="111">
        <f t="shared" si="66"/>
        <v>6140</v>
      </c>
      <c r="J400" s="112">
        <f t="shared" si="63"/>
        <v>15</v>
      </c>
      <c r="K400" s="123">
        <f>[2]!RcCMaC(C400/10,D400/10,E400,G400*10,H400*10, I400/10, J400,3)</f>
        <v>180.00000498545322</v>
      </c>
      <c r="L400" s="47">
        <f>[2]!RcCMaC(C400/10,D400/10,E400,G400*10,H400*10,I400/10,J400,4)</f>
        <v>57.939743400844101</v>
      </c>
      <c r="M400" s="48">
        <f>[2]!RcCMaC(C400/10,D400/10,E400,G400*10,H400*10, I400/10, J400,0)*10</f>
        <v>0</v>
      </c>
      <c r="N400" s="119">
        <v>440</v>
      </c>
      <c r="O400" s="120" t="str">
        <f t="shared" si="64"/>
        <v>NG</v>
      </c>
    </row>
    <row r="401" spans="3:15" x14ac:dyDescent="0.15">
      <c r="C401" s="52">
        <f t="shared" si="57"/>
        <v>500</v>
      </c>
      <c r="D401" s="35">
        <f t="shared" si="58"/>
        <v>190</v>
      </c>
      <c r="E401" s="28" t="str">
        <f t="shared" si="59"/>
        <v>6-D19</v>
      </c>
      <c r="F401" s="112">
        <f t="shared" si="60"/>
        <v>1721.9999313354492</v>
      </c>
      <c r="G401" s="112">
        <f t="shared" si="61"/>
        <v>14</v>
      </c>
      <c r="H401" s="112">
        <f t="shared" si="62"/>
        <v>345</v>
      </c>
      <c r="I401" s="111">
        <f t="shared" si="66"/>
        <v>6150</v>
      </c>
      <c r="J401" s="112">
        <f t="shared" si="63"/>
        <v>15</v>
      </c>
      <c r="K401" s="123">
        <f>[2]!RcCMaC(C401/10,D401/10,E401,G401*10,H401*10, I401/10, J401,3)</f>
        <v>180.00000498545322</v>
      </c>
      <c r="L401" s="47">
        <f>[2]!RcCMaC(C401/10,D401/10,E401,G401*10,H401*10,I401/10,J401,4)</f>
        <v>57.939743400844101</v>
      </c>
      <c r="M401" s="48">
        <f>[2]!RcCMaC(C401/10,D401/10,E401,G401*10,H401*10, I401/10, J401,0)*10</f>
        <v>0</v>
      </c>
      <c r="N401" s="119">
        <v>441</v>
      </c>
      <c r="O401" s="120" t="str">
        <f t="shared" si="64"/>
        <v>NG</v>
      </c>
    </row>
    <row r="402" spans="3:15" x14ac:dyDescent="0.15">
      <c r="C402" s="52">
        <f t="shared" si="57"/>
        <v>500</v>
      </c>
      <c r="D402" s="35">
        <f t="shared" si="58"/>
        <v>190</v>
      </c>
      <c r="E402" s="28" t="str">
        <f t="shared" si="59"/>
        <v>6-D19</v>
      </c>
      <c r="F402" s="112">
        <f t="shared" si="60"/>
        <v>1721.9999313354492</v>
      </c>
      <c r="G402" s="112">
        <f t="shared" si="61"/>
        <v>14</v>
      </c>
      <c r="H402" s="112">
        <f t="shared" si="62"/>
        <v>345</v>
      </c>
      <c r="I402" s="111">
        <f t="shared" si="66"/>
        <v>6160</v>
      </c>
      <c r="J402" s="112">
        <f t="shared" si="63"/>
        <v>15</v>
      </c>
      <c r="K402" s="123">
        <f>[2]!RcCMaC(C402/10,D402/10,E402,G402*10,H402*10, I402/10, J402,3)</f>
        <v>180.00000498545322</v>
      </c>
      <c r="L402" s="47">
        <f>[2]!RcCMaC(C402/10,D402/10,E402,G402*10,H402*10,I402/10,J402,4)</f>
        <v>57.939743400844101</v>
      </c>
      <c r="M402" s="48">
        <f>[2]!RcCMaC(C402/10,D402/10,E402,G402*10,H402*10, I402/10, J402,0)*10</f>
        <v>0</v>
      </c>
      <c r="N402" s="119">
        <v>442</v>
      </c>
      <c r="O402" s="120" t="str">
        <f t="shared" si="64"/>
        <v>NG</v>
      </c>
    </row>
    <row r="403" spans="3:15" x14ac:dyDescent="0.15">
      <c r="C403" s="52">
        <f t="shared" si="57"/>
        <v>500</v>
      </c>
      <c r="D403" s="35">
        <f t="shared" si="58"/>
        <v>190</v>
      </c>
      <c r="E403" s="28" t="str">
        <f t="shared" si="59"/>
        <v>6-D19</v>
      </c>
      <c r="F403" s="112">
        <f t="shared" si="60"/>
        <v>1721.9999313354492</v>
      </c>
      <c r="G403" s="112">
        <f t="shared" si="61"/>
        <v>14</v>
      </c>
      <c r="H403" s="112">
        <f t="shared" si="62"/>
        <v>345</v>
      </c>
      <c r="I403" s="111">
        <f t="shared" si="66"/>
        <v>6170</v>
      </c>
      <c r="J403" s="112">
        <f t="shared" si="63"/>
        <v>15</v>
      </c>
      <c r="K403" s="123">
        <f>[2]!RcCMaC(C403/10,D403/10,E403,G403*10,H403*10, I403/10, J403,3)</f>
        <v>180.00000498545322</v>
      </c>
      <c r="L403" s="47">
        <f>[2]!RcCMaC(C403/10,D403/10,E403,G403*10,H403*10,I403/10,J403,4)</f>
        <v>57.939743400844101</v>
      </c>
      <c r="M403" s="48">
        <f>[2]!RcCMaC(C403/10,D403/10,E403,G403*10,H403*10, I403/10, J403,0)*10</f>
        <v>0</v>
      </c>
      <c r="N403" s="119">
        <v>443</v>
      </c>
      <c r="O403" s="120" t="str">
        <f t="shared" si="64"/>
        <v>NG</v>
      </c>
    </row>
    <row r="404" spans="3:15" x14ac:dyDescent="0.15">
      <c r="C404" s="52">
        <f t="shared" si="57"/>
        <v>500</v>
      </c>
      <c r="D404" s="35">
        <f t="shared" si="58"/>
        <v>190</v>
      </c>
      <c r="E404" s="28" t="str">
        <f t="shared" si="59"/>
        <v>6-D19</v>
      </c>
      <c r="F404" s="112">
        <f t="shared" si="60"/>
        <v>1721.9999313354492</v>
      </c>
      <c r="G404" s="112">
        <f t="shared" si="61"/>
        <v>14</v>
      </c>
      <c r="H404" s="112">
        <f t="shared" si="62"/>
        <v>345</v>
      </c>
      <c r="I404" s="111">
        <f t="shared" si="66"/>
        <v>6180</v>
      </c>
      <c r="J404" s="112">
        <f t="shared" si="63"/>
        <v>15</v>
      </c>
      <c r="K404" s="123">
        <f>[2]!RcCMaC(C404/10,D404/10,E404,G404*10,H404*10, I404/10, J404,3)</f>
        <v>180.00000498545322</v>
      </c>
      <c r="L404" s="47">
        <f>[2]!RcCMaC(C404/10,D404/10,E404,G404*10,H404*10,I404/10,J404,4)</f>
        <v>57.939743400844101</v>
      </c>
      <c r="M404" s="48">
        <f>[2]!RcCMaC(C404/10,D404/10,E404,G404*10,H404*10, I404/10, J404,0)*10</f>
        <v>0</v>
      </c>
      <c r="N404" s="119">
        <v>444</v>
      </c>
      <c r="O404" s="120" t="str">
        <f t="shared" si="64"/>
        <v>NG</v>
      </c>
    </row>
    <row r="405" spans="3:15" x14ac:dyDescent="0.15">
      <c r="C405" s="52">
        <f t="shared" si="57"/>
        <v>500</v>
      </c>
      <c r="D405" s="35">
        <f t="shared" si="58"/>
        <v>190</v>
      </c>
      <c r="E405" s="28" t="str">
        <f t="shared" si="59"/>
        <v>6-D19</v>
      </c>
      <c r="F405" s="112">
        <f t="shared" si="60"/>
        <v>1721.9999313354492</v>
      </c>
      <c r="G405" s="112">
        <f t="shared" si="61"/>
        <v>14</v>
      </c>
      <c r="H405" s="112">
        <f t="shared" si="62"/>
        <v>345</v>
      </c>
      <c r="I405" s="111">
        <f t="shared" si="66"/>
        <v>6190</v>
      </c>
      <c r="J405" s="112">
        <f t="shared" si="63"/>
        <v>15</v>
      </c>
      <c r="K405" s="123">
        <f>[2]!RcCMaC(C405/10,D405/10,E405,G405*10,H405*10, I405/10, J405,3)</f>
        <v>180.00000498545322</v>
      </c>
      <c r="L405" s="47">
        <f>[2]!RcCMaC(C405/10,D405/10,E405,G405*10,H405*10,I405/10,J405,4)</f>
        <v>57.939743400844101</v>
      </c>
      <c r="M405" s="48">
        <f>[2]!RcCMaC(C405/10,D405/10,E405,G405*10,H405*10, I405/10, J405,0)*10</f>
        <v>0</v>
      </c>
      <c r="N405" s="119">
        <v>445</v>
      </c>
      <c r="O405" s="120" t="str">
        <f t="shared" si="64"/>
        <v>NG</v>
      </c>
    </row>
    <row r="406" spans="3:15" x14ac:dyDescent="0.15">
      <c r="C406" s="52">
        <f t="shared" si="57"/>
        <v>500</v>
      </c>
      <c r="D406" s="35">
        <f t="shared" si="58"/>
        <v>190</v>
      </c>
      <c r="E406" s="28" t="str">
        <f t="shared" si="59"/>
        <v>6-D19</v>
      </c>
      <c r="F406" s="112">
        <f t="shared" si="60"/>
        <v>1721.9999313354492</v>
      </c>
      <c r="G406" s="112">
        <f t="shared" si="61"/>
        <v>14</v>
      </c>
      <c r="H406" s="112">
        <f t="shared" si="62"/>
        <v>345</v>
      </c>
      <c r="I406" s="111">
        <f t="shared" si="66"/>
        <v>6200</v>
      </c>
      <c r="J406" s="112">
        <f t="shared" si="63"/>
        <v>15</v>
      </c>
      <c r="K406" s="123">
        <f>[2]!RcCMaC(C406/10,D406/10,E406,G406*10,H406*10, I406/10, J406,3)</f>
        <v>180.00000498545322</v>
      </c>
      <c r="L406" s="47">
        <f>[2]!RcCMaC(C406/10,D406/10,E406,G406*10,H406*10,I406/10,J406,4)</f>
        <v>57.939743400844101</v>
      </c>
      <c r="M406" s="48">
        <f>[2]!RcCMaC(C406/10,D406/10,E406,G406*10,H406*10, I406/10, J406,0)*10</f>
        <v>0</v>
      </c>
      <c r="N406" s="119">
        <v>446</v>
      </c>
      <c r="O406" s="120" t="str">
        <f t="shared" si="64"/>
        <v>NG</v>
      </c>
    </row>
    <row r="407" spans="3:15" x14ac:dyDescent="0.15">
      <c r="C407" s="52">
        <f t="shared" si="57"/>
        <v>500</v>
      </c>
      <c r="D407" s="35">
        <f t="shared" si="58"/>
        <v>190</v>
      </c>
      <c r="E407" s="28" t="str">
        <f t="shared" si="59"/>
        <v>6-D19</v>
      </c>
      <c r="F407" s="112">
        <f t="shared" si="60"/>
        <v>1721.9999313354492</v>
      </c>
      <c r="G407" s="112">
        <f t="shared" si="61"/>
        <v>14</v>
      </c>
      <c r="H407" s="112">
        <f t="shared" si="62"/>
        <v>345</v>
      </c>
      <c r="I407" s="111">
        <f t="shared" si="66"/>
        <v>6210</v>
      </c>
      <c r="J407" s="112">
        <f t="shared" si="63"/>
        <v>15</v>
      </c>
      <c r="K407" s="123">
        <f>[2]!RcCMaC(C407/10,D407/10,E407,G407*10,H407*10, I407/10, J407,3)</f>
        <v>180.00000498545322</v>
      </c>
      <c r="L407" s="47">
        <f>[2]!RcCMaC(C407/10,D407/10,E407,G407*10,H407*10,I407/10,J407,4)</f>
        <v>57.939743400844101</v>
      </c>
      <c r="M407" s="48">
        <f>[2]!RcCMaC(C407/10,D407/10,E407,G407*10,H407*10, I407/10, J407,0)*10</f>
        <v>0</v>
      </c>
      <c r="N407" s="119">
        <v>447</v>
      </c>
      <c r="O407" s="120" t="str">
        <f t="shared" si="64"/>
        <v>NG</v>
      </c>
    </row>
    <row r="408" spans="3:15" x14ac:dyDescent="0.15">
      <c r="C408" s="52">
        <f t="shared" si="57"/>
        <v>500</v>
      </c>
      <c r="D408" s="35">
        <f t="shared" si="58"/>
        <v>190</v>
      </c>
      <c r="E408" s="28" t="str">
        <f t="shared" si="59"/>
        <v>6-D19</v>
      </c>
      <c r="F408" s="112">
        <f t="shared" si="60"/>
        <v>1721.9999313354492</v>
      </c>
      <c r="G408" s="112">
        <f t="shared" si="61"/>
        <v>14</v>
      </c>
      <c r="H408" s="112">
        <f t="shared" si="62"/>
        <v>345</v>
      </c>
      <c r="I408" s="111">
        <f t="shared" si="66"/>
        <v>6220</v>
      </c>
      <c r="J408" s="112">
        <f t="shared" si="63"/>
        <v>15</v>
      </c>
      <c r="K408" s="123">
        <f>[2]!RcCMaC(C408/10,D408/10,E408,G408*10,H408*10, I408/10, J408,3)</f>
        <v>180.00000498545322</v>
      </c>
      <c r="L408" s="47">
        <f>[2]!RcCMaC(C408/10,D408/10,E408,G408*10,H408*10,I408/10,J408,4)</f>
        <v>57.939743400844101</v>
      </c>
      <c r="M408" s="48">
        <f>[2]!RcCMaC(C408/10,D408/10,E408,G408*10,H408*10, I408/10, J408,0)*10</f>
        <v>0</v>
      </c>
      <c r="N408" s="119">
        <v>448</v>
      </c>
      <c r="O408" s="120" t="str">
        <f t="shared" si="64"/>
        <v>NG</v>
      </c>
    </row>
    <row r="409" spans="3:15" x14ac:dyDescent="0.15">
      <c r="C409" s="52">
        <f t="shared" si="57"/>
        <v>500</v>
      </c>
      <c r="D409" s="35">
        <f t="shared" si="58"/>
        <v>190</v>
      </c>
      <c r="E409" s="28" t="str">
        <f t="shared" si="59"/>
        <v>6-D19</v>
      </c>
      <c r="F409" s="112">
        <f t="shared" si="60"/>
        <v>1721.9999313354492</v>
      </c>
      <c r="G409" s="112">
        <f t="shared" si="61"/>
        <v>14</v>
      </c>
      <c r="H409" s="112">
        <f t="shared" si="62"/>
        <v>345</v>
      </c>
      <c r="I409" s="111">
        <f t="shared" si="66"/>
        <v>6230</v>
      </c>
      <c r="J409" s="112">
        <f t="shared" si="63"/>
        <v>15</v>
      </c>
      <c r="K409" s="123">
        <f>[2]!RcCMaC(C409/10,D409/10,E409,G409*10,H409*10, I409/10, J409,3)</f>
        <v>180.00000498545322</v>
      </c>
      <c r="L409" s="47">
        <f>[2]!RcCMaC(C409/10,D409/10,E409,G409*10,H409*10,I409/10,J409,4)</f>
        <v>57.939743400844101</v>
      </c>
      <c r="M409" s="48">
        <f>[2]!RcCMaC(C409/10,D409/10,E409,G409*10,H409*10, I409/10, J409,0)*10</f>
        <v>0</v>
      </c>
      <c r="N409" s="119">
        <v>449</v>
      </c>
      <c r="O409" s="120" t="str">
        <f t="shared" si="64"/>
        <v>NG</v>
      </c>
    </row>
    <row r="410" spans="3:15" x14ac:dyDescent="0.15">
      <c r="C410" s="52">
        <f t="shared" si="57"/>
        <v>500</v>
      </c>
      <c r="D410" s="35">
        <f t="shared" si="58"/>
        <v>190</v>
      </c>
      <c r="E410" s="28" t="str">
        <f t="shared" si="59"/>
        <v>6-D19</v>
      </c>
      <c r="F410" s="112">
        <f t="shared" si="60"/>
        <v>1721.9999313354492</v>
      </c>
      <c r="G410" s="112">
        <f t="shared" si="61"/>
        <v>14</v>
      </c>
      <c r="H410" s="112">
        <f t="shared" si="62"/>
        <v>345</v>
      </c>
      <c r="I410" s="111">
        <f t="shared" si="66"/>
        <v>6240</v>
      </c>
      <c r="J410" s="112">
        <f t="shared" si="63"/>
        <v>15</v>
      </c>
      <c r="K410" s="123">
        <f>[2]!RcCMaC(C410/10,D410/10,E410,G410*10,H410*10, I410/10, J410,3)</f>
        <v>180.00000498545322</v>
      </c>
      <c r="L410" s="47">
        <f>[2]!RcCMaC(C410/10,D410/10,E410,G410*10,H410*10,I410/10,J410,4)</f>
        <v>57.939743400844101</v>
      </c>
      <c r="M410" s="48">
        <f>[2]!RcCMaC(C410/10,D410/10,E410,G410*10,H410*10, I410/10, J410,0)*10</f>
        <v>0</v>
      </c>
      <c r="N410" s="119">
        <v>450</v>
      </c>
      <c r="O410" s="120" t="str">
        <f t="shared" si="64"/>
        <v>NG</v>
      </c>
    </row>
    <row r="411" spans="3:15" x14ac:dyDescent="0.15">
      <c r="C411" s="52">
        <f t="shared" si="57"/>
        <v>500</v>
      </c>
      <c r="D411" s="35">
        <f t="shared" si="58"/>
        <v>190</v>
      </c>
      <c r="E411" s="28" t="str">
        <f t="shared" si="59"/>
        <v>6-D19</v>
      </c>
      <c r="F411" s="112">
        <f t="shared" si="60"/>
        <v>1721.9999313354492</v>
      </c>
      <c r="G411" s="112">
        <f t="shared" si="61"/>
        <v>14</v>
      </c>
      <c r="H411" s="112">
        <f t="shared" si="62"/>
        <v>345</v>
      </c>
      <c r="I411" s="111">
        <f t="shared" si="66"/>
        <v>6250</v>
      </c>
      <c r="J411" s="112">
        <f t="shared" si="63"/>
        <v>15</v>
      </c>
      <c r="K411" s="123">
        <f>[2]!RcCMaC(C411/10,D411/10,E411,G411*10,H411*10, I411/10, J411,3)</f>
        <v>180.00000498545322</v>
      </c>
      <c r="L411" s="47">
        <f>[2]!RcCMaC(C411/10,D411/10,E411,G411*10,H411*10,I411/10,J411,4)</f>
        <v>57.939743400844101</v>
      </c>
      <c r="M411" s="48">
        <f>[2]!RcCMaC(C411/10,D411/10,E411,G411*10,H411*10, I411/10, J411,0)*10</f>
        <v>0</v>
      </c>
      <c r="N411" s="119">
        <v>451</v>
      </c>
      <c r="O411" s="120" t="str">
        <f t="shared" si="64"/>
        <v>NG</v>
      </c>
    </row>
    <row r="412" spans="3:15" x14ac:dyDescent="0.15">
      <c r="C412" s="52">
        <f t="shared" si="57"/>
        <v>500</v>
      </c>
      <c r="D412" s="35">
        <f t="shared" si="58"/>
        <v>190</v>
      </c>
      <c r="E412" s="28" t="str">
        <f t="shared" si="59"/>
        <v>6-D19</v>
      </c>
      <c r="F412" s="112">
        <f t="shared" si="60"/>
        <v>1721.9999313354492</v>
      </c>
      <c r="G412" s="112">
        <f t="shared" si="61"/>
        <v>14</v>
      </c>
      <c r="H412" s="112">
        <f t="shared" si="62"/>
        <v>345</v>
      </c>
      <c r="I412" s="111">
        <f t="shared" si="66"/>
        <v>6260</v>
      </c>
      <c r="J412" s="112">
        <f t="shared" si="63"/>
        <v>15</v>
      </c>
      <c r="K412" s="123">
        <f>[2]!RcCMaC(C412/10,D412/10,E412,G412*10,H412*10, I412/10, J412,3)</f>
        <v>180.00000498545322</v>
      </c>
      <c r="L412" s="47">
        <f>[2]!RcCMaC(C412/10,D412/10,E412,G412*10,H412*10,I412/10,J412,4)</f>
        <v>57.939743400844101</v>
      </c>
      <c r="M412" s="48">
        <f>[2]!RcCMaC(C412/10,D412/10,E412,G412*10,H412*10, I412/10, J412,0)*10</f>
        <v>0</v>
      </c>
      <c r="N412" s="119">
        <v>452</v>
      </c>
      <c r="O412" s="120" t="str">
        <f t="shared" si="64"/>
        <v>NG</v>
      </c>
    </row>
    <row r="413" spans="3:15" x14ac:dyDescent="0.15">
      <c r="C413" s="52">
        <f t="shared" si="57"/>
        <v>500</v>
      </c>
      <c r="D413" s="35">
        <f t="shared" si="58"/>
        <v>190</v>
      </c>
      <c r="E413" s="28" t="str">
        <f t="shared" si="59"/>
        <v>6-D19</v>
      </c>
      <c r="F413" s="112">
        <f t="shared" si="60"/>
        <v>1721.9999313354492</v>
      </c>
      <c r="G413" s="112">
        <f t="shared" si="61"/>
        <v>14</v>
      </c>
      <c r="H413" s="112">
        <f t="shared" si="62"/>
        <v>345</v>
      </c>
      <c r="I413" s="111">
        <f t="shared" si="66"/>
        <v>6270</v>
      </c>
      <c r="J413" s="112">
        <f t="shared" si="63"/>
        <v>15</v>
      </c>
      <c r="K413" s="123">
        <f>[2]!RcCMaC(C413/10,D413/10,E413,G413*10,H413*10, I413/10, J413,3)</f>
        <v>180.00000498545322</v>
      </c>
      <c r="L413" s="47">
        <f>[2]!RcCMaC(C413/10,D413/10,E413,G413*10,H413*10,I413/10,J413,4)</f>
        <v>57.939743400844101</v>
      </c>
      <c r="M413" s="48">
        <f>[2]!RcCMaC(C413/10,D413/10,E413,G413*10,H413*10, I413/10, J413,0)*10</f>
        <v>0</v>
      </c>
      <c r="N413" s="119">
        <v>453</v>
      </c>
      <c r="O413" s="120" t="str">
        <f t="shared" si="64"/>
        <v>NG</v>
      </c>
    </row>
    <row r="414" spans="3:15" x14ac:dyDescent="0.15">
      <c r="C414" s="52">
        <f t="shared" ref="C414:C435" si="67">+C413</f>
        <v>500</v>
      </c>
      <c r="D414" s="35">
        <f t="shared" ref="D414:D435" si="68">+D413</f>
        <v>190</v>
      </c>
      <c r="E414" s="28" t="str">
        <f t="shared" ref="E414:E435" si="69">+E413</f>
        <v>6-D19</v>
      </c>
      <c r="F414" s="112">
        <f t="shared" ref="F414:F435" si="70">+F413</f>
        <v>1721.9999313354492</v>
      </c>
      <c r="G414" s="112">
        <f t="shared" ref="G414:G435" si="71">+G413</f>
        <v>14</v>
      </c>
      <c r="H414" s="112">
        <f t="shared" ref="H414:H435" si="72">+H413</f>
        <v>345</v>
      </c>
      <c r="I414" s="111">
        <f t="shared" si="66"/>
        <v>6280</v>
      </c>
      <c r="J414" s="112">
        <f t="shared" ref="J414:J435" si="73">+J413</f>
        <v>15</v>
      </c>
      <c r="K414" s="123">
        <f>[2]!RcCMaC(C414/10,D414/10,E414,G414*10,H414*10, I414/10, J414,3)</f>
        <v>180.00000498545322</v>
      </c>
      <c r="L414" s="47">
        <f>[2]!RcCMaC(C414/10,D414/10,E414,G414*10,H414*10,I414/10,J414,4)</f>
        <v>57.939743400844101</v>
      </c>
      <c r="M414" s="48">
        <f>[2]!RcCMaC(C414/10,D414/10,E414,G414*10,H414*10, I414/10, J414,0)*10</f>
        <v>0</v>
      </c>
      <c r="N414" s="119">
        <v>454</v>
      </c>
      <c r="O414" s="120" t="str">
        <f t="shared" ref="O414:O435" si="74">IF(M414&gt;N414,"OK","NG")</f>
        <v>NG</v>
      </c>
    </row>
    <row r="415" spans="3:15" x14ac:dyDescent="0.15">
      <c r="C415" s="52">
        <f t="shared" si="67"/>
        <v>500</v>
      </c>
      <c r="D415" s="35">
        <f t="shared" si="68"/>
        <v>190</v>
      </c>
      <c r="E415" s="28" t="str">
        <f t="shared" si="69"/>
        <v>6-D19</v>
      </c>
      <c r="F415" s="112">
        <f t="shared" si="70"/>
        <v>1721.9999313354492</v>
      </c>
      <c r="G415" s="112">
        <f t="shared" si="71"/>
        <v>14</v>
      </c>
      <c r="H415" s="112">
        <f t="shared" si="72"/>
        <v>345</v>
      </c>
      <c r="I415" s="111">
        <f t="shared" si="66"/>
        <v>6290</v>
      </c>
      <c r="J415" s="112">
        <f t="shared" si="73"/>
        <v>15</v>
      </c>
      <c r="K415" s="123">
        <f>[2]!RcCMaC(C415/10,D415/10,E415,G415*10,H415*10, I415/10, J415,3)</f>
        <v>180.00000498545322</v>
      </c>
      <c r="L415" s="47">
        <f>[2]!RcCMaC(C415/10,D415/10,E415,G415*10,H415*10,I415/10,J415,4)</f>
        <v>57.939743400844101</v>
      </c>
      <c r="M415" s="48">
        <f>[2]!RcCMaC(C415/10,D415/10,E415,G415*10,H415*10, I415/10, J415,0)*10</f>
        <v>0</v>
      </c>
      <c r="N415" s="119">
        <v>455</v>
      </c>
      <c r="O415" s="120" t="str">
        <f t="shared" si="74"/>
        <v>NG</v>
      </c>
    </row>
    <row r="416" spans="3:15" x14ac:dyDescent="0.15">
      <c r="C416" s="52">
        <f t="shared" si="67"/>
        <v>500</v>
      </c>
      <c r="D416" s="35">
        <f t="shared" si="68"/>
        <v>190</v>
      </c>
      <c r="E416" s="28" t="str">
        <f t="shared" si="69"/>
        <v>6-D19</v>
      </c>
      <c r="F416" s="112">
        <f t="shared" si="70"/>
        <v>1721.9999313354492</v>
      </c>
      <c r="G416" s="112">
        <f t="shared" si="71"/>
        <v>14</v>
      </c>
      <c r="H416" s="112">
        <f t="shared" si="72"/>
        <v>345</v>
      </c>
      <c r="I416" s="111">
        <f t="shared" si="66"/>
        <v>6300</v>
      </c>
      <c r="J416" s="112">
        <f t="shared" si="73"/>
        <v>15</v>
      </c>
      <c r="K416" s="123">
        <f>[2]!RcCMaC(C416/10,D416/10,E416,G416*10,H416*10, I416/10, J416,3)</f>
        <v>180.00000498545322</v>
      </c>
      <c r="L416" s="47">
        <f>[2]!RcCMaC(C416/10,D416/10,E416,G416*10,H416*10,I416/10,J416,4)</f>
        <v>57.939743400844101</v>
      </c>
      <c r="M416" s="48">
        <f>[2]!RcCMaC(C416/10,D416/10,E416,G416*10,H416*10, I416/10, J416,0)*10</f>
        <v>0</v>
      </c>
      <c r="N416" s="119">
        <v>456</v>
      </c>
      <c r="O416" s="120" t="str">
        <f t="shared" si="74"/>
        <v>NG</v>
      </c>
    </row>
    <row r="417" spans="3:15" x14ac:dyDescent="0.15">
      <c r="C417" s="52">
        <f t="shared" si="67"/>
        <v>500</v>
      </c>
      <c r="D417" s="35">
        <f t="shared" si="68"/>
        <v>190</v>
      </c>
      <c r="E417" s="28" t="str">
        <f t="shared" si="69"/>
        <v>6-D19</v>
      </c>
      <c r="F417" s="112">
        <f t="shared" si="70"/>
        <v>1721.9999313354492</v>
      </c>
      <c r="G417" s="112">
        <f t="shared" si="71"/>
        <v>14</v>
      </c>
      <c r="H417" s="112">
        <f t="shared" si="72"/>
        <v>345</v>
      </c>
      <c r="I417" s="111">
        <f t="shared" si="66"/>
        <v>6310</v>
      </c>
      <c r="J417" s="112">
        <f t="shared" si="73"/>
        <v>15</v>
      </c>
      <c r="K417" s="123">
        <f>[2]!RcCMaC(C417/10,D417/10,E417,G417*10,H417*10, I417/10, J417,3)</f>
        <v>180.00000498545322</v>
      </c>
      <c r="L417" s="47">
        <f>[2]!RcCMaC(C417/10,D417/10,E417,G417*10,H417*10,I417/10,J417,4)</f>
        <v>57.939743400844101</v>
      </c>
      <c r="M417" s="48">
        <f>[2]!RcCMaC(C417/10,D417/10,E417,G417*10,H417*10, I417/10, J417,0)*10</f>
        <v>0</v>
      </c>
      <c r="N417" s="119">
        <v>457</v>
      </c>
      <c r="O417" s="120" t="str">
        <f t="shared" si="74"/>
        <v>NG</v>
      </c>
    </row>
    <row r="418" spans="3:15" x14ac:dyDescent="0.15">
      <c r="C418" s="52">
        <f t="shared" si="67"/>
        <v>500</v>
      </c>
      <c r="D418" s="35">
        <f t="shared" si="68"/>
        <v>190</v>
      </c>
      <c r="E418" s="28" t="str">
        <f t="shared" si="69"/>
        <v>6-D19</v>
      </c>
      <c r="F418" s="112">
        <f t="shared" si="70"/>
        <v>1721.9999313354492</v>
      </c>
      <c r="G418" s="112">
        <f t="shared" si="71"/>
        <v>14</v>
      </c>
      <c r="H418" s="112">
        <f t="shared" si="72"/>
        <v>345</v>
      </c>
      <c r="I418" s="111">
        <f t="shared" si="66"/>
        <v>6320</v>
      </c>
      <c r="J418" s="112">
        <f t="shared" si="73"/>
        <v>15</v>
      </c>
      <c r="K418" s="123">
        <f>[2]!RcCMaC(C418/10,D418/10,E418,G418*10,H418*10, I418/10, J418,3)</f>
        <v>180.00000498545322</v>
      </c>
      <c r="L418" s="47">
        <f>[2]!RcCMaC(C418/10,D418/10,E418,G418*10,H418*10,I418/10,J418,4)</f>
        <v>57.939743400844101</v>
      </c>
      <c r="M418" s="48">
        <f>[2]!RcCMaC(C418/10,D418/10,E418,G418*10,H418*10, I418/10, J418,0)*10</f>
        <v>0</v>
      </c>
      <c r="N418" s="119">
        <v>458</v>
      </c>
      <c r="O418" s="120" t="str">
        <f t="shared" si="74"/>
        <v>NG</v>
      </c>
    </row>
    <row r="419" spans="3:15" x14ac:dyDescent="0.15">
      <c r="C419" s="52">
        <f t="shared" si="67"/>
        <v>500</v>
      </c>
      <c r="D419" s="35">
        <f t="shared" si="68"/>
        <v>190</v>
      </c>
      <c r="E419" s="28" t="str">
        <f t="shared" si="69"/>
        <v>6-D19</v>
      </c>
      <c r="F419" s="112">
        <f t="shared" si="70"/>
        <v>1721.9999313354492</v>
      </c>
      <c r="G419" s="112">
        <f t="shared" si="71"/>
        <v>14</v>
      </c>
      <c r="H419" s="112">
        <f t="shared" si="72"/>
        <v>345</v>
      </c>
      <c r="I419" s="111">
        <f t="shared" si="66"/>
        <v>6330</v>
      </c>
      <c r="J419" s="112">
        <f t="shared" si="73"/>
        <v>15</v>
      </c>
      <c r="K419" s="123">
        <f>[2]!RcCMaC(C419/10,D419/10,E419,G419*10,H419*10, I419/10, J419,3)</f>
        <v>180.00000498545322</v>
      </c>
      <c r="L419" s="47">
        <f>[2]!RcCMaC(C419/10,D419/10,E419,G419*10,H419*10,I419/10,J419,4)</f>
        <v>57.939743400844101</v>
      </c>
      <c r="M419" s="48">
        <f>[2]!RcCMaC(C419/10,D419/10,E419,G419*10,H419*10, I419/10, J419,0)*10</f>
        <v>0</v>
      </c>
      <c r="N419" s="119">
        <v>459</v>
      </c>
      <c r="O419" s="120" t="str">
        <f t="shared" si="74"/>
        <v>NG</v>
      </c>
    </row>
    <row r="420" spans="3:15" x14ac:dyDescent="0.15">
      <c r="C420" s="52">
        <f t="shared" si="67"/>
        <v>500</v>
      </c>
      <c r="D420" s="35">
        <f t="shared" si="68"/>
        <v>190</v>
      </c>
      <c r="E420" s="28" t="str">
        <f t="shared" si="69"/>
        <v>6-D19</v>
      </c>
      <c r="F420" s="112">
        <f t="shared" si="70"/>
        <v>1721.9999313354492</v>
      </c>
      <c r="G420" s="112">
        <f t="shared" si="71"/>
        <v>14</v>
      </c>
      <c r="H420" s="112">
        <f t="shared" si="72"/>
        <v>345</v>
      </c>
      <c r="I420" s="111">
        <f t="shared" si="66"/>
        <v>6340</v>
      </c>
      <c r="J420" s="112">
        <f t="shared" si="73"/>
        <v>15</v>
      </c>
      <c r="K420" s="123">
        <f>[2]!RcCMaC(C420/10,D420/10,E420,G420*10,H420*10, I420/10, J420,3)</f>
        <v>180.00000498545322</v>
      </c>
      <c r="L420" s="47">
        <f>[2]!RcCMaC(C420/10,D420/10,E420,G420*10,H420*10,I420/10,J420,4)</f>
        <v>57.939743400844101</v>
      </c>
      <c r="M420" s="48">
        <f>[2]!RcCMaC(C420/10,D420/10,E420,G420*10,H420*10, I420/10, J420,0)*10</f>
        <v>0</v>
      </c>
      <c r="N420" s="119">
        <v>460</v>
      </c>
      <c r="O420" s="120" t="str">
        <f t="shared" si="74"/>
        <v>NG</v>
      </c>
    </row>
    <row r="421" spans="3:15" x14ac:dyDescent="0.15">
      <c r="C421" s="52">
        <f t="shared" si="67"/>
        <v>500</v>
      </c>
      <c r="D421" s="35">
        <f t="shared" si="68"/>
        <v>190</v>
      </c>
      <c r="E421" s="28" t="str">
        <f t="shared" si="69"/>
        <v>6-D19</v>
      </c>
      <c r="F421" s="112">
        <f t="shared" si="70"/>
        <v>1721.9999313354492</v>
      </c>
      <c r="G421" s="112">
        <f t="shared" si="71"/>
        <v>14</v>
      </c>
      <c r="H421" s="112">
        <f t="shared" si="72"/>
        <v>345</v>
      </c>
      <c r="I421" s="111">
        <f t="shared" si="66"/>
        <v>6350</v>
      </c>
      <c r="J421" s="112">
        <f t="shared" si="73"/>
        <v>15</v>
      </c>
      <c r="K421" s="123">
        <f>[2]!RcCMaC(C421/10,D421/10,E421,G421*10,H421*10, I421/10, J421,3)</f>
        <v>180.00000498545322</v>
      </c>
      <c r="L421" s="47">
        <f>[2]!RcCMaC(C421/10,D421/10,E421,G421*10,H421*10,I421/10,J421,4)</f>
        <v>57.939743400844101</v>
      </c>
      <c r="M421" s="48">
        <f>[2]!RcCMaC(C421/10,D421/10,E421,G421*10,H421*10, I421/10, J421,0)*10</f>
        <v>0</v>
      </c>
      <c r="N421" s="119">
        <v>461</v>
      </c>
      <c r="O421" s="120" t="str">
        <f t="shared" si="74"/>
        <v>NG</v>
      </c>
    </row>
    <row r="422" spans="3:15" x14ac:dyDescent="0.15">
      <c r="C422" s="52">
        <f t="shared" si="67"/>
        <v>500</v>
      </c>
      <c r="D422" s="35">
        <f t="shared" si="68"/>
        <v>190</v>
      </c>
      <c r="E422" s="28" t="str">
        <f t="shared" si="69"/>
        <v>6-D19</v>
      </c>
      <c r="F422" s="112">
        <f t="shared" si="70"/>
        <v>1721.9999313354492</v>
      </c>
      <c r="G422" s="112">
        <f t="shared" si="71"/>
        <v>14</v>
      </c>
      <c r="H422" s="112">
        <f t="shared" si="72"/>
        <v>345</v>
      </c>
      <c r="I422" s="111">
        <f t="shared" si="66"/>
        <v>6360</v>
      </c>
      <c r="J422" s="112">
        <f t="shared" si="73"/>
        <v>15</v>
      </c>
      <c r="K422" s="123">
        <f>[2]!RcCMaC(C422/10,D422/10,E422,G422*10,H422*10, I422/10, J422,3)</f>
        <v>180.00000498545322</v>
      </c>
      <c r="L422" s="47">
        <f>[2]!RcCMaC(C422/10,D422/10,E422,G422*10,H422*10,I422/10,J422,4)</f>
        <v>57.939743400844101</v>
      </c>
      <c r="M422" s="48">
        <f>[2]!RcCMaC(C422/10,D422/10,E422,G422*10,H422*10, I422/10, J422,0)*10</f>
        <v>0</v>
      </c>
      <c r="N422" s="119">
        <v>462</v>
      </c>
      <c r="O422" s="120" t="str">
        <f t="shared" si="74"/>
        <v>NG</v>
      </c>
    </row>
    <row r="423" spans="3:15" x14ac:dyDescent="0.15">
      <c r="C423" s="52">
        <f t="shared" si="67"/>
        <v>500</v>
      </c>
      <c r="D423" s="35">
        <f t="shared" si="68"/>
        <v>190</v>
      </c>
      <c r="E423" s="28" t="str">
        <f t="shared" si="69"/>
        <v>6-D19</v>
      </c>
      <c r="F423" s="112">
        <f t="shared" si="70"/>
        <v>1721.9999313354492</v>
      </c>
      <c r="G423" s="112">
        <f t="shared" si="71"/>
        <v>14</v>
      </c>
      <c r="H423" s="112">
        <f t="shared" si="72"/>
        <v>345</v>
      </c>
      <c r="I423" s="111">
        <f t="shared" si="66"/>
        <v>6370</v>
      </c>
      <c r="J423" s="112">
        <f t="shared" si="73"/>
        <v>15</v>
      </c>
      <c r="K423" s="123">
        <f>[2]!RcCMaC(C423/10,D423/10,E423,G423*10,H423*10, I423/10, J423,3)</f>
        <v>180.00000498545322</v>
      </c>
      <c r="L423" s="47">
        <f>[2]!RcCMaC(C423/10,D423/10,E423,G423*10,H423*10,I423/10,J423,4)</f>
        <v>57.939743400844101</v>
      </c>
      <c r="M423" s="48">
        <f>[2]!RcCMaC(C423/10,D423/10,E423,G423*10,H423*10, I423/10, J423,0)*10</f>
        <v>0</v>
      </c>
      <c r="N423" s="119">
        <v>463</v>
      </c>
      <c r="O423" s="120" t="str">
        <f t="shared" si="74"/>
        <v>NG</v>
      </c>
    </row>
    <row r="424" spans="3:15" x14ac:dyDescent="0.15">
      <c r="C424" s="52">
        <f t="shared" si="67"/>
        <v>500</v>
      </c>
      <c r="D424" s="35">
        <f t="shared" si="68"/>
        <v>190</v>
      </c>
      <c r="E424" s="28" t="str">
        <f t="shared" si="69"/>
        <v>6-D19</v>
      </c>
      <c r="F424" s="112">
        <f t="shared" si="70"/>
        <v>1721.9999313354492</v>
      </c>
      <c r="G424" s="112">
        <f t="shared" si="71"/>
        <v>14</v>
      </c>
      <c r="H424" s="112">
        <f t="shared" si="72"/>
        <v>345</v>
      </c>
      <c r="I424" s="111">
        <f t="shared" si="66"/>
        <v>6380</v>
      </c>
      <c r="J424" s="112">
        <f t="shared" si="73"/>
        <v>15</v>
      </c>
      <c r="K424" s="123">
        <f>[2]!RcCMaC(C424/10,D424/10,E424,G424*10,H424*10, I424/10, J424,3)</f>
        <v>180.00000498545322</v>
      </c>
      <c r="L424" s="47">
        <f>[2]!RcCMaC(C424/10,D424/10,E424,G424*10,H424*10,I424/10,J424,4)</f>
        <v>57.939743400844101</v>
      </c>
      <c r="M424" s="48">
        <f>[2]!RcCMaC(C424/10,D424/10,E424,G424*10,H424*10, I424/10, J424,0)*10</f>
        <v>0</v>
      </c>
      <c r="N424" s="119">
        <v>464</v>
      </c>
      <c r="O424" s="120" t="str">
        <f t="shared" si="74"/>
        <v>NG</v>
      </c>
    </row>
    <row r="425" spans="3:15" x14ac:dyDescent="0.15">
      <c r="C425" s="52">
        <f t="shared" si="67"/>
        <v>500</v>
      </c>
      <c r="D425" s="35">
        <f t="shared" si="68"/>
        <v>190</v>
      </c>
      <c r="E425" s="28" t="str">
        <f t="shared" si="69"/>
        <v>6-D19</v>
      </c>
      <c r="F425" s="112">
        <f t="shared" si="70"/>
        <v>1721.9999313354492</v>
      </c>
      <c r="G425" s="112">
        <f t="shared" si="71"/>
        <v>14</v>
      </c>
      <c r="H425" s="112">
        <f t="shared" si="72"/>
        <v>345</v>
      </c>
      <c r="I425" s="111">
        <f t="shared" si="66"/>
        <v>6390</v>
      </c>
      <c r="J425" s="112">
        <f t="shared" si="73"/>
        <v>15</v>
      </c>
      <c r="K425" s="123">
        <f>[2]!RcCMaC(C425/10,D425/10,E425,G425*10,H425*10, I425/10, J425,3)</f>
        <v>180.00000498545322</v>
      </c>
      <c r="L425" s="47">
        <f>[2]!RcCMaC(C425/10,D425/10,E425,G425*10,H425*10,I425/10,J425,4)</f>
        <v>57.939743400844101</v>
      </c>
      <c r="M425" s="48">
        <f>[2]!RcCMaC(C425/10,D425/10,E425,G425*10,H425*10, I425/10, J425,0)*10</f>
        <v>0</v>
      </c>
      <c r="N425" s="119">
        <v>465</v>
      </c>
      <c r="O425" s="120" t="str">
        <f t="shared" si="74"/>
        <v>NG</v>
      </c>
    </row>
    <row r="426" spans="3:15" x14ac:dyDescent="0.15">
      <c r="C426" s="52">
        <f t="shared" si="67"/>
        <v>500</v>
      </c>
      <c r="D426" s="35">
        <f t="shared" si="68"/>
        <v>190</v>
      </c>
      <c r="E426" s="28" t="str">
        <f t="shared" si="69"/>
        <v>6-D19</v>
      </c>
      <c r="F426" s="112">
        <f t="shared" si="70"/>
        <v>1721.9999313354492</v>
      </c>
      <c r="G426" s="112">
        <f t="shared" si="71"/>
        <v>14</v>
      </c>
      <c r="H426" s="112">
        <f t="shared" si="72"/>
        <v>345</v>
      </c>
      <c r="I426" s="111">
        <f t="shared" si="66"/>
        <v>6400</v>
      </c>
      <c r="J426" s="112">
        <f t="shared" si="73"/>
        <v>15</v>
      </c>
      <c r="K426" s="123">
        <f>[2]!RcCMaC(C426/10,D426/10,E426,G426*10,H426*10, I426/10, J426,3)</f>
        <v>180.00000498545322</v>
      </c>
      <c r="L426" s="47">
        <f>[2]!RcCMaC(C426/10,D426/10,E426,G426*10,H426*10,I426/10,J426,4)</f>
        <v>57.939743400844101</v>
      </c>
      <c r="M426" s="48">
        <f>[2]!RcCMaC(C426/10,D426/10,E426,G426*10,H426*10, I426/10, J426,0)*10</f>
        <v>0</v>
      </c>
      <c r="N426" s="119">
        <v>466</v>
      </c>
      <c r="O426" s="120" t="str">
        <f t="shared" si="74"/>
        <v>NG</v>
      </c>
    </row>
    <row r="427" spans="3:15" x14ac:dyDescent="0.15">
      <c r="C427" s="52">
        <f t="shared" si="67"/>
        <v>500</v>
      </c>
      <c r="D427" s="35">
        <f t="shared" si="68"/>
        <v>190</v>
      </c>
      <c r="E427" s="28" t="str">
        <f t="shared" si="69"/>
        <v>6-D19</v>
      </c>
      <c r="F427" s="112">
        <f t="shared" si="70"/>
        <v>1721.9999313354492</v>
      </c>
      <c r="G427" s="112">
        <f t="shared" si="71"/>
        <v>14</v>
      </c>
      <c r="H427" s="112">
        <f t="shared" si="72"/>
        <v>345</v>
      </c>
      <c r="I427" s="111">
        <f t="shared" si="66"/>
        <v>6410</v>
      </c>
      <c r="J427" s="112">
        <f t="shared" si="73"/>
        <v>15</v>
      </c>
      <c r="K427" s="123">
        <f>[2]!RcCMaC(C427/10,D427/10,E427,G427*10,H427*10, I427/10, J427,3)</f>
        <v>180.00000498545322</v>
      </c>
      <c r="L427" s="47">
        <f>[2]!RcCMaC(C427/10,D427/10,E427,G427*10,H427*10,I427/10,J427,4)</f>
        <v>57.939743400844101</v>
      </c>
      <c r="M427" s="48">
        <f>[2]!RcCMaC(C427/10,D427/10,E427,G427*10,H427*10, I427/10, J427,0)*10</f>
        <v>0</v>
      </c>
      <c r="N427" s="119">
        <v>467</v>
      </c>
      <c r="O427" s="120" t="str">
        <f t="shared" si="74"/>
        <v>NG</v>
      </c>
    </row>
    <row r="428" spans="3:15" x14ac:dyDescent="0.15">
      <c r="C428" s="52">
        <f t="shared" si="67"/>
        <v>500</v>
      </c>
      <c r="D428" s="35">
        <f t="shared" si="68"/>
        <v>190</v>
      </c>
      <c r="E428" s="28" t="str">
        <f t="shared" si="69"/>
        <v>6-D19</v>
      </c>
      <c r="F428" s="112">
        <f t="shared" si="70"/>
        <v>1721.9999313354492</v>
      </c>
      <c r="G428" s="112">
        <f t="shared" si="71"/>
        <v>14</v>
      </c>
      <c r="H428" s="112">
        <f t="shared" si="72"/>
        <v>345</v>
      </c>
      <c r="I428" s="111">
        <f t="shared" si="66"/>
        <v>6420</v>
      </c>
      <c r="J428" s="112">
        <f t="shared" si="73"/>
        <v>15</v>
      </c>
      <c r="K428" s="123">
        <f>[2]!RcCMaC(C428/10,D428/10,E428,G428*10,H428*10, I428/10, J428,3)</f>
        <v>180.00000498545322</v>
      </c>
      <c r="L428" s="47">
        <f>[2]!RcCMaC(C428/10,D428/10,E428,G428*10,H428*10,I428/10,J428,4)</f>
        <v>57.939743400844101</v>
      </c>
      <c r="M428" s="48">
        <f>[2]!RcCMaC(C428/10,D428/10,E428,G428*10,H428*10, I428/10, J428,0)*10</f>
        <v>0</v>
      </c>
      <c r="N428" s="119">
        <v>468</v>
      </c>
      <c r="O428" s="120" t="str">
        <f t="shared" si="74"/>
        <v>NG</v>
      </c>
    </row>
    <row r="429" spans="3:15" x14ac:dyDescent="0.15">
      <c r="C429" s="52">
        <f t="shared" si="67"/>
        <v>500</v>
      </c>
      <c r="D429" s="35">
        <f t="shared" si="68"/>
        <v>190</v>
      </c>
      <c r="E429" s="28" t="str">
        <f t="shared" si="69"/>
        <v>6-D19</v>
      </c>
      <c r="F429" s="112">
        <f t="shared" si="70"/>
        <v>1721.9999313354492</v>
      </c>
      <c r="G429" s="112">
        <f t="shared" si="71"/>
        <v>14</v>
      </c>
      <c r="H429" s="112">
        <f t="shared" si="72"/>
        <v>345</v>
      </c>
      <c r="I429" s="111">
        <f t="shared" si="66"/>
        <v>6430</v>
      </c>
      <c r="J429" s="112">
        <f t="shared" si="73"/>
        <v>15</v>
      </c>
      <c r="K429" s="123">
        <f>[2]!RcCMaC(C429/10,D429/10,E429,G429*10,H429*10, I429/10, J429,3)</f>
        <v>180.00000498545322</v>
      </c>
      <c r="L429" s="47">
        <f>[2]!RcCMaC(C429/10,D429/10,E429,G429*10,H429*10,I429/10,J429,4)</f>
        <v>57.939743400844101</v>
      </c>
      <c r="M429" s="48">
        <f>[2]!RcCMaC(C429/10,D429/10,E429,G429*10,H429*10, I429/10, J429,0)*10</f>
        <v>0</v>
      </c>
      <c r="N429" s="119">
        <v>469</v>
      </c>
      <c r="O429" s="120" t="str">
        <f t="shared" si="74"/>
        <v>NG</v>
      </c>
    </row>
    <row r="430" spans="3:15" x14ac:dyDescent="0.15">
      <c r="C430" s="52">
        <f t="shared" si="67"/>
        <v>500</v>
      </c>
      <c r="D430" s="35">
        <f t="shared" si="68"/>
        <v>190</v>
      </c>
      <c r="E430" s="28" t="str">
        <f t="shared" si="69"/>
        <v>6-D19</v>
      </c>
      <c r="F430" s="112">
        <f t="shared" si="70"/>
        <v>1721.9999313354492</v>
      </c>
      <c r="G430" s="112">
        <f t="shared" si="71"/>
        <v>14</v>
      </c>
      <c r="H430" s="112">
        <f t="shared" si="72"/>
        <v>345</v>
      </c>
      <c r="I430" s="111">
        <f t="shared" si="66"/>
        <v>6440</v>
      </c>
      <c r="J430" s="112">
        <f t="shared" si="73"/>
        <v>15</v>
      </c>
      <c r="K430" s="123">
        <f>[2]!RcCMaC(C430/10,D430/10,E430,G430*10,H430*10, I430/10, J430,3)</f>
        <v>180.00000498545322</v>
      </c>
      <c r="L430" s="47">
        <f>[2]!RcCMaC(C430/10,D430/10,E430,G430*10,H430*10,I430/10,J430,4)</f>
        <v>57.939743400844101</v>
      </c>
      <c r="M430" s="48">
        <f>[2]!RcCMaC(C430/10,D430/10,E430,G430*10,H430*10, I430/10, J430,0)*10</f>
        <v>0</v>
      </c>
      <c r="N430" s="119">
        <v>470</v>
      </c>
      <c r="O430" s="120" t="str">
        <f t="shared" si="74"/>
        <v>NG</v>
      </c>
    </row>
    <row r="431" spans="3:15" x14ac:dyDescent="0.15">
      <c r="C431" s="52">
        <f t="shared" si="67"/>
        <v>500</v>
      </c>
      <c r="D431" s="35">
        <f t="shared" si="68"/>
        <v>190</v>
      </c>
      <c r="E431" s="28" t="str">
        <f t="shared" si="69"/>
        <v>6-D19</v>
      </c>
      <c r="F431" s="112">
        <f t="shared" si="70"/>
        <v>1721.9999313354492</v>
      </c>
      <c r="G431" s="112">
        <f t="shared" si="71"/>
        <v>14</v>
      </c>
      <c r="H431" s="112">
        <f t="shared" si="72"/>
        <v>345</v>
      </c>
      <c r="I431" s="111">
        <f t="shared" si="66"/>
        <v>6450</v>
      </c>
      <c r="J431" s="112">
        <f t="shared" si="73"/>
        <v>15</v>
      </c>
      <c r="K431" s="123">
        <f>[2]!RcCMaC(C431/10,D431/10,E431,G431*10,H431*10, I431/10, J431,3)</f>
        <v>180.00000498545322</v>
      </c>
      <c r="L431" s="47">
        <f>[2]!RcCMaC(C431/10,D431/10,E431,G431*10,H431*10,I431/10,J431,4)</f>
        <v>57.939743400844101</v>
      </c>
      <c r="M431" s="48">
        <f>[2]!RcCMaC(C431/10,D431/10,E431,G431*10,H431*10, I431/10, J431,0)*10</f>
        <v>0</v>
      </c>
      <c r="N431" s="119">
        <v>471</v>
      </c>
      <c r="O431" s="120" t="str">
        <f t="shared" si="74"/>
        <v>NG</v>
      </c>
    </row>
    <row r="432" spans="3:15" x14ac:dyDescent="0.15">
      <c r="C432" s="52">
        <f t="shared" si="67"/>
        <v>500</v>
      </c>
      <c r="D432" s="35">
        <f t="shared" si="68"/>
        <v>190</v>
      </c>
      <c r="E432" s="28" t="str">
        <f t="shared" si="69"/>
        <v>6-D19</v>
      </c>
      <c r="F432" s="112">
        <f t="shared" si="70"/>
        <v>1721.9999313354492</v>
      </c>
      <c r="G432" s="112">
        <f t="shared" si="71"/>
        <v>14</v>
      </c>
      <c r="H432" s="112">
        <f t="shared" si="72"/>
        <v>345</v>
      </c>
      <c r="I432" s="111">
        <f t="shared" si="66"/>
        <v>6460</v>
      </c>
      <c r="J432" s="112">
        <f t="shared" si="73"/>
        <v>15</v>
      </c>
      <c r="K432" s="123">
        <f>[2]!RcCMaC(C432/10,D432/10,E432,G432*10,H432*10, I432/10, J432,3)</f>
        <v>180.00000498545322</v>
      </c>
      <c r="L432" s="47">
        <f>[2]!RcCMaC(C432/10,D432/10,E432,G432*10,H432*10,I432/10,J432,4)</f>
        <v>57.939743400844101</v>
      </c>
      <c r="M432" s="48">
        <f>[2]!RcCMaC(C432/10,D432/10,E432,G432*10,H432*10, I432/10, J432,0)*10</f>
        <v>0</v>
      </c>
      <c r="N432" s="119">
        <v>472</v>
      </c>
      <c r="O432" s="120" t="str">
        <f t="shared" si="74"/>
        <v>NG</v>
      </c>
    </row>
    <row r="433" spans="3:15" x14ac:dyDescent="0.15">
      <c r="C433" s="52">
        <f t="shared" si="67"/>
        <v>500</v>
      </c>
      <c r="D433" s="35">
        <f t="shared" si="68"/>
        <v>190</v>
      </c>
      <c r="E433" s="28" t="str">
        <f t="shared" si="69"/>
        <v>6-D19</v>
      </c>
      <c r="F433" s="112">
        <f t="shared" si="70"/>
        <v>1721.9999313354492</v>
      </c>
      <c r="G433" s="112">
        <f t="shared" si="71"/>
        <v>14</v>
      </c>
      <c r="H433" s="112">
        <f t="shared" si="72"/>
        <v>345</v>
      </c>
      <c r="I433" s="111">
        <f t="shared" si="66"/>
        <v>6470</v>
      </c>
      <c r="J433" s="112">
        <f t="shared" si="73"/>
        <v>15</v>
      </c>
      <c r="K433" s="123">
        <f>[2]!RcCMaC(C433/10,D433/10,E433,G433*10,H433*10, I433/10, J433,3)</f>
        <v>180.00000498545322</v>
      </c>
      <c r="L433" s="47">
        <f>[2]!RcCMaC(C433/10,D433/10,E433,G433*10,H433*10,I433/10,J433,4)</f>
        <v>57.939743400844101</v>
      </c>
      <c r="M433" s="48">
        <f>[2]!RcCMaC(C433/10,D433/10,E433,G433*10,H433*10, I433/10, J433,0)*10</f>
        <v>0</v>
      </c>
      <c r="N433" s="119">
        <v>473</v>
      </c>
      <c r="O433" s="120" t="str">
        <f t="shared" si="74"/>
        <v>NG</v>
      </c>
    </row>
    <row r="434" spans="3:15" x14ac:dyDescent="0.15">
      <c r="C434" s="52">
        <f t="shared" si="67"/>
        <v>500</v>
      </c>
      <c r="D434" s="35">
        <f t="shared" si="68"/>
        <v>190</v>
      </c>
      <c r="E434" s="28" t="str">
        <f t="shared" si="69"/>
        <v>6-D19</v>
      </c>
      <c r="F434" s="112">
        <f t="shared" si="70"/>
        <v>1721.9999313354492</v>
      </c>
      <c r="G434" s="112">
        <f t="shared" si="71"/>
        <v>14</v>
      </c>
      <c r="H434" s="112">
        <f t="shared" si="72"/>
        <v>345</v>
      </c>
      <c r="I434" s="111">
        <f t="shared" si="66"/>
        <v>6480</v>
      </c>
      <c r="J434" s="112">
        <f t="shared" si="73"/>
        <v>15</v>
      </c>
      <c r="K434" s="123">
        <f>[2]!RcCMaC(C434/10,D434/10,E434,G434*10,H434*10, I434/10, J434,3)</f>
        <v>180.00000498545322</v>
      </c>
      <c r="L434" s="47">
        <f>[2]!RcCMaC(C434/10,D434/10,E434,G434*10,H434*10,I434/10,J434,4)</f>
        <v>57.939743400844101</v>
      </c>
      <c r="M434" s="48">
        <f>[2]!RcCMaC(C434/10,D434/10,E434,G434*10,H434*10, I434/10, J434,0)*10</f>
        <v>0</v>
      </c>
      <c r="N434" s="119">
        <v>474</v>
      </c>
      <c r="O434" s="120" t="str">
        <f t="shared" si="74"/>
        <v>NG</v>
      </c>
    </row>
    <row r="435" spans="3:15" x14ac:dyDescent="0.15">
      <c r="C435" s="52">
        <f t="shared" si="67"/>
        <v>500</v>
      </c>
      <c r="D435" s="35">
        <f t="shared" si="68"/>
        <v>190</v>
      </c>
      <c r="E435" s="28" t="str">
        <f t="shared" si="69"/>
        <v>6-D19</v>
      </c>
      <c r="F435" s="112">
        <f t="shared" si="70"/>
        <v>1721.9999313354492</v>
      </c>
      <c r="G435" s="112">
        <f t="shared" si="71"/>
        <v>14</v>
      </c>
      <c r="H435" s="112">
        <f t="shared" si="72"/>
        <v>345</v>
      </c>
      <c r="I435" s="111">
        <f t="shared" si="66"/>
        <v>6490</v>
      </c>
      <c r="J435" s="112">
        <f t="shared" si="73"/>
        <v>15</v>
      </c>
      <c r="K435" s="123">
        <f>[2]!RcCMaC(C435/10,D435/10,E435,G435*10,H435*10, I435/10, J435,3)</f>
        <v>180.00000498545322</v>
      </c>
      <c r="L435" s="47">
        <f>[2]!RcCMaC(C435/10,D435/10,E435,G435*10,H435*10,I435/10,J435,4)</f>
        <v>57.939743400844101</v>
      </c>
      <c r="M435" s="48">
        <f>[2]!RcCMaC(C435/10,D435/10,E435,G435*10,H435*10, I435/10, J435,0)*10</f>
        <v>0</v>
      </c>
      <c r="N435" s="119">
        <v>475</v>
      </c>
      <c r="O435" s="120" t="str">
        <f t="shared" si="74"/>
        <v>NG</v>
      </c>
    </row>
    <row r="436" spans="3:15" x14ac:dyDescent="0.15">
      <c r="C436" s="52">
        <f t="shared" ref="C436:C499" si="75">+C435</f>
        <v>500</v>
      </c>
      <c r="D436" s="35">
        <f t="shared" ref="D436:D499" si="76">+D435</f>
        <v>190</v>
      </c>
      <c r="E436" s="28" t="str">
        <f t="shared" ref="E436:E499" si="77">+E435</f>
        <v>6-D19</v>
      </c>
      <c r="F436" s="112">
        <f t="shared" ref="F436:F499" si="78">+F435</f>
        <v>1721.9999313354492</v>
      </c>
      <c r="G436" s="112">
        <f t="shared" ref="G436:G499" si="79">+G435</f>
        <v>14</v>
      </c>
      <c r="H436" s="112">
        <f t="shared" ref="H436:H499" si="80">+H435</f>
        <v>345</v>
      </c>
      <c r="I436" s="111">
        <f t="shared" si="66"/>
        <v>6500</v>
      </c>
      <c r="J436" s="112">
        <f t="shared" ref="J436:J499" si="81">+J435</f>
        <v>15</v>
      </c>
      <c r="K436" s="123">
        <f>[2]!RcCMaC(C436/10,D436/10,E436,G436*10,H436*10, I436/10, J436,3)</f>
        <v>180.00000498545322</v>
      </c>
      <c r="L436" s="47">
        <f>[2]!RcCMaC(C436/10,D436/10,E436,G436*10,H436*10,I436/10,J436,4)</f>
        <v>57.939743400844101</v>
      </c>
      <c r="M436" s="48">
        <f>[2]!RcCMaC(C436/10,D436/10,E436,G436*10,H436*10, I436/10, J436,0)*10</f>
        <v>0</v>
      </c>
      <c r="N436" s="119">
        <v>476</v>
      </c>
      <c r="O436" s="120" t="str">
        <f t="shared" ref="O436:O499" si="82">IF(M436&gt;N436,"OK","NG")</f>
        <v>NG</v>
      </c>
    </row>
    <row r="437" spans="3:15" x14ac:dyDescent="0.15">
      <c r="C437" s="52">
        <f t="shared" si="75"/>
        <v>500</v>
      </c>
      <c r="D437" s="35">
        <f t="shared" si="76"/>
        <v>190</v>
      </c>
      <c r="E437" s="28" t="str">
        <f t="shared" si="77"/>
        <v>6-D19</v>
      </c>
      <c r="F437" s="112">
        <f t="shared" si="78"/>
        <v>1721.9999313354492</v>
      </c>
      <c r="G437" s="112">
        <f t="shared" si="79"/>
        <v>14</v>
      </c>
      <c r="H437" s="112">
        <f t="shared" si="80"/>
        <v>345</v>
      </c>
      <c r="I437" s="111">
        <f t="shared" si="66"/>
        <v>6510</v>
      </c>
      <c r="J437" s="112">
        <f t="shared" si="81"/>
        <v>15</v>
      </c>
      <c r="K437" s="123">
        <f>[2]!RcCMaC(C437/10,D437/10,E437,G437*10,H437*10, I437/10, J437,3)</f>
        <v>180.00000498545322</v>
      </c>
      <c r="L437" s="47">
        <f>[2]!RcCMaC(C437/10,D437/10,E437,G437*10,H437*10,I437/10,J437,4)</f>
        <v>57.939743400844101</v>
      </c>
      <c r="M437" s="48">
        <f>[2]!RcCMaC(C437/10,D437/10,E437,G437*10,H437*10, I437/10, J437,0)*10</f>
        <v>0</v>
      </c>
      <c r="N437" s="119">
        <v>477</v>
      </c>
      <c r="O437" s="120" t="str">
        <f t="shared" si="82"/>
        <v>NG</v>
      </c>
    </row>
    <row r="438" spans="3:15" x14ac:dyDescent="0.15">
      <c r="C438" s="52">
        <f t="shared" si="75"/>
        <v>500</v>
      </c>
      <c r="D438" s="35">
        <f t="shared" si="76"/>
        <v>190</v>
      </c>
      <c r="E438" s="28" t="str">
        <f t="shared" si="77"/>
        <v>6-D19</v>
      </c>
      <c r="F438" s="112">
        <f t="shared" si="78"/>
        <v>1721.9999313354492</v>
      </c>
      <c r="G438" s="112">
        <f t="shared" si="79"/>
        <v>14</v>
      </c>
      <c r="H438" s="112">
        <f t="shared" si="80"/>
        <v>345</v>
      </c>
      <c r="I438" s="111">
        <f t="shared" si="66"/>
        <v>6520</v>
      </c>
      <c r="J438" s="112">
        <f t="shared" si="81"/>
        <v>15</v>
      </c>
      <c r="K438" s="123">
        <f>[2]!RcCMaC(C438/10,D438/10,E438,G438*10,H438*10, I438/10, J438,3)</f>
        <v>180.00000498545322</v>
      </c>
      <c r="L438" s="47">
        <f>[2]!RcCMaC(C438/10,D438/10,E438,G438*10,H438*10,I438/10,J438,4)</f>
        <v>57.939743400844101</v>
      </c>
      <c r="M438" s="48">
        <f>[2]!RcCMaC(C438/10,D438/10,E438,G438*10,H438*10, I438/10, J438,0)*10</f>
        <v>0</v>
      </c>
      <c r="N438" s="119">
        <v>478</v>
      </c>
      <c r="O438" s="120" t="str">
        <f t="shared" si="82"/>
        <v>NG</v>
      </c>
    </row>
    <row r="439" spans="3:15" x14ac:dyDescent="0.15">
      <c r="C439" s="52">
        <f t="shared" si="75"/>
        <v>500</v>
      </c>
      <c r="D439" s="35">
        <f t="shared" si="76"/>
        <v>190</v>
      </c>
      <c r="E439" s="28" t="str">
        <f t="shared" si="77"/>
        <v>6-D19</v>
      </c>
      <c r="F439" s="112">
        <f t="shared" si="78"/>
        <v>1721.9999313354492</v>
      </c>
      <c r="G439" s="112">
        <f t="shared" si="79"/>
        <v>14</v>
      </c>
      <c r="H439" s="112">
        <f t="shared" si="80"/>
        <v>345</v>
      </c>
      <c r="I439" s="111">
        <f t="shared" si="66"/>
        <v>6530</v>
      </c>
      <c r="J439" s="112">
        <f t="shared" si="81"/>
        <v>15</v>
      </c>
      <c r="K439" s="123">
        <f>[2]!RcCMaC(C439/10,D439/10,E439,G439*10,H439*10, I439/10, J439,3)</f>
        <v>180.00000498545322</v>
      </c>
      <c r="L439" s="47">
        <f>[2]!RcCMaC(C439/10,D439/10,E439,G439*10,H439*10,I439/10,J439,4)</f>
        <v>57.939743400844101</v>
      </c>
      <c r="M439" s="48">
        <f>[2]!RcCMaC(C439/10,D439/10,E439,G439*10,H439*10, I439/10, J439,0)*10</f>
        <v>0</v>
      </c>
      <c r="N439" s="119">
        <v>479</v>
      </c>
      <c r="O439" s="120" t="str">
        <f t="shared" si="82"/>
        <v>NG</v>
      </c>
    </row>
    <row r="440" spans="3:15" x14ac:dyDescent="0.15">
      <c r="C440" s="52">
        <f t="shared" si="75"/>
        <v>500</v>
      </c>
      <c r="D440" s="35">
        <f t="shared" si="76"/>
        <v>190</v>
      </c>
      <c r="E440" s="28" t="str">
        <f t="shared" si="77"/>
        <v>6-D19</v>
      </c>
      <c r="F440" s="112">
        <f t="shared" si="78"/>
        <v>1721.9999313354492</v>
      </c>
      <c r="G440" s="112">
        <f t="shared" si="79"/>
        <v>14</v>
      </c>
      <c r="H440" s="112">
        <f t="shared" si="80"/>
        <v>345</v>
      </c>
      <c r="I440" s="111">
        <f t="shared" si="66"/>
        <v>6540</v>
      </c>
      <c r="J440" s="112">
        <f t="shared" si="81"/>
        <v>15</v>
      </c>
      <c r="K440" s="123">
        <f>[2]!RcCMaC(C440/10,D440/10,E440,G440*10,H440*10, I440/10, J440,3)</f>
        <v>180.00000498545322</v>
      </c>
      <c r="L440" s="47">
        <f>[2]!RcCMaC(C440/10,D440/10,E440,G440*10,H440*10,I440/10,J440,4)</f>
        <v>57.939743400844101</v>
      </c>
      <c r="M440" s="48">
        <f>[2]!RcCMaC(C440/10,D440/10,E440,G440*10,H440*10, I440/10, J440,0)*10</f>
        <v>0</v>
      </c>
      <c r="N440" s="119">
        <v>480</v>
      </c>
      <c r="O440" s="120" t="str">
        <f t="shared" si="82"/>
        <v>NG</v>
      </c>
    </row>
    <row r="441" spans="3:15" x14ac:dyDescent="0.15">
      <c r="C441" s="52">
        <f t="shared" si="75"/>
        <v>500</v>
      </c>
      <c r="D441" s="35">
        <f t="shared" si="76"/>
        <v>190</v>
      </c>
      <c r="E441" s="28" t="str">
        <f t="shared" si="77"/>
        <v>6-D19</v>
      </c>
      <c r="F441" s="112">
        <f t="shared" si="78"/>
        <v>1721.9999313354492</v>
      </c>
      <c r="G441" s="112">
        <f t="shared" si="79"/>
        <v>14</v>
      </c>
      <c r="H441" s="112">
        <f t="shared" si="80"/>
        <v>345</v>
      </c>
      <c r="I441" s="111">
        <f t="shared" si="66"/>
        <v>6550</v>
      </c>
      <c r="J441" s="112">
        <f t="shared" si="81"/>
        <v>15</v>
      </c>
      <c r="K441" s="123">
        <f>[2]!RcCMaC(C441/10,D441/10,E441,G441*10,H441*10, I441/10, J441,3)</f>
        <v>180.00000498545322</v>
      </c>
      <c r="L441" s="47">
        <f>[2]!RcCMaC(C441/10,D441/10,E441,G441*10,H441*10,I441/10,J441,4)</f>
        <v>57.939743400844101</v>
      </c>
      <c r="M441" s="48">
        <f>[2]!RcCMaC(C441/10,D441/10,E441,G441*10,H441*10, I441/10, J441,0)*10</f>
        <v>0</v>
      </c>
      <c r="N441" s="119">
        <v>481</v>
      </c>
      <c r="O441" s="120" t="str">
        <f t="shared" si="82"/>
        <v>NG</v>
      </c>
    </row>
    <row r="442" spans="3:15" x14ac:dyDescent="0.15">
      <c r="C442" s="52">
        <f t="shared" si="75"/>
        <v>500</v>
      </c>
      <c r="D442" s="35">
        <f t="shared" si="76"/>
        <v>190</v>
      </c>
      <c r="E442" s="28" t="str">
        <f t="shared" si="77"/>
        <v>6-D19</v>
      </c>
      <c r="F442" s="112">
        <f t="shared" si="78"/>
        <v>1721.9999313354492</v>
      </c>
      <c r="G442" s="112">
        <f t="shared" si="79"/>
        <v>14</v>
      </c>
      <c r="H442" s="112">
        <f t="shared" si="80"/>
        <v>345</v>
      </c>
      <c r="I442" s="111">
        <f t="shared" si="66"/>
        <v>6560</v>
      </c>
      <c r="J442" s="112">
        <f t="shared" si="81"/>
        <v>15</v>
      </c>
      <c r="K442" s="123">
        <f>[2]!RcCMaC(C442/10,D442/10,E442,G442*10,H442*10, I442/10, J442,3)</f>
        <v>180.00000498545322</v>
      </c>
      <c r="L442" s="47">
        <f>[2]!RcCMaC(C442/10,D442/10,E442,G442*10,H442*10,I442/10,J442,4)</f>
        <v>57.939743400844101</v>
      </c>
      <c r="M442" s="48">
        <f>[2]!RcCMaC(C442/10,D442/10,E442,G442*10,H442*10, I442/10, J442,0)*10</f>
        <v>0</v>
      </c>
      <c r="N442" s="119">
        <v>482</v>
      </c>
      <c r="O442" s="120" t="str">
        <f t="shared" si="82"/>
        <v>NG</v>
      </c>
    </row>
    <row r="443" spans="3:15" x14ac:dyDescent="0.15">
      <c r="C443" s="52">
        <f t="shared" si="75"/>
        <v>500</v>
      </c>
      <c r="D443" s="35">
        <f t="shared" si="76"/>
        <v>190</v>
      </c>
      <c r="E443" s="28" t="str">
        <f t="shared" si="77"/>
        <v>6-D19</v>
      </c>
      <c r="F443" s="112">
        <f t="shared" si="78"/>
        <v>1721.9999313354492</v>
      </c>
      <c r="G443" s="112">
        <f t="shared" si="79"/>
        <v>14</v>
      </c>
      <c r="H443" s="112">
        <f t="shared" si="80"/>
        <v>345</v>
      </c>
      <c r="I443" s="111">
        <f t="shared" si="66"/>
        <v>6570</v>
      </c>
      <c r="J443" s="112">
        <f t="shared" si="81"/>
        <v>15</v>
      </c>
      <c r="K443" s="123">
        <f>[2]!RcCMaC(C443/10,D443/10,E443,G443*10,H443*10, I443/10, J443,3)</f>
        <v>180.00000498545322</v>
      </c>
      <c r="L443" s="47">
        <f>[2]!RcCMaC(C443/10,D443/10,E443,G443*10,H443*10,I443/10,J443,4)</f>
        <v>57.939743400844101</v>
      </c>
      <c r="M443" s="48">
        <f>[2]!RcCMaC(C443/10,D443/10,E443,G443*10,H443*10, I443/10, J443,0)*10</f>
        <v>0</v>
      </c>
      <c r="N443" s="119">
        <v>483</v>
      </c>
      <c r="O443" s="120" t="str">
        <f t="shared" si="82"/>
        <v>NG</v>
      </c>
    </row>
    <row r="444" spans="3:15" x14ac:dyDescent="0.15">
      <c r="C444" s="52">
        <f t="shared" si="75"/>
        <v>500</v>
      </c>
      <c r="D444" s="35">
        <f t="shared" si="76"/>
        <v>190</v>
      </c>
      <c r="E444" s="28" t="str">
        <f t="shared" si="77"/>
        <v>6-D19</v>
      </c>
      <c r="F444" s="112">
        <f t="shared" si="78"/>
        <v>1721.9999313354492</v>
      </c>
      <c r="G444" s="112">
        <f t="shared" si="79"/>
        <v>14</v>
      </c>
      <c r="H444" s="112">
        <f t="shared" si="80"/>
        <v>345</v>
      </c>
      <c r="I444" s="111">
        <f t="shared" si="66"/>
        <v>6580</v>
      </c>
      <c r="J444" s="112">
        <f t="shared" si="81"/>
        <v>15</v>
      </c>
      <c r="K444" s="123">
        <f>[2]!RcCMaC(C444/10,D444/10,E444,G444*10,H444*10, I444/10, J444,3)</f>
        <v>180.00000498545322</v>
      </c>
      <c r="L444" s="47">
        <f>[2]!RcCMaC(C444/10,D444/10,E444,G444*10,H444*10,I444/10,J444,4)</f>
        <v>57.939743400844101</v>
      </c>
      <c r="M444" s="48">
        <f>[2]!RcCMaC(C444/10,D444/10,E444,G444*10,H444*10, I444/10, J444,0)*10</f>
        <v>0</v>
      </c>
      <c r="N444" s="119">
        <v>484</v>
      </c>
      <c r="O444" s="120" t="str">
        <f t="shared" si="82"/>
        <v>NG</v>
      </c>
    </row>
    <row r="445" spans="3:15" x14ac:dyDescent="0.15">
      <c r="C445" s="52">
        <f t="shared" si="75"/>
        <v>500</v>
      </c>
      <c r="D445" s="35">
        <f t="shared" si="76"/>
        <v>190</v>
      </c>
      <c r="E445" s="28" t="str">
        <f t="shared" si="77"/>
        <v>6-D19</v>
      </c>
      <c r="F445" s="112">
        <f t="shared" si="78"/>
        <v>1721.9999313354492</v>
      </c>
      <c r="G445" s="112">
        <f t="shared" si="79"/>
        <v>14</v>
      </c>
      <c r="H445" s="112">
        <f t="shared" si="80"/>
        <v>345</v>
      </c>
      <c r="I445" s="111">
        <f t="shared" si="66"/>
        <v>6590</v>
      </c>
      <c r="J445" s="112">
        <f t="shared" si="81"/>
        <v>15</v>
      </c>
      <c r="K445" s="123">
        <f>[2]!RcCMaC(C445/10,D445/10,E445,G445*10,H445*10, I445/10, J445,3)</f>
        <v>180.00000498545322</v>
      </c>
      <c r="L445" s="47">
        <f>[2]!RcCMaC(C445/10,D445/10,E445,G445*10,H445*10,I445/10,J445,4)</f>
        <v>57.939743400844101</v>
      </c>
      <c r="M445" s="48">
        <f>[2]!RcCMaC(C445/10,D445/10,E445,G445*10,H445*10, I445/10, J445,0)*10</f>
        <v>0</v>
      </c>
      <c r="N445" s="119">
        <v>485</v>
      </c>
      <c r="O445" s="120" t="str">
        <f t="shared" si="82"/>
        <v>NG</v>
      </c>
    </row>
    <row r="446" spans="3:15" x14ac:dyDescent="0.15">
      <c r="C446" s="52">
        <f t="shared" si="75"/>
        <v>500</v>
      </c>
      <c r="D446" s="35">
        <f t="shared" si="76"/>
        <v>190</v>
      </c>
      <c r="E446" s="28" t="str">
        <f t="shared" si="77"/>
        <v>6-D19</v>
      </c>
      <c r="F446" s="112">
        <f t="shared" si="78"/>
        <v>1721.9999313354492</v>
      </c>
      <c r="G446" s="112">
        <f t="shared" si="79"/>
        <v>14</v>
      </c>
      <c r="H446" s="112">
        <f t="shared" si="80"/>
        <v>345</v>
      </c>
      <c r="I446" s="111">
        <f t="shared" si="66"/>
        <v>6600</v>
      </c>
      <c r="J446" s="112">
        <f t="shared" si="81"/>
        <v>15</v>
      </c>
      <c r="K446" s="123">
        <f>[2]!RcCMaC(C446/10,D446/10,E446,G446*10,H446*10, I446/10, J446,3)</f>
        <v>180.00000498545322</v>
      </c>
      <c r="L446" s="47">
        <f>[2]!RcCMaC(C446/10,D446/10,E446,G446*10,H446*10,I446/10,J446,4)</f>
        <v>57.939743400844101</v>
      </c>
      <c r="M446" s="48">
        <f>[2]!RcCMaC(C446/10,D446/10,E446,G446*10,H446*10, I446/10, J446,0)*10</f>
        <v>0</v>
      </c>
      <c r="N446" s="119">
        <v>486</v>
      </c>
      <c r="O446" s="120" t="str">
        <f t="shared" si="82"/>
        <v>NG</v>
      </c>
    </row>
    <row r="447" spans="3:15" x14ac:dyDescent="0.15">
      <c r="C447" s="52">
        <f t="shared" si="75"/>
        <v>500</v>
      </c>
      <c r="D447" s="35">
        <f t="shared" si="76"/>
        <v>190</v>
      </c>
      <c r="E447" s="28" t="str">
        <f t="shared" si="77"/>
        <v>6-D19</v>
      </c>
      <c r="F447" s="112">
        <f t="shared" si="78"/>
        <v>1721.9999313354492</v>
      </c>
      <c r="G447" s="112">
        <f t="shared" si="79"/>
        <v>14</v>
      </c>
      <c r="H447" s="112">
        <f t="shared" si="80"/>
        <v>345</v>
      </c>
      <c r="I447" s="111">
        <f t="shared" si="66"/>
        <v>6610</v>
      </c>
      <c r="J447" s="112">
        <f t="shared" si="81"/>
        <v>15</v>
      </c>
      <c r="K447" s="123">
        <f>[2]!RcCMaC(C447/10,D447/10,E447,G447*10,H447*10, I447/10, J447,3)</f>
        <v>180.00000498545322</v>
      </c>
      <c r="L447" s="47">
        <f>[2]!RcCMaC(C447/10,D447/10,E447,G447*10,H447*10,I447/10,J447,4)</f>
        <v>57.939743400844101</v>
      </c>
      <c r="M447" s="48">
        <f>[2]!RcCMaC(C447/10,D447/10,E447,G447*10,H447*10, I447/10, J447,0)*10</f>
        <v>0</v>
      </c>
      <c r="N447" s="119">
        <v>487</v>
      </c>
      <c r="O447" s="120" t="str">
        <f t="shared" si="82"/>
        <v>NG</v>
      </c>
    </row>
    <row r="448" spans="3:15" x14ac:dyDescent="0.15">
      <c r="C448" s="52">
        <f t="shared" si="75"/>
        <v>500</v>
      </c>
      <c r="D448" s="35">
        <f t="shared" si="76"/>
        <v>190</v>
      </c>
      <c r="E448" s="28" t="str">
        <f t="shared" si="77"/>
        <v>6-D19</v>
      </c>
      <c r="F448" s="112">
        <f t="shared" si="78"/>
        <v>1721.9999313354492</v>
      </c>
      <c r="G448" s="112">
        <f t="shared" si="79"/>
        <v>14</v>
      </c>
      <c r="H448" s="112">
        <f t="shared" si="80"/>
        <v>345</v>
      </c>
      <c r="I448" s="111">
        <f t="shared" si="66"/>
        <v>6620</v>
      </c>
      <c r="J448" s="112">
        <f t="shared" si="81"/>
        <v>15</v>
      </c>
      <c r="K448" s="123">
        <f>[2]!RcCMaC(C448/10,D448/10,E448,G448*10,H448*10, I448/10, J448,3)</f>
        <v>180.00000498545322</v>
      </c>
      <c r="L448" s="47">
        <f>[2]!RcCMaC(C448/10,D448/10,E448,G448*10,H448*10,I448/10,J448,4)</f>
        <v>57.939743400844101</v>
      </c>
      <c r="M448" s="48">
        <f>[2]!RcCMaC(C448/10,D448/10,E448,G448*10,H448*10, I448/10, J448,0)*10</f>
        <v>0</v>
      </c>
      <c r="N448" s="119">
        <v>488</v>
      </c>
      <c r="O448" s="120" t="str">
        <f t="shared" si="82"/>
        <v>NG</v>
      </c>
    </row>
    <row r="449" spans="3:15" x14ac:dyDescent="0.15">
      <c r="C449" s="52">
        <f t="shared" si="75"/>
        <v>500</v>
      </c>
      <c r="D449" s="35">
        <f t="shared" si="76"/>
        <v>190</v>
      </c>
      <c r="E449" s="28" t="str">
        <f t="shared" si="77"/>
        <v>6-D19</v>
      </c>
      <c r="F449" s="112">
        <f t="shared" si="78"/>
        <v>1721.9999313354492</v>
      </c>
      <c r="G449" s="112">
        <f t="shared" si="79"/>
        <v>14</v>
      </c>
      <c r="H449" s="112">
        <f t="shared" si="80"/>
        <v>345</v>
      </c>
      <c r="I449" s="111">
        <f t="shared" si="66"/>
        <v>6630</v>
      </c>
      <c r="J449" s="112">
        <f t="shared" si="81"/>
        <v>15</v>
      </c>
      <c r="K449" s="123">
        <f>[2]!RcCMaC(C449/10,D449/10,E449,G449*10,H449*10, I449/10, J449,3)</f>
        <v>180.00000498545322</v>
      </c>
      <c r="L449" s="47">
        <f>[2]!RcCMaC(C449/10,D449/10,E449,G449*10,H449*10,I449/10,J449,4)</f>
        <v>57.939743400844101</v>
      </c>
      <c r="M449" s="48">
        <f>[2]!RcCMaC(C449/10,D449/10,E449,G449*10,H449*10, I449/10, J449,0)*10</f>
        <v>0</v>
      </c>
      <c r="N449" s="119">
        <v>489</v>
      </c>
      <c r="O449" s="120" t="str">
        <f t="shared" si="82"/>
        <v>NG</v>
      </c>
    </row>
    <row r="450" spans="3:15" x14ac:dyDescent="0.15">
      <c r="C450" s="52">
        <f t="shared" si="75"/>
        <v>500</v>
      </c>
      <c r="D450" s="35">
        <f t="shared" si="76"/>
        <v>190</v>
      </c>
      <c r="E450" s="28" t="str">
        <f t="shared" si="77"/>
        <v>6-D19</v>
      </c>
      <c r="F450" s="112">
        <f t="shared" si="78"/>
        <v>1721.9999313354492</v>
      </c>
      <c r="G450" s="112">
        <f t="shared" si="79"/>
        <v>14</v>
      </c>
      <c r="H450" s="112">
        <f t="shared" si="80"/>
        <v>345</v>
      </c>
      <c r="I450" s="111">
        <f t="shared" si="66"/>
        <v>6640</v>
      </c>
      <c r="J450" s="112">
        <f t="shared" si="81"/>
        <v>15</v>
      </c>
      <c r="K450" s="123">
        <f>[2]!RcCMaC(C450/10,D450/10,E450,G450*10,H450*10, I450/10, J450,3)</f>
        <v>180.00000498545322</v>
      </c>
      <c r="L450" s="47">
        <f>[2]!RcCMaC(C450/10,D450/10,E450,G450*10,H450*10,I450/10,J450,4)</f>
        <v>57.939743400844101</v>
      </c>
      <c r="M450" s="48">
        <f>[2]!RcCMaC(C450/10,D450/10,E450,G450*10,H450*10, I450/10, J450,0)*10</f>
        <v>0</v>
      </c>
      <c r="N450" s="119">
        <v>490</v>
      </c>
      <c r="O450" s="120" t="str">
        <f t="shared" si="82"/>
        <v>NG</v>
      </c>
    </row>
    <row r="451" spans="3:15" x14ac:dyDescent="0.15">
      <c r="C451" s="52">
        <f t="shared" si="75"/>
        <v>500</v>
      </c>
      <c r="D451" s="35">
        <f t="shared" si="76"/>
        <v>190</v>
      </c>
      <c r="E451" s="28" t="str">
        <f t="shared" si="77"/>
        <v>6-D19</v>
      </c>
      <c r="F451" s="112">
        <f t="shared" si="78"/>
        <v>1721.9999313354492</v>
      </c>
      <c r="G451" s="112">
        <f t="shared" si="79"/>
        <v>14</v>
      </c>
      <c r="H451" s="112">
        <f t="shared" si="80"/>
        <v>345</v>
      </c>
      <c r="I451" s="111">
        <f t="shared" si="66"/>
        <v>6650</v>
      </c>
      <c r="J451" s="112">
        <f t="shared" si="81"/>
        <v>15</v>
      </c>
      <c r="K451" s="123">
        <f>[2]!RcCMaC(C451/10,D451/10,E451,G451*10,H451*10, I451/10, J451,3)</f>
        <v>180.00000498545322</v>
      </c>
      <c r="L451" s="47">
        <f>[2]!RcCMaC(C451/10,D451/10,E451,G451*10,H451*10,I451/10,J451,4)</f>
        <v>57.939743400844101</v>
      </c>
      <c r="M451" s="48">
        <f>[2]!RcCMaC(C451/10,D451/10,E451,G451*10,H451*10, I451/10, J451,0)*10</f>
        <v>0</v>
      </c>
      <c r="N451" s="119">
        <v>491</v>
      </c>
      <c r="O451" s="120" t="str">
        <f t="shared" si="82"/>
        <v>NG</v>
      </c>
    </row>
    <row r="452" spans="3:15" x14ac:dyDescent="0.15">
      <c r="C452" s="52">
        <f t="shared" si="75"/>
        <v>500</v>
      </c>
      <c r="D452" s="35">
        <f t="shared" si="76"/>
        <v>190</v>
      </c>
      <c r="E452" s="28" t="str">
        <f t="shared" si="77"/>
        <v>6-D19</v>
      </c>
      <c r="F452" s="112">
        <f t="shared" si="78"/>
        <v>1721.9999313354492</v>
      </c>
      <c r="G452" s="112">
        <f t="shared" si="79"/>
        <v>14</v>
      </c>
      <c r="H452" s="112">
        <f t="shared" si="80"/>
        <v>345</v>
      </c>
      <c r="I452" s="111">
        <f t="shared" si="66"/>
        <v>6660</v>
      </c>
      <c r="J452" s="112">
        <f t="shared" si="81"/>
        <v>15</v>
      </c>
      <c r="K452" s="123">
        <f>[2]!RcCMaC(C452/10,D452/10,E452,G452*10,H452*10, I452/10, J452,3)</f>
        <v>180.00000498545322</v>
      </c>
      <c r="L452" s="47">
        <f>[2]!RcCMaC(C452/10,D452/10,E452,G452*10,H452*10,I452/10,J452,4)</f>
        <v>57.939743400844101</v>
      </c>
      <c r="M452" s="48">
        <f>[2]!RcCMaC(C452/10,D452/10,E452,G452*10,H452*10, I452/10, J452,0)*10</f>
        <v>0</v>
      </c>
      <c r="N452" s="119">
        <v>492</v>
      </c>
      <c r="O452" s="120" t="str">
        <f t="shared" si="82"/>
        <v>NG</v>
      </c>
    </row>
    <row r="453" spans="3:15" x14ac:dyDescent="0.15">
      <c r="C453" s="52">
        <f t="shared" si="75"/>
        <v>500</v>
      </c>
      <c r="D453" s="35">
        <f t="shared" si="76"/>
        <v>190</v>
      </c>
      <c r="E453" s="28" t="str">
        <f t="shared" si="77"/>
        <v>6-D19</v>
      </c>
      <c r="F453" s="112">
        <f t="shared" si="78"/>
        <v>1721.9999313354492</v>
      </c>
      <c r="G453" s="112">
        <f t="shared" si="79"/>
        <v>14</v>
      </c>
      <c r="H453" s="112">
        <f t="shared" si="80"/>
        <v>345</v>
      </c>
      <c r="I453" s="111">
        <f t="shared" si="66"/>
        <v>6670</v>
      </c>
      <c r="J453" s="112">
        <f t="shared" si="81"/>
        <v>15</v>
      </c>
      <c r="K453" s="123">
        <f>[2]!RcCMaC(C453/10,D453/10,E453,G453*10,H453*10, I453/10, J453,3)</f>
        <v>180.00000498545322</v>
      </c>
      <c r="L453" s="47">
        <f>[2]!RcCMaC(C453/10,D453/10,E453,G453*10,H453*10,I453/10,J453,4)</f>
        <v>57.939743400844101</v>
      </c>
      <c r="M453" s="48">
        <f>[2]!RcCMaC(C453/10,D453/10,E453,G453*10,H453*10, I453/10, J453,0)*10</f>
        <v>0</v>
      </c>
      <c r="N453" s="119">
        <v>493</v>
      </c>
      <c r="O453" s="120" t="str">
        <f t="shared" si="82"/>
        <v>NG</v>
      </c>
    </row>
    <row r="454" spans="3:15" x14ac:dyDescent="0.15">
      <c r="C454" s="52">
        <f t="shared" si="75"/>
        <v>500</v>
      </c>
      <c r="D454" s="35">
        <f t="shared" si="76"/>
        <v>190</v>
      </c>
      <c r="E454" s="28" t="str">
        <f t="shared" si="77"/>
        <v>6-D19</v>
      </c>
      <c r="F454" s="112">
        <f t="shared" si="78"/>
        <v>1721.9999313354492</v>
      </c>
      <c r="G454" s="112">
        <f t="shared" si="79"/>
        <v>14</v>
      </c>
      <c r="H454" s="112">
        <f t="shared" si="80"/>
        <v>345</v>
      </c>
      <c r="I454" s="111">
        <f t="shared" si="66"/>
        <v>6680</v>
      </c>
      <c r="J454" s="112">
        <f t="shared" si="81"/>
        <v>15</v>
      </c>
      <c r="K454" s="123">
        <f>[2]!RcCMaC(C454/10,D454/10,E454,G454*10,H454*10, I454/10, J454,3)</f>
        <v>180.00000498545322</v>
      </c>
      <c r="L454" s="47">
        <f>[2]!RcCMaC(C454/10,D454/10,E454,G454*10,H454*10,I454/10,J454,4)</f>
        <v>57.939743400844101</v>
      </c>
      <c r="M454" s="48">
        <f>[2]!RcCMaC(C454/10,D454/10,E454,G454*10,H454*10, I454/10, J454,0)*10</f>
        <v>0</v>
      </c>
      <c r="N454" s="119">
        <v>494</v>
      </c>
      <c r="O454" s="120" t="str">
        <f t="shared" si="82"/>
        <v>NG</v>
      </c>
    </row>
    <row r="455" spans="3:15" x14ac:dyDescent="0.15">
      <c r="C455" s="52">
        <f t="shared" si="75"/>
        <v>500</v>
      </c>
      <c r="D455" s="35">
        <f t="shared" si="76"/>
        <v>190</v>
      </c>
      <c r="E455" s="28" t="str">
        <f t="shared" si="77"/>
        <v>6-D19</v>
      </c>
      <c r="F455" s="112">
        <f t="shared" si="78"/>
        <v>1721.9999313354492</v>
      </c>
      <c r="G455" s="112">
        <f t="shared" si="79"/>
        <v>14</v>
      </c>
      <c r="H455" s="112">
        <f t="shared" si="80"/>
        <v>345</v>
      </c>
      <c r="I455" s="111">
        <f t="shared" ref="I455:I518" si="83">+I454+10</f>
        <v>6690</v>
      </c>
      <c r="J455" s="112">
        <f t="shared" si="81"/>
        <v>15</v>
      </c>
      <c r="K455" s="123">
        <f>[2]!RcCMaC(C455/10,D455/10,E455,G455*10,H455*10, I455/10, J455,3)</f>
        <v>180.00000498545322</v>
      </c>
      <c r="L455" s="47">
        <f>[2]!RcCMaC(C455/10,D455/10,E455,G455*10,H455*10,I455/10,J455,4)</f>
        <v>57.939743400844101</v>
      </c>
      <c r="M455" s="48">
        <f>[2]!RcCMaC(C455/10,D455/10,E455,G455*10,H455*10, I455/10, J455,0)*10</f>
        <v>0</v>
      </c>
      <c r="N455" s="119">
        <v>495</v>
      </c>
      <c r="O455" s="120" t="str">
        <f t="shared" si="82"/>
        <v>NG</v>
      </c>
    </row>
    <row r="456" spans="3:15" x14ac:dyDescent="0.15">
      <c r="C456" s="52">
        <f t="shared" si="75"/>
        <v>500</v>
      </c>
      <c r="D456" s="35">
        <f t="shared" si="76"/>
        <v>190</v>
      </c>
      <c r="E456" s="28" t="str">
        <f t="shared" si="77"/>
        <v>6-D19</v>
      </c>
      <c r="F456" s="112">
        <f t="shared" si="78"/>
        <v>1721.9999313354492</v>
      </c>
      <c r="G456" s="112">
        <f t="shared" si="79"/>
        <v>14</v>
      </c>
      <c r="H456" s="112">
        <f t="shared" si="80"/>
        <v>345</v>
      </c>
      <c r="I456" s="111">
        <f t="shared" si="83"/>
        <v>6700</v>
      </c>
      <c r="J456" s="112">
        <f t="shared" si="81"/>
        <v>15</v>
      </c>
      <c r="K456" s="123">
        <f>[2]!RcCMaC(C456/10,D456/10,E456,G456*10,H456*10, I456/10, J456,3)</f>
        <v>180.00000498545322</v>
      </c>
      <c r="L456" s="47">
        <f>[2]!RcCMaC(C456/10,D456/10,E456,G456*10,H456*10,I456/10,J456,4)</f>
        <v>57.939743400844101</v>
      </c>
      <c r="M456" s="48">
        <f>[2]!RcCMaC(C456/10,D456/10,E456,G456*10,H456*10, I456/10, J456,0)*10</f>
        <v>0</v>
      </c>
      <c r="N456" s="119">
        <v>496</v>
      </c>
      <c r="O456" s="120" t="str">
        <f t="shared" si="82"/>
        <v>NG</v>
      </c>
    </row>
    <row r="457" spans="3:15" x14ac:dyDescent="0.15">
      <c r="C457" s="52">
        <f t="shared" si="75"/>
        <v>500</v>
      </c>
      <c r="D457" s="35">
        <f t="shared" si="76"/>
        <v>190</v>
      </c>
      <c r="E457" s="28" t="str">
        <f t="shared" si="77"/>
        <v>6-D19</v>
      </c>
      <c r="F457" s="112">
        <f t="shared" si="78"/>
        <v>1721.9999313354492</v>
      </c>
      <c r="G457" s="112">
        <f t="shared" si="79"/>
        <v>14</v>
      </c>
      <c r="H457" s="112">
        <f t="shared" si="80"/>
        <v>345</v>
      </c>
      <c r="I457" s="111">
        <f t="shared" si="83"/>
        <v>6710</v>
      </c>
      <c r="J457" s="112">
        <f t="shared" si="81"/>
        <v>15</v>
      </c>
      <c r="K457" s="123">
        <f>[2]!RcCMaC(C457/10,D457/10,E457,G457*10,H457*10, I457/10, J457,3)</f>
        <v>180.00000498545322</v>
      </c>
      <c r="L457" s="47">
        <f>[2]!RcCMaC(C457/10,D457/10,E457,G457*10,H457*10,I457/10,J457,4)</f>
        <v>57.939743400844101</v>
      </c>
      <c r="M457" s="48">
        <f>[2]!RcCMaC(C457/10,D457/10,E457,G457*10,H457*10, I457/10, J457,0)*10</f>
        <v>0</v>
      </c>
      <c r="N457" s="119">
        <v>497</v>
      </c>
      <c r="O457" s="120" t="str">
        <f t="shared" si="82"/>
        <v>NG</v>
      </c>
    </row>
    <row r="458" spans="3:15" x14ac:dyDescent="0.15">
      <c r="C458" s="52">
        <f t="shared" si="75"/>
        <v>500</v>
      </c>
      <c r="D458" s="35">
        <f t="shared" si="76"/>
        <v>190</v>
      </c>
      <c r="E458" s="28" t="str">
        <f t="shared" si="77"/>
        <v>6-D19</v>
      </c>
      <c r="F458" s="112">
        <f t="shared" si="78"/>
        <v>1721.9999313354492</v>
      </c>
      <c r="G458" s="112">
        <f t="shared" si="79"/>
        <v>14</v>
      </c>
      <c r="H458" s="112">
        <f t="shared" si="80"/>
        <v>345</v>
      </c>
      <c r="I458" s="111">
        <f t="shared" si="83"/>
        <v>6720</v>
      </c>
      <c r="J458" s="112">
        <f t="shared" si="81"/>
        <v>15</v>
      </c>
      <c r="K458" s="123">
        <f>[2]!RcCMaC(C458/10,D458/10,E458,G458*10,H458*10, I458/10, J458,3)</f>
        <v>180.00000498545322</v>
      </c>
      <c r="L458" s="47">
        <f>[2]!RcCMaC(C458/10,D458/10,E458,G458*10,H458*10,I458/10,J458,4)</f>
        <v>57.939743400844101</v>
      </c>
      <c r="M458" s="48">
        <f>[2]!RcCMaC(C458/10,D458/10,E458,G458*10,H458*10, I458/10, J458,0)*10</f>
        <v>0</v>
      </c>
      <c r="N458" s="119">
        <v>498</v>
      </c>
      <c r="O458" s="120" t="str">
        <f t="shared" si="82"/>
        <v>NG</v>
      </c>
    </row>
    <row r="459" spans="3:15" x14ac:dyDescent="0.15">
      <c r="C459" s="52">
        <f t="shared" si="75"/>
        <v>500</v>
      </c>
      <c r="D459" s="35">
        <f t="shared" si="76"/>
        <v>190</v>
      </c>
      <c r="E459" s="28" t="str">
        <f t="shared" si="77"/>
        <v>6-D19</v>
      </c>
      <c r="F459" s="112">
        <f t="shared" si="78"/>
        <v>1721.9999313354492</v>
      </c>
      <c r="G459" s="112">
        <f t="shared" si="79"/>
        <v>14</v>
      </c>
      <c r="H459" s="112">
        <f t="shared" si="80"/>
        <v>345</v>
      </c>
      <c r="I459" s="111">
        <f t="shared" si="83"/>
        <v>6730</v>
      </c>
      <c r="J459" s="112">
        <f t="shared" si="81"/>
        <v>15</v>
      </c>
      <c r="K459" s="123">
        <f>[2]!RcCMaC(C459/10,D459/10,E459,G459*10,H459*10, I459/10, J459,3)</f>
        <v>180.00000498545322</v>
      </c>
      <c r="L459" s="47">
        <f>[2]!RcCMaC(C459/10,D459/10,E459,G459*10,H459*10,I459/10,J459,4)</f>
        <v>57.939743400844101</v>
      </c>
      <c r="M459" s="48">
        <f>[2]!RcCMaC(C459/10,D459/10,E459,G459*10,H459*10, I459/10, J459,0)*10</f>
        <v>0</v>
      </c>
      <c r="N459" s="119">
        <v>499</v>
      </c>
      <c r="O459" s="120" t="str">
        <f t="shared" si="82"/>
        <v>NG</v>
      </c>
    </row>
    <row r="460" spans="3:15" x14ac:dyDescent="0.15">
      <c r="C460" s="52">
        <f t="shared" si="75"/>
        <v>500</v>
      </c>
      <c r="D460" s="35">
        <f t="shared" si="76"/>
        <v>190</v>
      </c>
      <c r="E460" s="28" t="str">
        <f t="shared" si="77"/>
        <v>6-D19</v>
      </c>
      <c r="F460" s="112">
        <f t="shared" si="78"/>
        <v>1721.9999313354492</v>
      </c>
      <c r="G460" s="112">
        <f t="shared" si="79"/>
        <v>14</v>
      </c>
      <c r="H460" s="112">
        <f t="shared" si="80"/>
        <v>345</v>
      </c>
      <c r="I460" s="111">
        <f t="shared" si="83"/>
        <v>6740</v>
      </c>
      <c r="J460" s="112">
        <f t="shared" si="81"/>
        <v>15</v>
      </c>
      <c r="K460" s="123">
        <f>[2]!RcCMaC(C460/10,D460/10,E460,G460*10,H460*10, I460/10, J460,3)</f>
        <v>180.00000498545322</v>
      </c>
      <c r="L460" s="47">
        <f>[2]!RcCMaC(C460/10,D460/10,E460,G460*10,H460*10,I460/10,J460,4)</f>
        <v>57.939743400844101</v>
      </c>
      <c r="M460" s="48">
        <f>[2]!RcCMaC(C460/10,D460/10,E460,G460*10,H460*10, I460/10, J460,0)*10</f>
        <v>0</v>
      </c>
      <c r="N460" s="119">
        <v>500</v>
      </c>
      <c r="O460" s="120" t="str">
        <f t="shared" si="82"/>
        <v>NG</v>
      </c>
    </row>
    <row r="461" spans="3:15" x14ac:dyDescent="0.15">
      <c r="C461" s="52">
        <f t="shared" si="75"/>
        <v>500</v>
      </c>
      <c r="D461" s="35">
        <f t="shared" si="76"/>
        <v>190</v>
      </c>
      <c r="E461" s="28" t="str">
        <f t="shared" si="77"/>
        <v>6-D19</v>
      </c>
      <c r="F461" s="112">
        <f t="shared" si="78"/>
        <v>1721.9999313354492</v>
      </c>
      <c r="G461" s="112">
        <f t="shared" si="79"/>
        <v>14</v>
      </c>
      <c r="H461" s="112">
        <f t="shared" si="80"/>
        <v>345</v>
      </c>
      <c r="I461" s="111">
        <f t="shared" si="83"/>
        <v>6750</v>
      </c>
      <c r="J461" s="112">
        <f t="shared" si="81"/>
        <v>15</v>
      </c>
      <c r="K461" s="123">
        <f>[2]!RcCMaC(C461/10,D461/10,E461,G461*10,H461*10, I461/10, J461,3)</f>
        <v>180.00000498545322</v>
      </c>
      <c r="L461" s="47">
        <f>[2]!RcCMaC(C461/10,D461/10,E461,G461*10,H461*10,I461/10,J461,4)</f>
        <v>57.939743400844101</v>
      </c>
      <c r="M461" s="48">
        <f>[2]!RcCMaC(C461/10,D461/10,E461,G461*10,H461*10, I461/10, J461,0)*10</f>
        <v>0</v>
      </c>
      <c r="N461" s="119">
        <v>501</v>
      </c>
      <c r="O461" s="120" t="str">
        <f t="shared" si="82"/>
        <v>NG</v>
      </c>
    </row>
    <row r="462" spans="3:15" x14ac:dyDescent="0.15">
      <c r="C462" s="52">
        <f t="shared" si="75"/>
        <v>500</v>
      </c>
      <c r="D462" s="35">
        <f t="shared" si="76"/>
        <v>190</v>
      </c>
      <c r="E462" s="28" t="str">
        <f t="shared" si="77"/>
        <v>6-D19</v>
      </c>
      <c r="F462" s="112">
        <f t="shared" si="78"/>
        <v>1721.9999313354492</v>
      </c>
      <c r="G462" s="112">
        <f t="shared" si="79"/>
        <v>14</v>
      </c>
      <c r="H462" s="112">
        <f t="shared" si="80"/>
        <v>345</v>
      </c>
      <c r="I462" s="111">
        <f t="shared" si="83"/>
        <v>6760</v>
      </c>
      <c r="J462" s="112">
        <f t="shared" si="81"/>
        <v>15</v>
      </c>
      <c r="K462" s="123">
        <f>[2]!RcCMaC(C462/10,D462/10,E462,G462*10,H462*10, I462/10, J462,3)</f>
        <v>180.00000498545322</v>
      </c>
      <c r="L462" s="47">
        <f>[2]!RcCMaC(C462/10,D462/10,E462,G462*10,H462*10,I462/10,J462,4)</f>
        <v>57.939743400844101</v>
      </c>
      <c r="M462" s="48">
        <f>[2]!RcCMaC(C462/10,D462/10,E462,G462*10,H462*10, I462/10, J462,0)*10</f>
        <v>0</v>
      </c>
      <c r="N462" s="119">
        <v>502</v>
      </c>
      <c r="O462" s="120" t="str">
        <f t="shared" si="82"/>
        <v>NG</v>
      </c>
    </row>
    <row r="463" spans="3:15" x14ac:dyDescent="0.15">
      <c r="C463" s="52">
        <f t="shared" si="75"/>
        <v>500</v>
      </c>
      <c r="D463" s="35">
        <f t="shared" si="76"/>
        <v>190</v>
      </c>
      <c r="E463" s="28" t="str">
        <f t="shared" si="77"/>
        <v>6-D19</v>
      </c>
      <c r="F463" s="112">
        <f t="shared" si="78"/>
        <v>1721.9999313354492</v>
      </c>
      <c r="G463" s="112">
        <f t="shared" si="79"/>
        <v>14</v>
      </c>
      <c r="H463" s="112">
        <f t="shared" si="80"/>
        <v>345</v>
      </c>
      <c r="I463" s="111">
        <f t="shared" si="83"/>
        <v>6770</v>
      </c>
      <c r="J463" s="112">
        <f t="shared" si="81"/>
        <v>15</v>
      </c>
      <c r="K463" s="123">
        <f>[2]!RcCMaC(C463/10,D463/10,E463,G463*10,H463*10, I463/10, J463,3)</f>
        <v>180.00000498545322</v>
      </c>
      <c r="L463" s="47">
        <f>[2]!RcCMaC(C463/10,D463/10,E463,G463*10,H463*10,I463/10,J463,4)</f>
        <v>57.939743400844101</v>
      </c>
      <c r="M463" s="48">
        <f>[2]!RcCMaC(C463/10,D463/10,E463,G463*10,H463*10, I463/10, J463,0)*10</f>
        <v>0</v>
      </c>
      <c r="N463" s="119">
        <v>503</v>
      </c>
      <c r="O463" s="120" t="str">
        <f t="shared" si="82"/>
        <v>NG</v>
      </c>
    </row>
    <row r="464" spans="3:15" x14ac:dyDescent="0.15">
      <c r="C464" s="52">
        <f t="shared" si="75"/>
        <v>500</v>
      </c>
      <c r="D464" s="35">
        <f t="shared" si="76"/>
        <v>190</v>
      </c>
      <c r="E464" s="28" t="str">
        <f t="shared" si="77"/>
        <v>6-D19</v>
      </c>
      <c r="F464" s="112">
        <f t="shared" si="78"/>
        <v>1721.9999313354492</v>
      </c>
      <c r="G464" s="112">
        <f t="shared" si="79"/>
        <v>14</v>
      </c>
      <c r="H464" s="112">
        <f t="shared" si="80"/>
        <v>345</v>
      </c>
      <c r="I464" s="111">
        <f t="shared" si="83"/>
        <v>6780</v>
      </c>
      <c r="J464" s="112">
        <f t="shared" si="81"/>
        <v>15</v>
      </c>
      <c r="K464" s="123">
        <f>[2]!RcCMaC(C464/10,D464/10,E464,G464*10,H464*10, I464/10, J464,3)</f>
        <v>180.00000498545322</v>
      </c>
      <c r="L464" s="47">
        <f>[2]!RcCMaC(C464/10,D464/10,E464,G464*10,H464*10,I464/10,J464,4)</f>
        <v>57.939743400844101</v>
      </c>
      <c r="M464" s="48">
        <f>[2]!RcCMaC(C464/10,D464/10,E464,G464*10,H464*10, I464/10, J464,0)*10</f>
        <v>0</v>
      </c>
      <c r="N464" s="119">
        <v>504</v>
      </c>
      <c r="O464" s="120" t="str">
        <f t="shared" si="82"/>
        <v>NG</v>
      </c>
    </row>
    <row r="465" spans="3:15" x14ac:dyDescent="0.15">
      <c r="C465" s="52">
        <f t="shared" si="75"/>
        <v>500</v>
      </c>
      <c r="D465" s="35">
        <f t="shared" si="76"/>
        <v>190</v>
      </c>
      <c r="E465" s="28" t="str">
        <f t="shared" si="77"/>
        <v>6-D19</v>
      </c>
      <c r="F465" s="112">
        <f t="shared" si="78"/>
        <v>1721.9999313354492</v>
      </c>
      <c r="G465" s="112">
        <f t="shared" si="79"/>
        <v>14</v>
      </c>
      <c r="H465" s="112">
        <f t="shared" si="80"/>
        <v>345</v>
      </c>
      <c r="I465" s="111">
        <f t="shared" si="83"/>
        <v>6790</v>
      </c>
      <c r="J465" s="112">
        <f t="shared" si="81"/>
        <v>15</v>
      </c>
      <c r="K465" s="123">
        <f>[2]!RcCMaC(C465/10,D465/10,E465,G465*10,H465*10, I465/10, J465,3)</f>
        <v>180.00000498545322</v>
      </c>
      <c r="L465" s="47">
        <f>[2]!RcCMaC(C465/10,D465/10,E465,G465*10,H465*10,I465/10,J465,4)</f>
        <v>57.939743400844101</v>
      </c>
      <c r="M465" s="48">
        <f>[2]!RcCMaC(C465/10,D465/10,E465,G465*10,H465*10, I465/10, J465,0)*10</f>
        <v>0</v>
      </c>
      <c r="N465" s="119">
        <v>505</v>
      </c>
      <c r="O465" s="120" t="str">
        <f t="shared" si="82"/>
        <v>NG</v>
      </c>
    </row>
    <row r="466" spans="3:15" x14ac:dyDescent="0.15">
      <c r="C466" s="52">
        <f t="shared" si="75"/>
        <v>500</v>
      </c>
      <c r="D466" s="35">
        <f t="shared" si="76"/>
        <v>190</v>
      </c>
      <c r="E466" s="28" t="str">
        <f t="shared" si="77"/>
        <v>6-D19</v>
      </c>
      <c r="F466" s="112">
        <f t="shared" si="78"/>
        <v>1721.9999313354492</v>
      </c>
      <c r="G466" s="112">
        <f t="shared" si="79"/>
        <v>14</v>
      </c>
      <c r="H466" s="112">
        <f t="shared" si="80"/>
        <v>345</v>
      </c>
      <c r="I466" s="111">
        <f t="shared" si="83"/>
        <v>6800</v>
      </c>
      <c r="J466" s="112">
        <f t="shared" si="81"/>
        <v>15</v>
      </c>
      <c r="K466" s="123">
        <f>[2]!RcCMaC(C466/10,D466/10,E466,G466*10,H466*10, I466/10, J466,3)</f>
        <v>180.00000498545322</v>
      </c>
      <c r="L466" s="47">
        <f>[2]!RcCMaC(C466/10,D466/10,E466,G466*10,H466*10,I466/10,J466,4)</f>
        <v>57.939743400844101</v>
      </c>
      <c r="M466" s="48">
        <f>[2]!RcCMaC(C466/10,D466/10,E466,G466*10,H466*10, I466/10, J466,0)*10</f>
        <v>0</v>
      </c>
      <c r="N466" s="119">
        <v>506</v>
      </c>
      <c r="O466" s="120" t="str">
        <f t="shared" si="82"/>
        <v>NG</v>
      </c>
    </row>
    <row r="467" spans="3:15" x14ac:dyDescent="0.15">
      <c r="C467" s="52">
        <f t="shared" si="75"/>
        <v>500</v>
      </c>
      <c r="D467" s="35">
        <f t="shared" si="76"/>
        <v>190</v>
      </c>
      <c r="E467" s="28" t="str">
        <f t="shared" si="77"/>
        <v>6-D19</v>
      </c>
      <c r="F467" s="112">
        <f t="shared" si="78"/>
        <v>1721.9999313354492</v>
      </c>
      <c r="G467" s="112">
        <f t="shared" si="79"/>
        <v>14</v>
      </c>
      <c r="H467" s="112">
        <f t="shared" si="80"/>
        <v>345</v>
      </c>
      <c r="I467" s="111">
        <f t="shared" si="83"/>
        <v>6810</v>
      </c>
      <c r="J467" s="112">
        <f t="shared" si="81"/>
        <v>15</v>
      </c>
      <c r="K467" s="123">
        <f>[2]!RcCMaC(C467/10,D467/10,E467,G467*10,H467*10, I467/10, J467,3)</f>
        <v>180.00000498545322</v>
      </c>
      <c r="L467" s="47">
        <f>[2]!RcCMaC(C467/10,D467/10,E467,G467*10,H467*10,I467/10,J467,4)</f>
        <v>57.939743400844101</v>
      </c>
      <c r="M467" s="48">
        <f>[2]!RcCMaC(C467/10,D467/10,E467,G467*10,H467*10, I467/10, J467,0)*10</f>
        <v>0</v>
      </c>
      <c r="N467" s="119">
        <v>507</v>
      </c>
      <c r="O467" s="120" t="str">
        <f t="shared" si="82"/>
        <v>NG</v>
      </c>
    </row>
    <row r="468" spans="3:15" x14ac:dyDescent="0.15">
      <c r="C468" s="52">
        <f t="shared" si="75"/>
        <v>500</v>
      </c>
      <c r="D468" s="35">
        <f t="shared" si="76"/>
        <v>190</v>
      </c>
      <c r="E468" s="28" t="str">
        <f t="shared" si="77"/>
        <v>6-D19</v>
      </c>
      <c r="F468" s="112">
        <f t="shared" si="78"/>
        <v>1721.9999313354492</v>
      </c>
      <c r="G468" s="112">
        <f t="shared" si="79"/>
        <v>14</v>
      </c>
      <c r="H468" s="112">
        <f t="shared" si="80"/>
        <v>345</v>
      </c>
      <c r="I468" s="111">
        <f t="shared" si="83"/>
        <v>6820</v>
      </c>
      <c r="J468" s="112">
        <f t="shared" si="81"/>
        <v>15</v>
      </c>
      <c r="K468" s="123">
        <f>[2]!RcCMaC(C468/10,D468/10,E468,G468*10,H468*10, I468/10, J468,3)</f>
        <v>180.00000498545322</v>
      </c>
      <c r="L468" s="47">
        <f>[2]!RcCMaC(C468/10,D468/10,E468,G468*10,H468*10,I468/10,J468,4)</f>
        <v>57.939743400844101</v>
      </c>
      <c r="M468" s="48">
        <f>[2]!RcCMaC(C468/10,D468/10,E468,G468*10,H468*10, I468/10, J468,0)*10</f>
        <v>0</v>
      </c>
      <c r="N468" s="119">
        <v>508</v>
      </c>
      <c r="O468" s="120" t="str">
        <f t="shared" si="82"/>
        <v>NG</v>
      </c>
    </row>
    <row r="469" spans="3:15" x14ac:dyDescent="0.15">
      <c r="C469" s="52">
        <f t="shared" si="75"/>
        <v>500</v>
      </c>
      <c r="D469" s="35">
        <f t="shared" si="76"/>
        <v>190</v>
      </c>
      <c r="E469" s="28" t="str">
        <f t="shared" si="77"/>
        <v>6-D19</v>
      </c>
      <c r="F469" s="112">
        <f t="shared" si="78"/>
        <v>1721.9999313354492</v>
      </c>
      <c r="G469" s="112">
        <f t="shared" si="79"/>
        <v>14</v>
      </c>
      <c r="H469" s="112">
        <f t="shared" si="80"/>
        <v>345</v>
      </c>
      <c r="I469" s="111">
        <f t="shared" si="83"/>
        <v>6830</v>
      </c>
      <c r="J469" s="112">
        <f t="shared" si="81"/>
        <v>15</v>
      </c>
      <c r="K469" s="123">
        <f>[2]!RcCMaC(C469/10,D469/10,E469,G469*10,H469*10, I469/10, J469,3)</f>
        <v>180.00000498545322</v>
      </c>
      <c r="L469" s="47">
        <f>[2]!RcCMaC(C469/10,D469/10,E469,G469*10,H469*10,I469/10,J469,4)</f>
        <v>57.939743400844101</v>
      </c>
      <c r="M469" s="48">
        <f>[2]!RcCMaC(C469/10,D469/10,E469,G469*10,H469*10, I469/10, J469,0)*10</f>
        <v>0</v>
      </c>
      <c r="N469" s="119">
        <v>509</v>
      </c>
      <c r="O469" s="120" t="str">
        <f t="shared" si="82"/>
        <v>NG</v>
      </c>
    </row>
    <row r="470" spans="3:15" x14ac:dyDescent="0.15">
      <c r="C470" s="52">
        <f t="shared" si="75"/>
        <v>500</v>
      </c>
      <c r="D470" s="35">
        <f t="shared" si="76"/>
        <v>190</v>
      </c>
      <c r="E470" s="28" t="str">
        <f t="shared" si="77"/>
        <v>6-D19</v>
      </c>
      <c r="F470" s="112">
        <f t="shared" si="78"/>
        <v>1721.9999313354492</v>
      </c>
      <c r="G470" s="112">
        <f t="shared" si="79"/>
        <v>14</v>
      </c>
      <c r="H470" s="112">
        <f t="shared" si="80"/>
        <v>345</v>
      </c>
      <c r="I470" s="111">
        <f t="shared" si="83"/>
        <v>6840</v>
      </c>
      <c r="J470" s="112">
        <f t="shared" si="81"/>
        <v>15</v>
      </c>
      <c r="K470" s="123">
        <f>[2]!RcCMaC(C470/10,D470/10,E470,G470*10,H470*10, I470/10, J470,3)</f>
        <v>180.00000498545322</v>
      </c>
      <c r="L470" s="47">
        <f>[2]!RcCMaC(C470/10,D470/10,E470,G470*10,H470*10,I470/10,J470,4)</f>
        <v>57.939743400844101</v>
      </c>
      <c r="M470" s="48">
        <f>[2]!RcCMaC(C470/10,D470/10,E470,G470*10,H470*10, I470/10, J470,0)*10</f>
        <v>0</v>
      </c>
      <c r="N470" s="119">
        <v>510</v>
      </c>
      <c r="O470" s="120" t="str">
        <f t="shared" si="82"/>
        <v>NG</v>
      </c>
    </row>
    <row r="471" spans="3:15" x14ac:dyDescent="0.15">
      <c r="C471" s="52">
        <f t="shared" si="75"/>
        <v>500</v>
      </c>
      <c r="D471" s="35">
        <f t="shared" si="76"/>
        <v>190</v>
      </c>
      <c r="E471" s="28" t="str">
        <f t="shared" si="77"/>
        <v>6-D19</v>
      </c>
      <c r="F471" s="112">
        <f t="shared" si="78"/>
        <v>1721.9999313354492</v>
      </c>
      <c r="G471" s="112">
        <f t="shared" si="79"/>
        <v>14</v>
      </c>
      <c r="H471" s="112">
        <f t="shared" si="80"/>
        <v>345</v>
      </c>
      <c r="I471" s="111">
        <f t="shared" si="83"/>
        <v>6850</v>
      </c>
      <c r="J471" s="112">
        <f t="shared" si="81"/>
        <v>15</v>
      </c>
      <c r="K471" s="123">
        <f>[2]!RcCMaC(C471/10,D471/10,E471,G471*10,H471*10, I471/10, J471,3)</f>
        <v>180.00000498545322</v>
      </c>
      <c r="L471" s="47">
        <f>[2]!RcCMaC(C471/10,D471/10,E471,G471*10,H471*10,I471/10,J471,4)</f>
        <v>57.939743400844101</v>
      </c>
      <c r="M471" s="48">
        <f>[2]!RcCMaC(C471/10,D471/10,E471,G471*10,H471*10, I471/10, J471,0)*10</f>
        <v>0</v>
      </c>
      <c r="N471" s="119">
        <v>511</v>
      </c>
      <c r="O471" s="120" t="str">
        <f t="shared" si="82"/>
        <v>NG</v>
      </c>
    </row>
    <row r="472" spans="3:15" x14ac:dyDescent="0.15">
      <c r="C472" s="52">
        <f t="shared" si="75"/>
        <v>500</v>
      </c>
      <c r="D472" s="35">
        <f t="shared" si="76"/>
        <v>190</v>
      </c>
      <c r="E472" s="28" t="str">
        <f t="shared" si="77"/>
        <v>6-D19</v>
      </c>
      <c r="F472" s="112">
        <f t="shared" si="78"/>
        <v>1721.9999313354492</v>
      </c>
      <c r="G472" s="112">
        <f t="shared" si="79"/>
        <v>14</v>
      </c>
      <c r="H472" s="112">
        <f t="shared" si="80"/>
        <v>345</v>
      </c>
      <c r="I472" s="111">
        <f t="shared" si="83"/>
        <v>6860</v>
      </c>
      <c r="J472" s="112">
        <f t="shared" si="81"/>
        <v>15</v>
      </c>
      <c r="K472" s="123">
        <f>[2]!RcCMaC(C472/10,D472/10,E472,G472*10,H472*10, I472/10, J472,3)</f>
        <v>180.00000498545322</v>
      </c>
      <c r="L472" s="47">
        <f>[2]!RcCMaC(C472/10,D472/10,E472,G472*10,H472*10,I472/10,J472,4)</f>
        <v>57.939743400844101</v>
      </c>
      <c r="M472" s="48">
        <f>[2]!RcCMaC(C472/10,D472/10,E472,G472*10,H472*10, I472/10, J472,0)*10</f>
        <v>0</v>
      </c>
      <c r="N472" s="119">
        <v>512</v>
      </c>
      <c r="O472" s="120" t="str">
        <f t="shared" si="82"/>
        <v>NG</v>
      </c>
    </row>
    <row r="473" spans="3:15" x14ac:dyDescent="0.15">
      <c r="C473" s="52">
        <f t="shared" si="75"/>
        <v>500</v>
      </c>
      <c r="D473" s="35">
        <f t="shared" si="76"/>
        <v>190</v>
      </c>
      <c r="E473" s="28" t="str">
        <f t="shared" si="77"/>
        <v>6-D19</v>
      </c>
      <c r="F473" s="112">
        <f t="shared" si="78"/>
        <v>1721.9999313354492</v>
      </c>
      <c r="G473" s="112">
        <f t="shared" si="79"/>
        <v>14</v>
      </c>
      <c r="H473" s="112">
        <f t="shared" si="80"/>
        <v>345</v>
      </c>
      <c r="I473" s="111">
        <f t="shared" si="83"/>
        <v>6870</v>
      </c>
      <c r="J473" s="112">
        <f t="shared" si="81"/>
        <v>15</v>
      </c>
      <c r="K473" s="123">
        <f>[2]!RcCMaC(C473/10,D473/10,E473,G473*10,H473*10, I473/10, J473,3)</f>
        <v>180.00000498545322</v>
      </c>
      <c r="L473" s="47">
        <f>[2]!RcCMaC(C473/10,D473/10,E473,G473*10,H473*10,I473/10,J473,4)</f>
        <v>57.939743400844101</v>
      </c>
      <c r="M473" s="48">
        <f>[2]!RcCMaC(C473/10,D473/10,E473,G473*10,H473*10, I473/10, J473,0)*10</f>
        <v>0</v>
      </c>
      <c r="N473" s="119">
        <v>513</v>
      </c>
      <c r="O473" s="120" t="str">
        <f t="shared" si="82"/>
        <v>NG</v>
      </c>
    </row>
    <row r="474" spans="3:15" x14ac:dyDescent="0.15">
      <c r="C474" s="52">
        <f t="shared" si="75"/>
        <v>500</v>
      </c>
      <c r="D474" s="35">
        <f t="shared" si="76"/>
        <v>190</v>
      </c>
      <c r="E474" s="28" t="str">
        <f t="shared" si="77"/>
        <v>6-D19</v>
      </c>
      <c r="F474" s="112">
        <f t="shared" si="78"/>
        <v>1721.9999313354492</v>
      </c>
      <c r="G474" s="112">
        <f t="shared" si="79"/>
        <v>14</v>
      </c>
      <c r="H474" s="112">
        <f t="shared" si="80"/>
        <v>345</v>
      </c>
      <c r="I474" s="111">
        <f t="shared" si="83"/>
        <v>6880</v>
      </c>
      <c r="J474" s="112">
        <f t="shared" si="81"/>
        <v>15</v>
      </c>
      <c r="K474" s="123">
        <f>[2]!RcCMaC(C474/10,D474/10,E474,G474*10,H474*10, I474/10, J474,3)</f>
        <v>180.00000498545322</v>
      </c>
      <c r="L474" s="47">
        <f>[2]!RcCMaC(C474/10,D474/10,E474,G474*10,H474*10,I474/10,J474,4)</f>
        <v>57.939743400844101</v>
      </c>
      <c r="M474" s="48">
        <f>[2]!RcCMaC(C474/10,D474/10,E474,G474*10,H474*10, I474/10, J474,0)*10</f>
        <v>0</v>
      </c>
      <c r="N474" s="119">
        <v>514</v>
      </c>
      <c r="O474" s="120" t="str">
        <f t="shared" si="82"/>
        <v>NG</v>
      </c>
    </row>
    <row r="475" spans="3:15" x14ac:dyDescent="0.15">
      <c r="C475" s="52">
        <f t="shared" si="75"/>
        <v>500</v>
      </c>
      <c r="D475" s="35">
        <f t="shared" si="76"/>
        <v>190</v>
      </c>
      <c r="E475" s="28" t="str">
        <f t="shared" si="77"/>
        <v>6-D19</v>
      </c>
      <c r="F475" s="112">
        <f t="shared" si="78"/>
        <v>1721.9999313354492</v>
      </c>
      <c r="G475" s="112">
        <f t="shared" si="79"/>
        <v>14</v>
      </c>
      <c r="H475" s="112">
        <f t="shared" si="80"/>
        <v>345</v>
      </c>
      <c r="I475" s="111">
        <f t="shared" si="83"/>
        <v>6890</v>
      </c>
      <c r="J475" s="112">
        <f t="shared" si="81"/>
        <v>15</v>
      </c>
      <c r="K475" s="123">
        <f>[2]!RcCMaC(C475/10,D475/10,E475,G475*10,H475*10, I475/10, J475,3)</f>
        <v>180.00000498545322</v>
      </c>
      <c r="L475" s="47">
        <f>[2]!RcCMaC(C475/10,D475/10,E475,G475*10,H475*10,I475/10,J475,4)</f>
        <v>57.939743400844101</v>
      </c>
      <c r="M475" s="48">
        <f>[2]!RcCMaC(C475/10,D475/10,E475,G475*10,H475*10, I475/10, J475,0)*10</f>
        <v>0</v>
      </c>
      <c r="N475" s="119">
        <v>515</v>
      </c>
      <c r="O475" s="120" t="str">
        <f t="shared" si="82"/>
        <v>NG</v>
      </c>
    </row>
    <row r="476" spans="3:15" x14ac:dyDescent="0.15">
      <c r="C476" s="52">
        <f t="shared" si="75"/>
        <v>500</v>
      </c>
      <c r="D476" s="35">
        <f t="shared" si="76"/>
        <v>190</v>
      </c>
      <c r="E476" s="28" t="str">
        <f t="shared" si="77"/>
        <v>6-D19</v>
      </c>
      <c r="F476" s="112">
        <f t="shared" si="78"/>
        <v>1721.9999313354492</v>
      </c>
      <c r="G476" s="112">
        <f t="shared" si="79"/>
        <v>14</v>
      </c>
      <c r="H476" s="112">
        <f t="shared" si="80"/>
        <v>345</v>
      </c>
      <c r="I476" s="111">
        <f t="shared" si="83"/>
        <v>6900</v>
      </c>
      <c r="J476" s="112">
        <f t="shared" si="81"/>
        <v>15</v>
      </c>
      <c r="K476" s="123">
        <f>[2]!RcCMaC(C476/10,D476/10,E476,G476*10,H476*10, I476/10, J476,3)</f>
        <v>180.00000498545322</v>
      </c>
      <c r="L476" s="47">
        <f>[2]!RcCMaC(C476/10,D476/10,E476,G476*10,H476*10,I476/10,J476,4)</f>
        <v>57.939743400844101</v>
      </c>
      <c r="M476" s="48">
        <f>[2]!RcCMaC(C476/10,D476/10,E476,G476*10,H476*10, I476/10, J476,0)*10</f>
        <v>0</v>
      </c>
      <c r="N476" s="119">
        <v>516</v>
      </c>
      <c r="O476" s="120" t="str">
        <f t="shared" si="82"/>
        <v>NG</v>
      </c>
    </row>
    <row r="477" spans="3:15" x14ac:dyDescent="0.15">
      <c r="C477" s="52">
        <f t="shared" si="75"/>
        <v>500</v>
      </c>
      <c r="D477" s="35">
        <f t="shared" si="76"/>
        <v>190</v>
      </c>
      <c r="E477" s="28" t="str">
        <f t="shared" si="77"/>
        <v>6-D19</v>
      </c>
      <c r="F477" s="112">
        <f t="shared" si="78"/>
        <v>1721.9999313354492</v>
      </c>
      <c r="G477" s="112">
        <f t="shared" si="79"/>
        <v>14</v>
      </c>
      <c r="H477" s="112">
        <f t="shared" si="80"/>
        <v>345</v>
      </c>
      <c r="I477" s="111">
        <f t="shared" si="83"/>
        <v>6910</v>
      </c>
      <c r="J477" s="112">
        <f t="shared" si="81"/>
        <v>15</v>
      </c>
      <c r="K477" s="123">
        <f>[2]!RcCMaC(C477/10,D477/10,E477,G477*10,H477*10, I477/10, J477,3)</f>
        <v>180.00000498545322</v>
      </c>
      <c r="L477" s="47">
        <f>[2]!RcCMaC(C477/10,D477/10,E477,G477*10,H477*10,I477/10,J477,4)</f>
        <v>57.939743400844101</v>
      </c>
      <c r="M477" s="48">
        <f>[2]!RcCMaC(C477/10,D477/10,E477,G477*10,H477*10, I477/10, J477,0)*10</f>
        <v>0</v>
      </c>
      <c r="N477" s="119">
        <v>517</v>
      </c>
      <c r="O477" s="120" t="str">
        <f t="shared" si="82"/>
        <v>NG</v>
      </c>
    </row>
    <row r="478" spans="3:15" x14ac:dyDescent="0.15">
      <c r="C478" s="52">
        <f t="shared" si="75"/>
        <v>500</v>
      </c>
      <c r="D478" s="35">
        <f t="shared" si="76"/>
        <v>190</v>
      </c>
      <c r="E478" s="28" t="str">
        <f t="shared" si="77"/>
        <v>6-D19</v>
      </c>
      <c r="F478" s="112">
        <f t="shared" si="78"/>
        <v>1721.9999313354492</v>
      </c>
      <c r="G478" s="112">
        <f t="shared" si="79"/>
        <v>14</v>
      </c>
      <c r="H478" s="112">
        <f t="shared" si="80"/>
        <v>345</v>
      </c>
      <c r="I478" s="111">
        <f t="shared" si="83"/>
        <v>6920</v>
      </c>
      <c r="J478" s="112">
        <f t="shared" si="81"/>
        <v>15</v>
      </c>
      <c r="K478" s="123">
        <f>[2]!RcCMaC(C478/10,D478/10,E478,G478*10,H478*10, I478/10, J478,3)</f>
        <v>180.00000498545322</v>
      </c>
      <c r="L478" s="47">
        <f>[2]!RcCMaC(C478/10,D478/10,E478,G478*10,H478*10,I478/10,J478,4)</f>
        <v>57.939743400844101</v>
      </c>
      <c r="M478" s="48">
        <f>[2]!RcCMaC(C478/10,D478/10,E478,G478*10,H478*10, I478/10, J478,0)*10</f>
        <v>0</v>
      </c>
      <c r="N478" s="119">
        <v>518</v>
      </c>
      <c r="O478" s="120" t="str">
        <f t="shared" si="82"/>
        <v>NG</v>
      </c>
    </row>
    <row r="479" spans="3:15" x14ac:dyDescent="0.15">
      <c r="C479" s="52">
        <f t="shared" si="75"/>
        <v>500</v>
      </c>
      <c r="D479" s="35">
        <f t="shared" si="76"/>
        <v>190</v>
      </c>
      <c r="E479" s="28" t="str">
        <f t="shared" si="77"/>
        <v>6-D19</v>
      </c>
      <c r="F479" s="112">
        <f t="shared" si="78"/>
        <v>1721.9999313354492</v>
      </c>
      <c r="G479" s="112">
        <f t="shared" si="79"/>
        <v>14</v>
      </c>
      <c r="H479" s="112">
        <f t="shared" si="80"/>
        <v>345</v>
      </c>
      <c r="I479" s="111">
        <f t="shared" si="83"/>
        <v>6930</v>
      </c>
      <c r="J479" s="112">
        <f t="shared" si="81"/>
        <v>15</v>
      </c>
      <c r="K479" s="123">
        <f>[2]!RcCMaC(C479/10,D479/10,E479,G479*10,H479*10, I479/10, J479,3)</f>
        <v>180.00000498545322</v>
      </c>
      <c r="L479" s="47">
        <f>[2]!RcCMaC(C479/10,D479/10,E479,G479*10,H479*10,I479/10,J479,4)</f>
        <v>57.939743400844101</v>
      </c>
      <c r="M479" s="48">
        <f>[2]!RcCMaC(C479/10,D479/10,E479,G479*10,H479*10, I479/10, J479,0)*10</f>
        <v>0</v>
      </c>
      <c r="N479" s="119">
        <v>519</v>
      </c>
      <c r="O479" s="120" t="str">
        <f t="shared" si="82"/>
        <v>NG</v>
      </c>
    </row>
    <row r="480" spans="3:15" x14ac:dyDescent="0.15">
      <c r="C480" s="52">
        <f t="shared" si="75"/>
        <v>500</v>
      </c>
      <c r="D480" s="35">
        <f t="shared" si="76"/>
        <v>190</v>
      </c>
      <c r="E480" s="28" t="str">
        <f t="shared" si="77"/>
        <v>6-D19</v>
      </c>
      <c r="F480" s="112">
        <f t="shared" si="78"/>
        <v>1721.9999313354492</v>
      </c>
      <c r="G480" s="112">
        <f t="shared" si="79"/>
        <v>14</v>
      </c>
      <c r="H480" s="112">
        <f t="shared" si="80"/>
        <v>345</v>
      </c>
      <c r="I480" s="111">
        <f t="shared" si="83"/>
        <v>6940</v>
      </c>
      <c r="J480" s="112">
        <f t="shared" si="81"/>
        <v>15</v>
      </c>
      <c r="K480" s="123">
        <f>[2]!RcCMaC(C480/10,D480/10,E480,G480*10,H480*10, I480/10, J480,3)</f>
        <v>180.00000498545322</v>
      </c>
      <c r="L480" s="47">
        <f>[2]!RcCMaC(C480/10,D480/10,E480,G480*10,H480*10,I480/10,J480,4)</f>
        <v>57.939743400844101</v>
      </c>
      <c r="M480" s="48">
        <f>[2]!RcCMaC(C480/10,D480/10,E480,G480*10,H480*10, I480/10, J480,0)*10</f>
        <v>0</v>
      </c>
      <c r="N480" s="119">
        <v>520</v>
      </c>
      <c r="O480" s="120" t="str">
        <f t="shared" si="82"/>
        <v>NG</v>
      </c>
    </row>
    <row r="481" spans="3:15" x14ac:dyDescent="0.15">
      <c r="C481" s="52">
        <f t="shared" si="75"/>
        <v>500</v>
      </c>
      <c r="D481" s="35">
        <f t="shared" si="76"/>
        <v>190</v>
      </c>
      <c r="E481" s="28" t="str">
        <f t="shared" si="77"/>
        <v>6-D19</v>
      </c>
      <c r="F481" s="112">
        <f t="shared" si="78"/>
        <v>1721.9999313354492</v>
      </c>
      <c r="G481" s="112">
        <f t="shared" si="79"/>
        <v>14</v>
      </c>
      <c r="H481" s="112">
        <f t="shared" si="80"/>
        <v>345</v>
      </c>
      <c r="I481" s="111">
        <f t="shared" si="83"/>
        <v>6950</v>
      </c>
      <c r="J481" s="112">
        <f t="shared" si="81"/>
        <v>15</v>
      </c>
      <c r="K481" s="123">
        <f>[2]!RcCMaC(C481/10,D481/10,E481,G481*10,H481*10, I481/10, J481,3)</f>
        <v>180.00000498545322</v>
      </c>
      <c r="L481" s="47">
        <f>[2]!RcCMaC(C481/10,D481/10,E481,G481*10,H481*10,I481/10,J481,4)</f>
        <v>57.939743400844101</v>
      </c>
      <c r="M481" s="48">
        <f>[2]!RcCMaC(C481/10,D481/10,E481,G481*10,H481*10, I481/10, J481,0)*10</f>
        <v>0</v>
      </c>
      <c r="N481" s="119">
        <v>521</v>
      </c>
      <c r="O481" s="120" t="str">
        <f t="shared" si="82"/>
        <v>NG</v>
      </c>
    </row>
    <row r="482" spans="3:15" x14ac:dyDescent="0.15">
      <c r="C482" s="52">
        <f t="shared" si="75"/>
        <v>500</v>
      </c>
      <c r="D482" s="35">
        <f t="shared" si="76"/>
        <v>190</v>
      </c>
      <c r="E482" s="28" t="str">
        <f t="shared" si="77"/>
        <v>6-D19</v>
      </c>
      <c r="F482" s="112">
        <f t="shared" si="78"/>
        <v>1721.9999313354492</v>
      </c>
      <c r="G482" s="112">
        <f t="shared" si="79"/>
        <v>14</v>
      </c>
      <c r="H482" s="112">
        <f t="shared" si="80"/>
        <v>345</v>
      </c>
      <c r="I482" s="111">
        <f t="shared" si="83"/>
        <v>6960</v>
      </c>
      <c r="J482" s="112">
        <f t="shared" si="81"/>
        <v>15</v>
      </c>
      <c r="K482" s="123">
        <f>[2]!RcCMaC(C482/10,D482/10,E482,G482*10,H482*10, I482/10, J482,3)</f>
        <v>180.00000498545322</v>
      </c>
      <c r="L482" s="47">
        <f>[2]!RcCMaC(C482/10,D482/10,E482,G482*10,H482*10,I482/10,J482,4)</f>
        <v>57.939743400844101</v>
      </c>
      <c r="M482" s="48">
        <f>[2]!RcCMaC(C482/10,D482/10,E482,G482*10,H482*10, I482/10, J482,0)*10</f>
        <v>0</v>
      </c>
      <c r="N482" s="119">
        <v>522</v>
      </c>
      <c r="O482" s="120" t="str">
        <f t="shared" si="82"/>
        <v>NG</v>
      </c>
    </row>
    <row r="483" spans="3:15" x14ac:dyDescent="0.15">
      <c r="C483" s="52">
        <f t="shared" si="75"/>
        <v>500</v>
      </c>
      <c r="D483" s="35">
        <f t="shared" si="76"/>
        <v>190</v>
      </c>
      <c r="E483" s="28" t="str">
        <f t="shared" si="77"/>
        <v>6-D19</v>
      </c>
      <c r="F483" s="112">
        <f t="shared" si="78"/>
        <v>1721.9999313354492</v>
      </c>
      <c r="G483" s="112">
        <f t="shared" si="79"/>
        <v>14</v>
      </c>
      <c r="H483" s="112">
        <f t="shared" si="80"/>
        <v>345</v>
      </c>
      <c r="I483" s="111">
        <f t="shared" si="83"/>
        <v>6970</v>
      </c>
      <c r="J483" s="112">
        <f t="shared" si="81"/>
        <v>15</v>
      </c>
      <c r="K483" s="123">
        <f>[2]!RcCMaC(C483/10,D483/10,E483,G483*10,H483*10, I483/10, J483,3)</f>
        <v>180.00000498545322</v>
      </c>
      <c r="L483" s="47">
        <f>[2]!RcCMaC(C483/10,D483/10,E483,G483*10,H483*10,I483/10,J483,4)</f>
        <v>57.939743400844101</v>
      </c>
      <c r="M483" s="48">
        <f>[2]!RcCMaC(C483/10,D483/10,E483,G483*10,H483*10, I483/10, J483,0)*10</f>
        <v>0</v>
      </c>
      <c r="N483" s="119">
        <v>523</v>
      </c>
      <c r="O483" s="120" t="str">
        <f t="shared" si="82"/>
        <v>NG</v>
      </c>
    </row>
    <row r="484" spans="3:15" x14ac:dyDescent="0.15">
      <c r="C484" s="52">
        <f t="shared" si="75"/>
        <v>500</v>
      </c>
      <c r="D484" s="35">
        <f t="shared" si="76"/>
        <v>190</v>
      </c>
      <c r="E484" s="28" t="str">
        <f t="shared" si="77"/>
        <v>6-D19</v>
      </c>
      <c r="F484" s="112">
        <f t="shared" si="78"/>
        <v>1721.9999313354492</v>
      </c>
      <c r="G484" s="112">
        <f t="shared" si="79"/>
        <v>14</v>
      </c>
      <c r="H484" s="112">
        <f t="shared" si="80"/>
        <v>345</v>
      </c>
      <c r="I484" s="111">
        <f t="shared" si="83"/>
        <v>6980</v>
      </c>
      <c r="J484" s="112">
        <f t="shared" si="81"/>
        <v>15</v>
      </c>
      <c r="K484" s="123">
        <f>[2]!RcCMaC(C484/10,D484/10,E484,G484*10,H484*10, I484/10, J484,3)</f>
        <v>180.00000498545322</v>
      </c>
      <c r="L484" s="47">
        <f>[2]!RcCMaC(C484/10,D484/10,E484,G484*10,H484*10,I484/10,J484,4)</f>
        <v>57.939743400844101</v>
      </c>
      <c r="M484" s="48">
        <f>[2]!RcCMaC(C484/10,D484/10,E484,G484*10,H484*10, I484/10, J484,0)*10</f>
        <v>0</v>
      </c>
      <c r="N484" s="119">
        <v>524</v>
      </c>
      <c r="O484" s="120" t="str">
        <f t="shared" si="82"/>
        <v>NG</v>
      </c>
    </row>
    <row r="485" spans="3:15" x14ac:dyDescent="0.15">
      <c r="C485" s="52">
        <f t="shared" si="75"/>
        <v>500</v>
      </c>
      <c r="D485" s="35">
        <f t="shared" si="76"/>
        <v>190</v>
      </c>
      <c r="E485" s="28" t="str">
        <f t="shared" si="77"/>
        <v>6-D19</v>
      </c>
      <c r="F485" s="112">
        <f t="shared" si="78"/>
        <v>1721.9999313354492</v>
      </c>
      <c r="G485" s="112">
        <f t="shared" si="79"/>
        <v>14</v>
      </c>
      <c r="H485" s="112">
        <f t="shared" si="80"/>
        <v>345</v>
      </c>
      <c r="I485" s="111">
        <f t="shared" si="83"/>
        <v>6990</v>
      </c>
      <c r="J485" s="112">
        <f t="shared" si="81"/>
        <v>15</v>
      </c>
      <c r="K485" s="123">
        <f>[2]!RcCMaC(C485/10,D485/10,E485,G485*10,H485*10, I485/10, J485,3)</f>
        <v>180.00000498545322</v>
      </c>
      <c r="L485" s="47">
        <f>[2]!RcCMaC(C485/10,D485/10,E485,G485*10,H485*10,I485/10,J485,4)</f>
        <v>57.939743400844101</v>
      </c>
      <c r="M485" s="48">
        <f>[2]!RcCMaC(C485/10,D485/10,E485,G485*10,H485*10, I485/10, J485,0)*10</f>
        <v>0</v>
      </c>
      <c r="N485" s="119">
        <v>525</v>
      </c>
      <c r="O485" s="120" t="str">
        <f t="shared" si="82"/>
        <v>NG</v>
      </c>
    </row>
    <row r="486" spans="3:15" x14ac:dyDescent="0.15">
      <c r="C486" s="52">
        <f t="shared" si="75"/>
        <v>500</v>
      </c>
      <c r="D486" s="35">
        <f t="shared" si="76"/>
        <v>190</v>
      </c>
      <c r="E486" s="28" t="str">
        <f t="shared" si="77"/>
        <v>6-D19</v>
      </c>
      <c r="F486" s="112">
        <f t="shared" si="78"/>
        <v>1721.9999313354492</v>
      </c>
      <c r="G486" s="112">
        <f t="shared" si="79"/>
        <v>14</v>
      </c>
      <c r="H486" s="112">
        <f t="shared" si="80"/>
        <v>345</v>
      </c>
      <c r="I486" s="111">
        <f t="shared" si="83"/>
        <v>7000</v>
      </c>
      <c r="J486" s="112">
        <f t="shared" si="81"/>
        <v>15</v>
      </c>
      <c r="K486" s="123">
        <f>[2]!RcCMaC(C486/10,D486/10,E486,G486*10,H486*10, I486/10, J486,3)</f>
        <v>180.00000498545322</v>
      </c>
      <c r="L486" s="47">
        <f>[2]!RcCMaC(C486/10,D486/10,E486,G486*10,H486*10,I486/10,J486,4)</f>
        <v>57.939743400844101</v>
      </c>
      <c r="M486" s="48">
        <f>[2]!RcCMaC(C486/10,D486/10,E486,G486*10,H486*10, I486/10, J486,0)*10</f>
        <v>0</v>
      </c>
      <c r="N486" s="119">
        <v>526</v>
      </c>
      <c r="O486" s="120" t="str">
        <f t="shared" si="82"/>
        <v>NG</v>
      </c>
    </row>
    <row r="487" spans="3:15" x14ac:dyDescent="0.15">
      <c r="C487" s="52">
        <f t="shared" si="75"/>
        <v>500</v>
      </c>
      <c r="D487" s="35">
        <f t="shared" si="76"/>
        <v>190</v>
      </c>
      <c r="E487" s="28" t="str">
        <f t="shared" si="77"/>
        <v>6-D19</v>
      </c>
      <c r="F487" s="112">
        <f t="shared" si="78"/>
        <v>1721.9999313354492</v>
      </c>
      <c r="G487" s="112">
        <f t="shared" si="79"/>
        <v>14</v>
      </c>
      <c r="H487" s="112">
        <f t="shared" si="80"/>
        <v>345</v>
      </c>
      <c r="I487" s="111">
        <f t="shared" si="83"/>
        <v>7010</v>
      </c>
      <c r="J487" s="112">
        <f t="shared" si="81"/>
        <v>15</v>
      </c>
      <c r="K487" s="123">
        <f>[2]!RcCMaC(C487/10,D487/10,E487,G487*10,H487*10, I487/10, J487,3)</f>
        <v>180.00000498545322</v>
      </c>
      <c r="L487" s="47">
        <f>[2]!RcCMaC(C487/10,D487/10,E487,G487*10,H487*10,I487/10,J487,4)</f>
        <v>57.939743400844101</v>
      </c>
      <c r="M487" s="48">
        <f>[2]!RcCMaC(C487/10,D487/10,E487,G487*10,H487*10, I487/10, J487,0)*10</f>
        <v>0</v>
      </c>
      <c r="N487" s="119">
        <v>527</v>
      </c>
      <c r="O487" s="120" t="str">
        <f t="shared" si="82"/>
        <v>NG</v>
      </c>
    </row>
    <row r="488" spans="3:15" x14ac:dyDescent="0.15">
      <c r="C488" s="52">
        <f t="shared" si="75"/>
        <v>500</v>
      </c>
      <c r="D488" s="35">
        <f t="shared" si="76"/>
        <v>190</v>
      </c>
      <c r="E488" s="28" t="str">
        <f t="shared" si="77"/>
        <v>6-D19</v>
      </c>
      <c r="F488" s="112">
        <f t="shared" si="78"/>
        <v>1721.9999313354492</v>
      </c>
      <c r="G488" s="112">
        <f t="shared" si="79"/>
        <v>14</v>
      </c>
      <c r="H488" s="112">
        <f t="shared" si="80"/>
        <v>345</v>
      </c>
      <c r="I488" s="111">
        <f t="shared" si="83"/>
        <v>7020</v>
      </c>
      <c r="J488" s="112">
        <f t="shared" si="81"/>
        <v>15</v>
      </c>
      <c r="K488" s="123">
        <f>[2]!RcCMaC(C488/10,D488/10,E488,G488*10,H488*10, I488/10, J488,3)</f>
        <v>180.00000498545322</v>
      </c>
      <c r="L488" s="47">
        <f>[2]!RcCMaC(C488/10,D488/10,E488,G488*10,H488*10,I488/10,J488,4)</f>
        <v>57.939743400844101</v>
      </c>
      <c r="M488" s="48">
        <f>[2]!RcCMaC(C488/10,D488/10,E488,G488*10,H488*10, I488/10, J488,0)*10</f>
        <v>0</v>
      </c>
      <c r="N488" s="119">
        <v>528</v>
      </c>
      <c r="O488" s="120" t="str">
        <f t="shared" si="82"/>
        <v>NG</v>
      </c>
    </row>
    <row r="489" spans="3:15" x14ac:dyDescent="0.15">
      <c r="C489" s="52">
        <f t="shared" si="75"/>
        <v>500</v>
      </c>
      <c r="D489" s="35">
        <f t="shared" si="76"/>
        <v>190</v>
      </c>
      <c r="E489" s="28" t="str">
        <f t="shared" si="77"/>
        <v>6-D19</v>
      </c>
      <c r="F489" s="112">
        <f t="shared" si="78"/>
        <v>1721.9999313354492</v>
      </c>
      <c r="G489" s="112">
        <f t="shared" si="79"/>
        <v>14</v>
      </c>
      <c r="H489" s="112">
        <f t="shared" si="80"/>
        <v>345</v>
      </c>
      <c r="I489" s="111">
        <f t="shared" si="83"/>
        <v>7030</v>
      </c>
      <c r="J489" s="112">
        <f t="shared" si="81"/>
        <v>15</v>
      </c>
      <c r="K489" s="123">
        <f>[2]!RcCMaC(C489/10,D489/10,E489,G489*10,H489*10, I489/10, J489,3)</f>
        <v>180.00000498545322</v>
      </c>
      <c r="L489" s="47">
        <f>[2]!RcCMaC(C489/10,D489/10,E489,G489*10,H489*10,I489/10,J489,4)</f>
        <v>57.939743400844101</v>
      </c>
      <c r="M489" s="48">
        <f>[2]!RcCMaC(C489/10,D489/10,E489,G489*10,H489*10, I489/10, J489,0)*10</f>
        <v>0</v>
      </c>
      <c r="N489" s="119">
        <v>529</v>
      </c>
      <c r="O489" s="120" t="str">
        <f t="shared" si="82"/>
        <v>NG</v>
      </c>
    </row>
    <row r="490" spans="3:15" x14ac:dyDescent="0.15">
      <c r="C490" s="52">
        <f t="shared" si="75"/>
        <v>500</v>
      </c>
      <c r="D490" s="35">
        <f t="shared" si="76"/>
        <v>190</v>
      </c>
      <c r="E490" s="28" t="str">
        <f t="shared" si="77"/>
        <v>6-D19</v>
      </c>
      <c r="F490" s="112">
        <f t="shared" si="78"/>
        <v>1721.9999313354492</v>
      </c>
      <c r="G490" s="112">
        <f t="shared" si="79"/>
        <v>14</v>
      </c>
      <c r="H490" s="112">
        <f t="shared" si="80"/>
        <v>345</v>
      </c>
      <c r="I490" s="111">
        <f t="shared" si="83"/>
        <v>7040</v>
      </c>
      <c r="J490" s="112">
        <f t="shared" si="81"/>
        <v>15</v>
      </c>
      <c r="K490" s="123">
        <f>[2]!RcCMaC(C490/10,D490/10,E490,G490*10,H490*10, I490/10, J490,3)</f>
        <v>180.00000498545322</v>
      </c>
      <c r="L490" s="47">
        <f>[2]!RcCMaC(C490/10,D490/10,E490,G490*10,H490*10,I490/10,J490,4)</f>
        <v>57.939743400844101</v>
      </c>
      <c r="M490" s="48">
        <f>[2]!RcCMaC(C490/10,D490/10,E490,G490*10,H490*10, I490/10, J490,0)*10</f>
        <v>0</v>
      </c>
      <c r="N490" s="119">
        <v>530</v>
      </c>
      <c r="O490" s="120" t="str">
        <f t="shared" si="82"/>
        <v>NG</v>
      </c>
    </row>
    <row r="491" spans="3:15" x14ac:dyDescent="0.15">
      <c r="C491" s="52">
        <f t="shared" si="75"/>
        <v>500</v>
      </c>
      <c r="D491" s="35">
        <f t="shared" si="76"/>
        <v>190</v>
      </c>
      <c r="E491" s="28" t="str">
        <f t="shared" si="77"/>
        <v>6-D19</v>
      </c>
      <c r="F491" s="112">
        <f t="shared" si="78"/>
        <v>1721.9999313354492</v>
      </c>
      <c r="G491" s="112">
        <f t="shared" si="79"/>
        <v>14</v>
      </c>
      <c r="H491" s="112">
        <f t="shared" si="80"/>
        <v>345</v>
      </c>
      <c r="I491" s="111">
        <f t="shared" si="83"/>
        <v>7050</v>
      </c>
      <c r="J491" s="112">
        <f t="shared" si="81"/>
        <v>15</v>
      </c>
      <c r="K491" s="123">
        <f>[2]!RcCMaC(C491/10,D491/10,E491,G491*10,H491*10, I491/10, J491,3)</f>
        <v>180.00000498545322</v>
      </c>
      <c r="L491" s="47">
        <f>[2]!RcCMaC(C491/10,D491/10,E491,G491*10,H491*10,I491/10,J491,4)</f>
        <v>57.939743400844101</v>
      </c>
      <c r="M491" s="48">
        <f>[2]!RcCMaC(C491/10,D491/10,E491,G491*10,H491*10, I491/10, J491,0)*10</f>
        <v>0</v>
      </c>
      <c r="N491" s="119">
        <v>531</v>
      </c>
      <c r="O491" s="120" t="str">
        <f t="shared" si="82"/>
        <v>NG</v>
      </c>
    </row>
    <row r="492" spans="3:15" x14ac:dyDescent="0.15">
      <c r="C492" s="52">
        <f t="shared" si="75"/>
        <v>500</v>
      </c>
      <c r="D492" s="35">
        <f t="shared" si="76"/>
        <v>190</v>
      </c>
      <c r="E492" s="28" t="str">
        <f t="shared" si="77"/>
        <v>6-D19</v>
      </c>
      <c r="F492" s="112">
        <f t="shared" si="78"/>
        <v>1721.9999313354492</v>
      </c>
      <c r="G492" s="112">
        <f t="shared" si="79"/>
        <v>14</v>
      </c>
      <c r="H492" s="112">
        <f t="shared" si="80"/>
        <v>345</v>
      </c>
      <c r="I492" s="111">
        <f t="shared" si="83"/>
        <v>7060</v>
      </c>
      <c r="J492" s="112">
        <f t="shared" si="81"/>
        <v>15</v>
      </c>
      <c r="K492" s="123">
        <f>[2]!RcCMaC(C492/10,D492/10,E492,G492*10,H492*10, I492/10, J492,3)</f>
        <v>180.00000498545322</v>
      </c>
      <c r="L492" s="47">
        <f>[2]!RcCMaC(C492/10,D492/10,E492,G492*10,H492*10,I492/10,J492,4)</f>
        <v>57.939743400844101</v>
      </c>
      <c r="M492" s="48">
        <f>[2]!RcCMaC(C492/10,D492/10,E492,G492*10,H492*10, I492/10, J492,0)*10</f>
        <v>0</v>
      </c>
      <c r="N492" s="119">
        <v>532</v>
      </c>
      <c r="O492" s="120" t="str">
        <f t="shared" si="82"/>
        <v>NG</v>
      </c>
    </row>
    <row r="493" spans="3:15" x14ac:dyDescent="0.15">
      <c r="C493" s="52">
        <f t="shared" si="75"/>
        <v>500</v>
      </c>
      <c r="D493" s="35">
        <f t="shared" si="76"/>
        <v>190</v>
      </c>
      <c r="E493" s="28" t="str">
        <f t="shared" si="77"/>
        <v>6-D19</v>
      </c>
      <c r="F493" s="112">
        <f t="shared" si="78"/>
        <v>1721.9999313354492</v>
      </c>
      <c r="G493" s="112">
        <f t="shared" si="79"/>
        <v>14</v>
      </c>
      <c r="H493" s="112">
        <f t="shared" si="80"/>
        <v>345</v>
      </c>
      <c r="I493" s="111">
        <f t="shared" si="83"/>
        <v>7070</v>
      </c>
      <c r="J493" s="112">
        <f t="shared" si="81"/>
        <v>15</v>
      </c>
      <c r="K493" s="123">
        <f>[2]!RcCMaC(C493/10,D493/10,E493,G493*10,H493*10, I493/10, J493,3)</f>
        <v>180.00000498545322</v>
      </c>
      <c r="L493" s="47">
        <f>[2]!RcCMaC(C493/10,D493/10,E493,G493*10,H493*10,I493/10,J493,4)</f>
        <v>57.939743400844101</v>
      </c>
      <c r="M493" s="48">
        <f>[2]!RcCMaC(C493/10,D493/10,E493,G493*10,H493*10, I493/10, J493,0)*10</f>
        <v>0</v>
      </c>
      <c r="N493" s="119">
        <v>533</v>
      </c>
      <c r="O493" s="120" t="str">
        <f t="shared" si="82"/>
        <v>NG</v>
      </c>
    </row>
    <row r="494" spans="3:15" x14ac:dyDescent="0.15">
      <c r="C494" s="52">
        <f t="shared" si="75"/>
        <v>500</v>
      </c>
      <c r="D494" s="35">
        <f t="shared" si="76"/>
        <v>190</v>
      </c>
      <c r="E494" s="28" t="str">
        <f t="shared" si="77"/>
        <v>6-D19</v>
      </c>
      <c r="F494" s="112">
        <f t="shared" si="78"/>
        <v>1721.9999313354492</v>
      </c>
      <c r="G494" s="112">
        <f t="shared" si="79"/>
        <v>14</v>
      </c>
      <c r="H494" s="112">
        <f t="shared" si="80"/>
        <v>345</v>
      </c>
      <c r="I494" s="111">
        <f t="shared" si="83"/>
        <v>7080</v>
      </c>
      <c r="J494" s="112">
        <f t="shared" si="81"/>
        <v>15</v>
      </c>
      <c r="K494" s="123">
        <f>[2]!RcCMaC(C494/10,D494/10,E494,G494*10,H494*10, I494/10, J494,3)</f>
        <v>180.00000498545322</v>
      </c>
      <c r="L494" s="47">
        <f>[2]!RcCMaC(C494/10,D494/10,E494,G494*10,H494*10,I494/10,J494,4)</f>
        <v>57.939743400844101</v>
      </c>
      <c r="M494" s="48">
        <f>[2]!RcCMaC(C494/10,D494/10,E494,G494*10,H494*10, I494/10, J494,0)*10</f>
        <v>0</v>
      </c>
      <c r="N494" s="119">
        <v>534</v>
      </c>
      <c r="O494" s="120" t="str">
        <f t="shared" si="82"/>
        <v>NG</v>
      </c>
    </row>
    <row r="495" spans="3:15" x14ac:dyDescent="0.15">
      <c r="C495" s="52">
        <f t="shared" si="75"/>
        <v>500</v>
      </c>
      <c r="D495" s="35">
        <f t="shared" si="76"/>
        <v>190</v>
      </c>
      <c r="E495" s="28" t="str">
        <f t="shared" si="77"/>
        <v>6-D19</v>
      </c>
      <c r="F495" s="112">
        <f t="shared" si="78"/>
        <v>1721.9999313354492</v>
      </c>
      <c r="G495" s="112">
        <f t="shared" si="79"/>
        <v>14</v>
      </c>
      <c r="H495" s="112">
        <f t="shared" si="80"/>
        <v>345</v>
      </c>
      <c r="I495" s="111">
        <f t="shared" si="83"/>
        <v>7090</v>
      </c>
      <c r="J495" s="112">
        <f t="shared" si="81"/>
        <v>15</v>
      </c>
      <c r="K495" s="123">
        <f>[2]!RcCMaC(C495/10,D495/10,E495,G495*10,H495*10, I495/10, J495,3)</f>
        <v>180.00000498545322</v>
      </c>
      <c r="L495" s="47">
        <f>[2]!RcCMaC(C495/10,D495/10,E495,G495*10,H495*10,I495/10,J495,4)</f>
        <v>57.939743400844101</v>
      </c>
      <c r="M495" s="48">
        <f>[2]!RcCMaC(C495/10,D495/10,E495,G495*10,H495*10, I495/10, J495,0)*10</f>
        <v>0</v>
      </c>
      <c r="N495" s="119">
        <v>535</v>
      </c>
      <c r="O495" s="120" t="str">
        <f t="shared" si="82"/>
        <v>NG</v>
      </c>
    </row>
    <row r="496" spans="3:15" x14ac:dyDescent="0.15">
      <c r="C496" s="52">
        <f t="shared" si="75"/>
        <v>500</v>
      </c>
      <c r="D496" s="35">
        <f t="shared" si="76"/>
        <v>190</v>
      </c>
      <c r="E496" s="28" t="str">
        <f t="shared" si="77"/>
        <v>6-D19</v>
      </c>
      <c r="F496" s="112">
        <f t="shared" si="78"/>
        <v>1721.9999313354492</v>
      </c>
      <c r="G496" s="112">
        <f t="shared" si="79"/>
        <v>14</v>
      </c>
      <c r="H496" s="112">
        <f t="shared" si="80"/>
        <v>345</v>
      </c>
      <c r="I496" s="111">
        <f t="shared" si="83"/>
        <v>7100</v>
      </c>
      <c r="J496" s="112">
        <f t="shared" si="81"/>
        <v>15</v>
      </c>
      <c r="K496" s="123">
        <f>[2]!RcCMaC(C496/10,D496/10,E496,G496*10,H496*10, I496/10, J496,3)</f>
        <v>180.00000498545322</v>
      </c>
      <c r="L496" s="47">
        <f>[2]!RcCMaC(C496/10,D496/10,E496,G496*10,H496*10,I496/10,J496,4)</f>
        <v>57.939743400844101</v>
      </c>
      <c r="M496" s="48">
        <f>[2]!RcCMaC(C496/10,D496/10,E496,G496*10,H496*10, I496/10, J496,0)*10</f>
        <v>0</v>
      </c>
      <c r="N496" s="119">
        <v>536</v>
      </c>
      <c r="O496" s="120" t="str">
        <f t="shared" si="82"/>
        <v>NG</v>
      </c>
    </row>
    <row r="497" spans="3:15" x14ac:dyDescent="0.15">
      <c r="C497" s="52">
        <f t="shared" si="75"/>
        <v>500</v>
      </c>
      <c r="D497" s="35">
        <f t="shared" si="76"/>
        <v>190</v>
      </c>
      <c r="E497" s="28" t="str">
        <f t="shared" si="77"/>
        <v>6-D19</v>
      </c>
      <c r="F497" s="112">
        <f t="shared" si="78"/>
        <v>1721.9999313354492</v>
      </c>
      <c r="G497" s="112">
        <f t="shared" si="79"/>
        <v>14</v>
      </c>
      <c r="H497" s="112">
        <f t="shared" si="80"/>
        <v>345</v>
      </c>
      <c r="I497" s="111">
        <f t="shared" si="83"/>
        <v>7110</v>
      </c>
      <c r="J497" s="112">
        <f t="shared" si="81"/>
        <v>15</v>
      </c>
      <c r="K497" s="123">
        <f>[2]!RcCMaC(C497/10,D497/10,E497,G497*10,H497*10, I497/10, J497,3)</f>
        <v>180.00000498545322</v>
      </c>
      <c r="L497" s="47">
        <f>[2]!RcCMaC(C497/10,D497/10,E497,G497*10,H497*10,I497/10,J497,4)</f>
        <v>57.939743400844101</v>
      </c>
      <c r="M497" s="48">
        <f>[2]!RcCMaC(C497/10,D497/10,E497,G497*10,H497*10, I497/10, J497,0)*10</f>
        <v>0</v>
      </c>
      <c r="N497" s="119">
        <v>537</v>
      </c>
      <c r="O497" s="120" t="str">
        <f t="shared" si="82"/>
        <v>NG</v>
      </c>
    </row>
    <row r="498" spans="3:15" x14ac:dyDescent="0.15">
      <c r="C498" s="52">
        <f t="shared" si="75"/>
        <v>500</v>
      </c>
      <c r="D498" s="35">
        <f t="shared" si="76"/>
        <v>190</v>
      </c>
      <c r="E498" s="28" t="str">
        <f t="shared" si="77"/>
        <v>6-D19</v>
      </c>
      <c r="F498" s="112">
        <f t="shared" si="78"/>
        <v>1721.9999313354492</v>
      </c>
      <c r="G498" s="112">
        <f t="shared" si="79"/>
        <v>14</v>
      </c>
      <c r="H498" s="112">
        <f t="shared" si="80"/>
        <v>345</v>
      </c>
      <c r="I498" s="111">
        <f t="shared" si="83"/>
        <v>7120</v>
      </c>
      <c r="J498" s="112">
        <f t="shared" si="81"/>
        <v>15</v>
      </c>
      <c r="K498" s="123">
        <f>[2]!RcCMaC(C498/10,D498/10,E498,G498*10,H498*10, I498/10, J498,3)</f>
        <v>180.00000498545322</v>
      </c>
      <c r="L498" s="47">
        <f>[2]!RcCMaC(C498/10,D498/10,E498,G498*10,H498*10,I498/10,J498,4)</f>
        <v>57.939743400844101</v>
      </c>
      <c r="M498" s="48">
        <f>[2]!RcCMaC(C498/10,D498/10,E498,G498*10,H498*10, I498/10, J498,0)*10</f>
        <v>0</v>
      </c>
      <c r="N498" s="119">
        <v>538</v>
      </c>
      <c r="O498" s="120" t="str">
        <f t="shared" si="82"/>
        <v>NG</v>
      </c>
    </row>
    <row r="499" spans="3:15" x14ac:dyDescent="0.15">
      <c r="C499" s="52">
        <f t="shared" si="75"/>
        <v>500</v>
      </c>
      <c r="D499" s="35">
        <f t="shared" si="76"/>
        <v>190</v>
      </c>
      <c r="E499" s="28" t="str">
        <f t="shared" si="77"/>
        <v>6-D19</v>
      </c>
      <c r="F499" s="112">
        <f t="shared" si="78"/>
        <v>1721.9999313354492</v>
      </c>
      <c r="G499" s="112">
        <f t="shared" si="79"/>
        <v>14</v>
      </c>
      <c r="H499" s="112">
        <f t="shared" si="80"/>
        <v>345</v>
      </c>
      <c r="I499" s="111">
        <f t="shared" si="83"/>
        <v>7130</v>
      </c>
      <c r="J499" s="112">
        <f t="shared" si="81"/>
        <v>15</v>
      </c>
      <c r="K499" s="123">
        <f>[2]!RcCMaC(C499/10,D499/10,E499,G499*10,H499*10, I499/10, J499,3)</f>
        <v>180.00000498545322</v>
      </c>
      <c r="L499" s="47">
        <f>[2]!RcCMaC(C499/10,D499/10,E499,G499*10,H499*10,I499/10,J499,4)</f>
        <v>57.939743400844101</v>
      </c>
      <c r="M499" s="48">
        <f>[2]!RcCMaC(C499/10,D499/10,E499,G499*10,H499*10, I499/10, J499,0)*10</f>
        <v>0</v>
      </c>
      <c r="N499" s="119">
        <v>539</v>
      </c>
      <c r="O499" s="120" t="str">
        <f t="shared" si="82"/>
        <v>NG</v>
      </c>
    </row>
    <row r="500" spans="3:15" x14ac:dyDescent="0.15">
      <c r="C500" s="52">
        <f t="shared" ref="C500:C563" si="84">+C499</f>
        <v>500</v>
      </c>
      <c r="D500" s="35">
        <f t="shared" ref="D500:D563" si="85">+D499</f>
        <v>190</v>
      </c>
      <c r="E500" s="28" t="str">
        <f t="shared" ref="E500:E563" si="86">+E499</f>
        <v>6-D19</v>
      </c>
      <c r="F500" s="112">
        <f t="shared" ref="F500:F563" si="87">+F499</f>
        <v>1721.9999313354492</v>
      </c>
      <c r="G500" s="112">
        <f t="shared" ref="G500:G563" si="88">+G499</f>
        <v>14</v>
      </c>
      <c r="H500" s="112">
        <f t="shared" ref="H500:H563" si="89">+H499</f>
        <v>345</v>
      </c>
      <c r="I500" s="111">
        <f t="shared" si="83"/>
        <v>7140</v>
      </c>
      <c r="J500" s="112">
        <f t="shared" ref="J500:J563" si="90">+J499</f>
        <v>15</v>
      </c>
      <c r="K500" s="123">
        <f>[2]!RcCMaC(C500/10,D500/10,E500,G500*10,H500*10, I500/10, J500,3)</f>
        <v>180.00000498545322</v>
      </c>
      <c r="L500" s="47">
        <f>[2]!RcCMaC(C500/10,D500/10,E500,G500*10,H500*10,I500/10,J500,4)</f>
        <v>57.939743400844101</v>
      </c>
      <c r="M500" s="48">
        <f>[2]!RcCMaC(C500/10,D500/10,E500,G500*10,H500*10, I500/10, J500,0)*10</f>
        <v>0</v>
      </c>
      <c r="N500" s="119">
        <v>540</v>
      </c>
      <c r="O500" s="120" t="str">
        <f t="shared" ref="O500:O563" si="91">IF(M500&gt;N500,"OK","NG")</f>
        <v>NG</v>
      </c>
    </row>
    <row r="501" spans="3:15" x14ac:dyDescent="0.15">
      <c r="C501" s="52">
        <f t="shared" si="84"/>
        <v>500</v>
      </c>
      <c r="D501" s="35">
        <f t="shared" si="85"/>
        <v>190</v>
      </c>
      <c r="E501" s="28" t="str">
        <f t="shared" si="86"/>
        <v>6-D19</v>
      </c>
      <c r="F501" s="112">
        <f t="shared" si="87"/>
        <v>1721.9999313354492</v>
      </c>
      <c r="G501" s="112">
        <f t="shared" si="88"/>
        <v>14</v>
      </c>
      <c r="H501" s="112">
        <f t="shared" si="89"/>
        <v>345</v>
      </c>
      <c r="I501" s="111">
        <f t="shared" si="83"/>
        <v>7150</v>
      </c>
      <c r="J501" s="112">
        <f t="shared" si="90"/>
        <v>15</v>
      </c>
      <c r="K501" s="123">
        <f>[2]!RcCMaC(C501/10,D501/10,E501,G501*10,H501*10, I501/10, J501,3)</f>
        <v>180.00000498545322</v>
      </c>
      <c r="L501" s="47">
        <f>[2]!RcCMaC(C501/10,D501/10,E501,G501*10,H501*10,I501/10,J501,4)</f>
        <v>57.939743400844101</v>
      </c>
      <c r="M501" s="48">
        <f>[2]!RcCMaC(C501/10,D501/10,E501,G501*10,H501*10, I501/10, J501,0)*10</f>
        <v>0</v>
      </c>
      <c r="N501" s="119">
        <v>541</v>
      </c>
      <c r="O501" s="120" t="str">
        <f t="shared" si="91"/>
        <v>NG</v>
      </c>
    </row>
    <row r="502" spans="3:15" x14ac:dyDescent="0.15">
      <c r="C502" s="52">
        <f t="shared" si="84"/>
        <v>500</v>
      </c>
      <c r="D502" s="35">
        <f t="shared" si="85"/>
        <v>190</v>
      </c>
      <c r="E502" s="28" t="str">
        <f t="shared" si="86"/>
        <v>6-D19</v>
      </c>
      <c r="F502" s="112">
        <f t="shared" si="87"/>
        <v>1721.9999313354492</v>
      </c>
      <c r="G502" s="112">
        <f t="shared" si="88"/>
        <v>14</v>
      </c>
      <c r="H502" s="112">
        <f t="shared" si="89"/>
        <v>345</v>
      </c>
      <c r="I502" s="111">
        <f t="shared" si="83"/>
        <v>7160</v>
      </c>
      <c r="J502" s="112">
        <f t="shared" si="90"/>
        <v>15</v>
      </c>
      <c r="K502" s="123">
        <f>[2]!RcCMaC(C502/10,D502/10,E502,G502*10,H502*10, I502/10, J502,3)</f>
        <v>180.00000498545322</v>
      </c>
      <c r="L502" s="47">
        <f>[2]!RcCMaC(C502/10,D502/10,E502,G502*10,H502*10,I502/10,J502,4)</f>
        <v>57.939743400844101</v>
      </c>
      <c r="M502" s="48">
        <f>[2]!RcCMaC(C502/10,D502/10,E502,G502*10,H502*10, I502/10, J502,0)*10</f>
        <v>0</v>
      </c>
      <c r="N502" s="119">
        <v>542</v>
      </c>
      <c r="O502" s="120" t="str">
        <f t="shared" si="91"/>
        <v>NG</v>
      </c>
    </row>
    <row r="503" spans="3:15" x14ac:dyDescent="0.15">
      <c r="C503" s="52">
        <f t="shared" si="84"/>
        <v>500</v>
      </c>
      <c r="D503" s="35">
        <f t="shared" si="85"/>
        <v>190</v>
      </c>
      <c r="E503" s="28" t="str">
        <f t="shared" si="86"/>
        <v>6-D19</v>
      </c>
      <c r="F503" s="112">
        <f t="shared" si="87"/>
        <v>1721.9999313354492</v>
      </c>
      <c r="G503" s="112">
        <f t="shared" si="88"/>
        <v>14</v>
      </c>
      <c r="H503" s="112">
        <f t="shared" si="89"/>
        <v>345</v>
      </c>
      <c r="I503" s="111">
        <f t="shared" si="83"/>
        <v>7170</v>
      </c>
      <c r="J503" s="112">
        <f t="shared" si="90"/>
        <v>15</v>
      </c>
      <c r="K503" s="123">
        <f>[2]!RcCMaC(C503/10,D503/10,E503,G503*10,H503*10, I503/10, J503,3)</f>
        <v>180.00000498545322</v>
      </c>
      <c r="L503" s="47">
        <f>[2]!RcCMaC(C503/10,D503/10,E503,G503*10,H503*10,I503/10,J503,4)</f>
        <v>57.939743400844101</v>
      </c>
      <c r="M503" s="48">
        <f>[2]!RcCMaC(C503/10,D503/10,E503,G503*10,H503*10, I503/10, J503,0)*10</f>
        <v>0</v>
      </c>
      <c r="N503" s="119">
        <v>543</v>
      </c>
      <c r="O503" s="120" t="str">
        <f t="shared" si="91"/>
        <v>NG</v>
      </c>
    </row>
    <row r="504" spans="3:15" x14ac:dyDescent="0.15">
      <c r="C504" s="52">
        <f t="shared" si="84"/>
        <v>500</v>
      </c>
      <c r="D504" s="35">
        <f t="shared" si="85"/>
        <v>190</v>
      </c>
      <c r="E504" s="28" t="str">
        <f t="shared" si="86"/>
        <v>6-D19</v>
      </c>
      <c r="F504" s="112">
        <f t="shared" si="87"/>
        <v>1721.9999313354492</v>
      </c>
      <c r="G504" s="112">
        <f t="shared" si="88"/>
        <v>14</v>
      </c>
      <c r="H504" s="112">
        <f t="shared" si="89"/>
        <v>345</v>
      </c>
      <c r="I504" s="111">
        <f t="shared" si="83"/>
        <v>7180</v>
      </c>
      <c r="J504" s="112">
        <f t="shared" si="90"/>
        <v>15</v>
      </c>
      <c r="K504" s="123">
        <f>[2]!RcCMaC(C504/10,D504/10,E504,G504*10,H504*10, I504/10, J504,3)</f>
        <v>180.00000498545322</v>
      </c>
      <c r="L504" s="47">
        <f>[2]!RcCMaC(C504/10,D504/10,E504,G504*10,H504*10,I504/10,J504,4)</f>
        <v>57.939743400844101</v>
      </c>
      <c r="M504" s="48">
        <f>[2]!RcCMaC(C504/10,D504/10,E504,G504*10,H504*10, I504/10, J504,0)*10</f>
        <v>0</v>
      </c>
      <c r="N504" s="119">
        <v>544</v>
      </c>
      <c r="O504" s="120" t="str">
        <f t="shared" si="91"/>
        <v>NG</v>
      </c>
    </row>
    <row r="505" spans="3:15" x14ac:dyDescent="0.15">
      <c r="C505" s="52">
        <f t="shared" si="84"/>
        <v>500</v>
      </c>
      <c r="D505" s="35">
        <f t="shared" si="85"/>
        <v>190</v>
      </c>
      <c r="E505" s="28" t="str">
        <f t="shared" si="86"/>
        <v>6-D19</v>
      </c>
      <c r="F505" s="112">
        <f t="shared" si="87"/>
        <v>1721.9999313354492</v>
      </c>
      <c r="G505" s="112">
        <f t="shared" si="88"/>
        <v>14</v>
      </c>
      <c r="H505" s="112">
        <f t="shared" si="89"/>
        <v>345</v>
      </c>
      <c r="I505" s="111">
        <f t="shared" si="83"/>
        <v>7190</v>
      </c>
      <c r="J505" s="112">
        <f t="shared" si="90"/>
        <v>15</v>
      </c>
      <c r="K505" s="123">
        <f>[2]!RcCMaC(C505/10,D505/10,E505,G505*10,H505*10, I505/10, J505,3)</f>
        <v>180.00000498545322</v>
      </c>
      <c r="L505" s="47">
        <f>[2]!RcCMaC(C505/10,D505/10,E505,G505*10,H505*10,I505/10,J505,4)</f>
        <v>57.939743400844101</v>
      </c>
      <c r="M505" s="48">
        <f>[2]!RcCMaC(C505/10,D505/10,E505,G505*10,H505*10, I505/10, J505,0)*10</f>
        <v>0</v>
      </c>
      <c r="N505" s="119">
        <v>545</v>
      </c>
      <c r="O505" s="120" t="str">
        <f t="shared" si="91"/>
        <v>NG</v>
      </c>
    </row>
    <row r="506" spans="3:15" x14ac:dyDescent="0.15">
      <c r="C506" s="52">
        <f t="shared" si="84"/>
        <v>500</v>
      </c>
      <c r="D506" s="35">
        <f t="shared" si="85"/>
        <v>190</v>
      </c>
      <c r="E506" s="28" t="str">
        <f t="shared" si="86"/>
        <v>6-D19</v>
      </c>
      <c r="F506" s="112">
        <f t="shared" si="87"/>
        <v>1721.9999313354492</v>
      </c>
      <c r="G506" s="112">
        <f t="shared" si="88"/>
        <v>14</v>
      </c>
      <c r="H506" s="112">
        <f t="shared" si="89"/>
        <v>345</v>
      </c>
      <c r="I506" s="111">
        <f t="shared" si="83"/>
        <v>7200</v>
      </c>
      <c r="J506" s="112">
        <f t="shared" si="90"/>
        <v>15</v>
      </c>
      <c r="K506" s="123">
        <f>[2]!RcCMaC(C506/10,D506/10,E506,G506*10,H506*10, I506/10, J506,3)</f>
        <v>180.00000498545322</v>
      </c>
      <c r="L506" s="47">
        <f>[2]!RcCMaC(C506/10,D506/10,E506,G506*10,H506*10,I506/10,J506,4)</f>
        <v>57.939743400844101</v>
      </c>
      <c r="M506" s="48">
        <f>[2]!RcCMaC(C506/10,D506/10,E506,G506*10,H506*10, I506/10, J506,0)*10</f>
        <v>0</v>
      </c>
      <c r="N506" s="119">
        <v>546</v>
      </c>
      <c r="O506" s="120" t="str">
        <f t="shared" si="91"/>
        <v>NG</v>
      </c>
    </row>
    <row r="507" spans="3:15" x14ac:dyDescent="0.15">
      <c r="C507" s="52">
        <f t="shared" si="84"/>
        <v>500</v>
      </c>
      <c r="D507" s="35">
        <f t="shared" si="85"/>
        <v>190</v>
      </c>
      <c r="E507" s="28" t="str">
        <f t="shared" si="86"/>
        <v>6-D19</v>
      </c>
      <c r="F507" s="112">
        <f t="shared" si="87"/>
        <v>1721.9999313354492</v>
      </c>
      <c r="G507" s="112">
        <f t="shared" si="88"/>
        <v>14</v>
      </c>
      <c r="H507" s="112">
        <f t="shared" si="89"/>
        <v>345</v>
      </c>
      <c r="I507" s="111">
        <f t="shared" si="83"/>
        <v>7210</v>
      </c>
      <c r="J507" s="112">
        <f t="shared" si="90"/>
        <v>15</v>
      </c>
      <c r="K507" s="123">
        <f>[2]!RcCMaC(C507/10,D507/10,E507,G507*10,H507*10, I507/10, J507,3)</f>
        <v>180.00000498545322</v>
      </c>
      <c r="L507" s="47">
        <f>[2]!RcCMaC(C507/10,D507/10,E507,G507*10,H507*10,I507/10,J507,4)</f>
        <v>57.939743400844101</v>
      </c>
      <c r="M507" s="48">
        <f>[2]!RcCMaC(C507/10,D507/10,E507,G507*10,H507*10, I507/10, J507,0)*10</f>
        <v>0</v>
      </c>
      <c r="N507" s="119">
        <v>547</v>
      </c>
      <c r="O507" s="120" t="str">
        <f t="shared" si="91"/>
        <v>NG</v>
      </c>
    </row>
    <row r="508" spans="3:15" x14ac:dyDescent="0.15">
      <c r="C508" s="52">
        <f t="shared" si="84"/>
        <v>500</v>
      </c>
      <c r="D508" s="35">
        <f t="shared" si="85"/>
        <v>190</v>
      </c>
      <c r="E508" s="28" t="str">
        <f t="shared" si="86"/>
        <v>6-D19</v>
      </c>
      <c r="F508" s="112">
        <f t="shared" si="87"/>
        <v>1721.9999313354492</v>
      </c>
      <c r="G508" s="112">
        <f t="shared" si="88"/>
        <v>14</v>
      </c>
      <c r="H508" s="112">
        <f t="shared" si="89"/>
        <v>345</v>
      </c>
      <c r="I508" s="111">
        <f t="shared" si="83"/>
        <v>7220</v>
      </c>
      <c r="J508" s="112">
        <f t="shared" si="90"/>
        <v>15</v>
      </c>
      <c r="K508" s="123">
        <f>[2]!RcCMaC(C508/10,D508/10,E508,G508*10,H508*10, I508/10, J508,3)</f>
        <v>180.00000498545322</v>
      </c>
      <c r="L508" s="47">
        <f>[2]!RcCMaC(C508/10,D508/10,E508,G508*10,H508*10,I508/10,J508,4)</f>
        <v>57.939743400844101</v>
      </c>
      <c r="M508" s="48">
        <f>[2]!RcCMaC(C508/10,D508/10,E508,G508*10,H508*10, I508/10, J508,0)*10</f>
        <v>0</v>
      </c>
      <c r="N508" s="119">
        <v>548</v>
      </c>
      <c r="O508" s="120" t="str">
        <f t="shared" si="91"/>
        <v>NG</v>
      </c>
    </row>
    <row r="509" spans="3:15" x14ac:dyDescent="0.15">
      <c r="C509" s="52">
        <f t="shared" si="84"/>
        <v>500</v>
      </c>
      <c r="D509" s="35">
        <f t="shared" si="85"/>
        <v>190</v>
      </c>
      <c r="E509" s="28" t="str">
        <f t="shared" si="86"/>
        <v>6-D19</v>
      </c>
      <c r="F509" s="112">
        <f t="shared" si="87"/>
        <v>1721.9999313354492</v>
      </c>
      <c r="G509" s="112">
        <f t="shared" si="88"/>
        <v>14</v>
      </c>
      <c r="H509" s="112">
        <f t="shared" si="89"/>
        <v>345</v>
      </c>
      <c r="I509" s="111">
        <f t="shared" si="83"/>
        <v>7230</v>
      </c>
      <c r="J509" s="112">
        <f t="shared" si="90"/>
        <v>15</v>
      </c>
      <c r="K509" s="123">
        <f>[2]!RcCMaC(C509/10,D509/10,E509,G509*10,H509*10, I509/10, J509,3)</f>
        <v>180.00000498545322</v>
      </c>
      <c r="L509" s="47">
        <f>[2]!RcCMaC(C509/10,D509/10,E509,G509*10,H509*10,I509/10,J509,4)</f>
        <v>57.939743400844101</v>
      </c>
      <c r="M509" s="48">
        <f>[2]!RcCMaC(C509/10,D509/10,E509,G509*10,H509*10, I509/10, J509,0)*10</f>
        <v>0</v>
      </c>
      <c r="N509" s="119">
        <v>549</v>
      </c>
      <c r="O509" s="120" t="str">
        <f t="shared" si="91"/>
        <v>NG</v>
      </c>
    </row>
    <row r="510" spans="3:15" x14ac:dyDescent="0.15">
      <c r="C510" s="52">
        <f t="shared" si="84"/>
        <v>500</v>
      </c>
      <c r="D510" s="35">
        <f t="shared" si="85"/>
        <v>190</v>
      </c>
      <c r="E510" s="28" t="str">
        <f t="shared" si="86"/>
        <v>6-D19</v>
      </c>
      <c r="F510" s="112">
        <f t="shared" si="87"/>
        <v>1721.9999313354492</v>
      </c>
      <c r="G510" s="112">
        <f t="shared" si="88"/>
        <v>14</v>
      </c>
      <c r="H510" s="112">
        <f t="shared" si="89"/>
        <v>345</v>
      </c>
      <c r="I510" s="111">
        <f t="shared" si="83"/>
        <v>7240</v>
      </c>
      <c r="J510" s="112">
        <f t="shared" si="90"/>
        <v>15</v>
      </c>
      <c r="K510" s="123">
        <f>[2]!RcCMaC(C510/10,D510/10,E510,G510*10,H510*10, I510/10, J510,3)</f>
        <v>180.00000498545322</v>
      </c>
      <c r="L510" s="47">
        <f>[2]!RcCMaC(C510/10,D510/10,E510,G510*10,H510*10,I510/10,J510,4)</f>
        <v>57.939743400844101</v>
      </c>
      <c r="M510" s="48">
        <f>[2]!RcCMaC(C510/10,D510/10,E510,G510*10,H510*10, I510/10, J510,0)*10</f>
        <v>0</v>
      </c>
      <c r="N510" s="119">
        <v>550</v>
      </c>
      <c r="O510" s="120" t="str">
        <f t="shared" si="91"/>
        <v>NG</v>
      </c>
    </row>
    <row r="511" spans="3:15" x14ac:dyDescent="0.15">
      <c r="C511" s="52">
        <f t="shared" si="84"/>
        <v>500</v>
      </c>
      <c r="D511" s="35">
        <f t="shared" si="85"/>
        <v>190</v>
      </c>
      <c r="E511" s="28" t="str">
        <f t="shared" si="86"/>
        <v>6-D19</v>
      </c>
      <c r="F511" s="112">
        <f t="shared" si="87"/>
        <v>1721.9999313354492</v>
      </c>
      <c r="G511" s="112">
        <f t="shared" si="88"/>
        <v>14</v>
      </c>
      <c r="H511" s="112">
        <f t="shared" si="89"/>
        <v>345</v>
      </c>
      <c r="I511" s="111">
        <f t="shared" si="83"/>
        <v>7250</v>
      </c>
      <c r="J511" s="112">
        <f t="shared" si="90"/>
        <v>15</v>
      </c>
      <c r="K511" s="123">
        <f>[2]!RcCMaC(C511/10,D511/10,E511,G511*10,H511*10, I511/10, J511,3)</f>
        <v>180.00000498545322</v>
      </c>
      <c r="L511" s="47">
        <f>[2]!RcCMaC(C511/10,D511/10,E511,G511*10,H511*10,I511/10,J511,4)</f>
        <v>57.939743400844101</v>
      </c>
      <c r="M511" s="48">
        <f>[2]!RcCMaC(C511/10,D511/10,E511,G511*10,H511*10, I511/10, J511,0)*10</f>
        <v>0</v>
      </c>
      <c r="N511" s="119">
        <v>551</v>
      </c>
      <c r="O511" s="120" t="str">
        <f t="shared" si="91"/>
        <v>NG</v>
      </c>
    </row>
    <row r="512" spans="3:15" x14ac:dyDescent="0.15">
      <c r="C512" s="52">
        <f t="shared" si="84"/>
        <v>500</v>
      </c>
      <c r="D512" s="35">
        <f t="shared" si="85"/>
        <v>190</v>
      </c>
      <c r="E512" s="28" t="str">
        <f t="shared" si="86"/>
        <v>6-D19</v>
      </c>
      <c r="F512" s="112">
        <f t="shared" si="87"/>
        <v>1721.9999313354492</v>
      </c>
      <c r="G512" s="112">
        <f t="shared" si="88"/>
        <v>14</v>
      </c>
      <c r="H512" s="112">
        <f t="shared" si="89"/>
        <v>345</v>
      </c>
      <c r="I512" s="111">
        <f t="shared" si="83"/>
        <v>7260</v>
      </c>
      <c r="J512" s="112">
        <f t="shared" si="90"/>
        <v>15</v>
      </c>
      <c r="K512" s="123">
        <f>[2]!RcCMaC(C512/10,D512/10,E512,G512*10,H512*10, I512/10, J512,3)</f>
        <v>180.00000498545322</v>
      </c>
      <c r="L512" s="47">
        <f>[2]!RcCMaC(C512/10,D512/10,E512,G512*10,H512*10,I512/10,J512,4)</f>
        <v>57.939743400844101</v>
      </c>
      <c r="M512" s="48">
        <f>[2]!RcCMaC(C512/10,D512/10,E512,G512*10,H512*10, I512/10, J512,0)*10</f>
        <v>0</v>
      </c>
      <c r="N512" s="119">
        <v>552</v>
      </c>
      <c r="O512" s="120" t="str">
        <f t="shared" si="91"/>
        <v>NG</v>
      </c>
    </row>
    <row r="513" spans="3:15" x14ac:dyDescent="0.15">
      <c r="C513" s="52">
        <f t="shared" si="84"/>
        <v>500</v>
      </c>
      <c r="D513" s="35">
        <f t="shared" si="85"/>
        <v>190</v>
      </c>
      <c r="E513" s="28" t="str">
        <f t="shared" si="86"/>
        <v>6-D19</v>
      </c>
      <c r="F513" s="112">
        <f t="shared" si="87"/>
        <v>1721.9999313354492</v>
      </c>
      <c r="G513" s="112">
        <f t="shared" si="88"/>
        <v>14</v>
      </c>
      <c r="H513" s="112">
        <f t="shared" si="89"/>
        <v>345</v>
      </c>
      <c r="I513" s="111">
        <f t="shared" si="83"/>
        <v>7270</v>
      </c>
      <c r="J513" s="112">
        <f t="shared" si="90"/>
        <v>15</v>
      </c>
      <c r="K513" s="123">
        <f>[2]!RcCMaC(C513/10,D513/10,E513,G513*10,H513*10, I513/10, J513,3)</f>
        <v>180.00000498545322</v>
      </c>
      <c r="L513" s="47">
        <f>[2]!RcCMaC(C513/10,D513/10,E513,G513*10,H513*10,I513/10,J513,4)</f>
        <v>57.939743400844101</v>
      </c>
      <c r="M513" s="48">
        <f>[2]!RcCMaC(C513/10,D513/10,E513,G513*10,H513*10, I513/10, J513,0)*10</f>
        <v>0</v>
      </c>
      <c r="N513" s="119">
        <v>553</v>
      </c>
      <c r="O513" s="120" t="str">
        <f t="shared" si="91"/>
        <v>NG</v>
      </c>
    </row>
    <row r="514" spans="3:15" x14ac:dyDescent="0.15">
      <c r="C514" s="52">
        <f t="shared" si="84"/>
        <v>500</v>
      </c>
      <c r="D514" s="35">
        <f t="shared" si="85"/>
        <v>190</v>
      </c>
      <c r="E514" s="28" t="str">
        <f t="shared" si="86"/>
        <v>6-D19</v>
      </c>
      <c r="F514" s="112">
        <f t="shared" si="87"/>
        <v>1721.9999313354492</v>
      </c>
      <c r="G514" s="112">
        <f t="shared" si="88"/>
        <v>14</v>
      </c>
      <c r="H514" s="112">
        <f t="shared" si="89"/>
        <v>345</v>
      </c>
      <c r="I514" s="111">
        <f t="shared" si="83"/>
        <v>7280</v>
      </c>
      <c r="J514" s="112">
        <f t="shared" si="90"/>
        <v>15</v>
      </c>
      <c r="K514" s="123">
        <f>[2]!RcCMaC(C514/10,D514/10,E514,G514*10,H514*10, I514/10, J514,3)</f>
        <v>180.00000498545322</v>
      </c>
      <c r="L514" s="47">
        <f>[2]!RcCMaC(C514/10,D514/10,E514,G514*10,H514*10,I514/10,J514,4)</f>
        <v>57.939743400844101</v>
      </c>
      <c r="M514" s="48">
        <f>[2]!RcCMaC(C514/10,D514/10,E514,G514*10,H514*10, I514/10, J514,0)*10</f>
        <v>0</v>
      </c>
      <c r="N514" s="119">
        <v>554</v>
      </c>
      <c r="O514" s="120" t="str">
        <f t="shared" si="91"/>
        <v>NG</v>
      </c>
    </row>
    <row r="515" spans="3:15" x14ac:dyDescent="0.15">
      <c r="C515" s="52">
        <f t="shared" si="84"/>
        <v>500</v>
      </c>
      <c r="D515" s="35">
        <f t="shared" si="85"/>
        <v>190</v>
      </c>
      <c r="E515" s="28" t="str">
        <f t="shared" si="86"/>
        <v>6-D19</v>
      </c>
      <c r="F515" s="112">
        <f t="shared" si="87"/>
        <v>1721.9999313354492</v>
      </c>
      <c r="G515" s="112">
        <f t="shared" si="88"/>
        <v>14</v>
      </c>
      <c r="H515" s="112">
        <f t="shared" si="89"/>
        <v>345</v>
      </c>
      <c r="I515" s="111">
        <f t="shared" si="83"/>
        <v>7290</v>
      </c>
      <c r="J515" s="112">
        <f t="shared" si="90"/>
        <v>15</v>
      </c>
      <c r="K515" s="123">
        <f>[2]!RcCMaC(C515/10,D515/10,E515,G515*10,H515*10, I515/10, J515,3)</f>
        <v>180.00000498545322</v>
      </c>
      <c r="L515" s="47">
        <f>[2]!RcCMaC(C515/10,D515/10,E515,G515*10,H515*10,I515/10,J515,4)</f>
        <v>57.939743400844101</v>
      </c>
      <c r="M515" s="48">
        <f>[2]!RcCMaC(C515/10,D515/10,E515,G515*10,H515*10, I515/10, J515,0)*10</f>
        <v>0</v>
      </c>
      <c r="N515" s="119">
        <v>555</v>
      </c>
      <c r="O515" s="120" t="str">
        <f t="shared" si="91"/>
        <v>NG</v>
      </c>
    </row>
    <row r="516" spans="3:15" x14ac:dyDescent="0.15">
      <c r="C516" s="52">
        <f t="shared" si="84"/>
        <v>500</v>
      </c>
      <c r="D516" s="35">
        <f t="shared" si="85"/>
        <v>190</v>
      </c>
      <c r="E516" s="28" t="str">
        <f t="shared" si="86"/>
        <v>6-D19</v>
      </c>
      <c r="F516" s="112">
        <f t="shared" si="87"/>
        <v>1721.9999313354492</v>
      </c>
      <c r="G516" s="112">
        <f t="shared" si="88"/>
        <v>14</v>
      </c>
      <c r="H516" s="112">
        <f t="shared" si="89"/>
        <v>345</v>
      </c>
      <c r="I516" s="111">
        <f t="shared" si="83"/>
        <v>7300</v>
      </c>
      <c r="J516" s="112">
        <f t="shared" si="90"/>
        <v>15</v>
      </c>
      <c r="K516" s="123">
        <f>[2]!RcCMaC(C516/10,D516/10,E516,G516*10,H516*10, I516/10, J516,3)</f>
        <v>180.00000498545322</v>
      </c>
      <c r="L516" s="47">
        <f>[2]!RcCMaC(C516/10,D516/10,E516,G516*10,H516*10,I516/10,J516,4)</f>
        <v>57.939743400844101</v>
      </c>
      <c r="M516" s="48">
        <f>[2]!RcCMaC(C516/10,D516/10,E516,G516*10,H516*10, I516/10, J516,0)*10</f>
        <v>0</v>
      </c>
      <c r="N516" s="119">
        <v>556</v>
      </c>
      <c r="O516" s="120" t="str">
        <f t="shared" si="91"/>
        <v>NG</v>
      </c>
    </row>
    <row r="517" spans="3:15" x14ac:dyDescent="0.15">
      <c r="C517" s="52">
        <f t="shared" si="84"/>
        <v>500</v>
      </c>
      <c r="D517" s="35">
        <f t="shared" si="85"/>
        <v>190</v>
      </c>
      <c r="E517" s="28" t="str">
        <f t="shared" si="86"/>
        <v>6-D19</v>
      </c>
      <c r="F517" s="112">
        <f t="shared" si="87"/>
        <v>1721.9999313354492</v>
      </c>
      <c r="G517" s="112">
        <f t="shared" si="88"/>
        <v>14</v>
      </c>
      <c r="H517" s="112">
        <f t="shared" si="89"/>
        <v>345</v>
      </c>
      <c r="I517" s="111">
        <f t="shared" si="83"/>
        <v>7310</v>
      </c>
      <c r="J517" s="112">
        <f t="shared" si="90"/>
        <v>15</v>
      </c>
      <c r="K517" s="123">
        <f>[2]!RcCMaC(C517/10,D517/10,E517,G517*10,H517*10, I517/10, J517,3)</f>
        <v>180.00000498545322</v>
      </c>
      <c r="L517" s="47">
        <f>[2]!RcCMaC(C517/10,D517/10,E517,G517*10,H517*10,I517/10,J517,4)</f>
        <v>57.939743400844101</v>
      </c>
      <c r="M517" s="48">
        <f>[2]!RcCMaC(C517/10,D517/10,E517,G517*10,H517*10, I517/10, J517,0)*10</f>
        <v>0</v>
      </c>
      <c r="N517" s="119">
        <v>557</v>
      </c>
      <c r="O517" s="120" t="str">
        <f t="shared" si="91"/>
        <v>NG</v>
      </c>
    </row>
    <row r="518" spans="3:15" x14ac:dyDescent="0.15">
      <c r="C518" s="52">
        <f t="shared" si="84"/>
        <v>500</v>
      </c>
      <c r="D518" s="35">
        <f t="shared" si="85"/>
        <v>190</v>
      </c>
      <c r="E518" s="28" t="str">
        <f t="shared" si="86"/>
        <v>6-D19</v>
      </c>
      <c r="F518" s="112">
        <f t="shared" si="87"/>
        <v>1721.9999313354492</v>
      </c>
      <c r="G518" s="112">
        <f t="shared" si="88"/>
        <v>14</v>
      </c>
      <c r="H518" s="112">
        <f t="shared" si="89"/>
        <v>345</v>
      </c>
      <c r="I518" s="111">
        <f t="shared" si="83"/>
        <v>7320</v>
      </c>
      <c r="J518" s="112">
        <f t="shared" si="90"/>
        <v>15</v>
      </c>
      <c r="K518" s="123">
        <f>[2]!RcCMaC(C518/10,D518/10,E518,G518*10,H518*10, I518/10, J518,3)</f>
        <v>180.00000498545322</v>
      </c>
      <c r="L518" s="47">
        <f>[2]!RcCMaC(C518/10,D518/10,E518,G518*10,H518*10,I518/10,J518,4)</f>
        <v>57.939743400844101</v>
      </c>
      <c r="M518" s="48">
        <f>[2]!RcCMaC(C518/10,D518/10,E518,G518*10,H518*10, I518/10, J518,0)*10</f>
        <v>0</v>
      </c>
      <c r="N518" s="119">
        <v>558</v>
      </c>
      <c r="O518" s="120" t="str">
        <f t="shared" si="91"/>
        <v>NG</v>
      </c>
    </row>
    <row r="519" spans="3:15" x14ac:dyDescent="0.15">
      <c r="C519" s="52">
        <f t="shared" si="84"/>
        <v>500</v>
      </c>
      <c r="D519" s="35">
        <f t="shared" si="85"/>
        <v>190</v>
      </c>
      <c r="E519" s="28" t="str">
        <f t="shared" si="86"/>
        <v>6-D19</v>
      </c>
      <c r="F519" s="112">
        <f t="shared" si="87"/>
        <v>1721.9999313354492</v>
      </c>
      <c r="G519" s="112">
        <f t="shared" si="88"/>
        <v>14</v>
      </c>
      <c r="H519" s="112">
        <f t="shared" si="89"/>
        <v>345</v>
      </c>
      <c r="I519" s="111">
        <f t="shared" ref="I519:I582" si="92">+I518+10</f>
        <v>7330</v>
      </c>
      <c r="J519" s="112">
        <f t="shared" si="90"/>
        <v>15</v>
      </c>
      <c r="K519" s="123">
        <f>[2]!RcCMaC(C519/10,D519/10,E519,G519*10,H519*10, I519/10, J519,3)</f>
        <v>180.00000498545322</v>
      </c>
      <c r="L519" s="47">
        <f>[2]!RcCMaC(C519/10,D519/10,E519,G519*10,H519*10,I519/10,J519,4)</f>
        <v>57.939743400844101</v>
      </c>
      <c r="M519" s="48">
        <f>[2]!RcCMaC(C519/10,D519/10,E519,G519*10,H519*10, I519/10, J519,0)*10</f>
        <v>0</v>
      </c>
      <c r="N519" s="119">
        <v>559</v>
      </c>
      <c r="O519" s="120" t="str">
        <f t="shared" si="91"/>
        <v>NG</v>
      </c>
    </row>
    <row r="520" spans="3:15" x14ac:dyDescent="0.15">
      <c r="C520" s="52">
        <f t="shared" si="84"/>
        <v>500</v>
      </c>
      <c r="D520" s="35">
        <f t="shared" si="85"/>
        <v>190</v>
      </c>
      <c r="E520" s="28" t="str">
        <f t="shared" si="86"/>
        <v>6-D19</v>
      </c>
      <c r="F520" s="112">
        <f t="shared" si="87"/>
        <v>1721.9999313354492</v>
      </c>
      <c r="G520" s="112">
        <f t="shared" si="88"/>
        <v>14</v>
      </c>
      <c r="H520" s="112">
        <f t="shared" si="89"/>
        <v>345</v>
      </c>
      <c r="I520" s="111">
        <f t="shared" si="92"/>
        <v>7340</v>
      </c>
      <c r="J520" s="112">
        <f t="shared" si="90"/>
        <v>15</v>
      </c>
      <c r="K520" s="123">
        <f>[2]!RcCMaC(C520/10,D520/10,E520,G520*10,H520*10, I520/10, J520,3)</f>
        <v>180.00000498545322</v>
      </c>
      <c r="L520" s="47">
        <f>[2]!RcCMaC(C520/10,D520/10,E520,G520*10,H520*10,I520/10,J520,4)</f>
        <v>57.939743400844101</v>
      </c>
      <c r="M520" s="48">
        <f>[2]!RcCMaC(C520/10,D520/10,E520,G520*10,H520*10, I520/10, J520,0)*10</f>
        <v>0</v>
      </c>
      <c r="N520" s="119">
        <v>560</v>
      </c>
      <c r="O520" s="120" t="str">
        <f t="shared" si="91"/>
        <v>NG</v>
      </c>
    </row>
    <row r="521" spans="3:15" x14ac:dyDescent="0.15">
      <c r="C521" s="52">
        <f t="shared" si="84"/>
        <v>500</v>
      </c>
      <c r="D521" s="35">
        <f t="shared" si="85"/>
        <v>190</v>
      </c>
      <c r="E521" s="28" t="str">
        <f t="shared" si="86"/>
        <v>6-D19</v>
      </c>
      <c r="F521" s="112">
        <f t="shared" si="87"/>
        <v>1721.9999313354492</v>
      </c>
      <c r="G521" s="112">
        <f t="shared" si="88"/>
        <v>14</v>
      </c>
      <c r="H521" s="112">
        <f t="shared" si="89"/>
        <v>345</v>
      </c>
      <c r="I521" s="111">
        <f t="shared" si="92"/>
        <v>7350</v>
      </c>
      <c r="J521" s="112">
        <f t="shared" si="90"/>
        <v>15</v>
      </c>
      <c r="K521" s="123">
        <f>[2]!RcCMaC(C521/10,D521/10,E521,G521*10,H521*10, I521/10, J521,3)</f>
        <v>180.00000498545322</v>
      </c>
      <c r="L521" s="47">
        <f>[2]!RcCMaC(C521/10,D521/10,E521,G521*10,H521*10,I521/10,J521,4)</f>
        <v>57.939743400844101</v>
      </c>
      <c r="M521" s="48">
        <f>[2]!RcCMaC(C521/10,D521/10,E521,G521*10,H521*10, I521/10, J521,0)*10</f>
        <v>0</v>
      </c>
      <c r="N521" s="119">
        <v>561</v>
      </c>
      <c r="O521" s="120" t="str">
        <f t="shared" si="91"/>
        <v>NG</v>
      </c>
    </row>
    <row r="522" spans="3:15" x14ac:dyDescent="0.15">
      <c r="C522" s="52">
        <f t="shared" si="84"/>
        <v>500</v>
      </c>
      <c r="D522" s="35">
        <f t="shared" si="85"/>
        <v>190</v>
      </c>
      <c r="E522" s="28" t="str">
        <f t="shared" si="86"/>
        <v>6-D19</v>
      </c>
      <c r="F522" s="112">
        <f t="shared" si="87"/>
        <v>1721.9999313354492</v>
      </c>
      <c r="G522" s="112">
        <f t="shared" si="88"/>
        <v>14</v>
      </c>
      <c r="H522" s="112">
        <f t="shared" si="89"/>
        <v>345</v>
      </c>
      <c r="I522" s="111">
        <f t="shared" si="92"/>
        <v>7360</v>
      </c>
      <c r="J522" s="112">
        <f t="shared" si="90"/>
        <v>15</v>
      </c>
      <c r="K522" s="123">
        <f>[2]!RcCMaC(C522/10,D522/10,E522,G522*10,H522*10, I522/10, J522,3)</f>
        <v>180.00000498545322</v>
      </c>
      <c r="L522" s="47">
        <f>[2]!RcCMaC(C522/10,D522/10,E522,G522*10,H522*10,I522/10,J522,4)</f>
        <v>57.939743400844101</v>
      </c>
      <c r="M522" s="48">
        <f>[2]!RcCMaC(C522/10,D522/10,E522,G522*10,H522*10, I522/10, J522,0)*10</f>
        <v>0</v>
      </c>
      <c r="N522" s="119">
        <v>562</v>
      </c>
      <c r="O522" s="120" t="str">
        <f t="shared" si="91"/>
        <v>NG</v>
      </c>
    </row>
    <row r="523" spans="3:15" x14ac:dyDescent="0.15">
      <c r="C523" s="52">
        <f t="shared" si="84"/>
        <v>500</v>
      </c>
      <c r="D523" s="35">
        <f t="shared" si="85"/>
        <v>190</v>
      </c>
      <c r="E523" s="28" t="str">
        <f t="shared" si="86"/>
        <v>6-D19</v>
      </c>
      <c r="F523" s="112">
        <f t="shared" si="87"/>
        <v>1721.9999313354492</v>
      </c>
      <c r="G523" s="112">
        <f t="shared" si="88"/>
        <v>14</v>
      </c>
      <c r="H523" s="112">
        <f t="shared" si="89"/>
        <v>345</v>
      </c>
      <c r="I523" s="111">
        <f t="shared" si="92"/>
        <v>7370</v>
      </c>
      <c r="J523" s="112">
        <f t="shared" si="90"/>
        <v>15</v>
      </c>
      <c r="K523" s="123">
        <f>[2]!RcCMaC(C523/10,D523/10,E523,G523*10,H523*10, I523/10, J523,3)</f>
        <v>180.00000498545322</v>
      </c>
      <c r="L523" s="47">
        <f>[2]!RcCMaC(C523/10,D523/10,E523,G523*10,H523*10,I523/10,J523,4)</f>
        <v>57.939743400844101</v>
      </c>
      <c r="M523" s="48">
        <f>[2]!RcCMaC(C523/10,D523/10,E523,G523*10,H523*10, I523/10, J523,0)*10</f>
        <v>0</v>
      </c>
      <c r="N523" s="119">
        <v>563</v>
      </c>
      <c r="O523" s="120" t="str">
        <f t="shared" si="91"/>
        <v>NG</v>
      </c>
    </row>
    <row r="524" spans="3:15" x14ac:dyDescent="0.15">
      <c r="C524" s="52">
        <f t="shared" si="84"/>
        <v>500</v>
      </c>
      <c r="D524" s="35">
        <f t="shared" si="85"/>
        <v>190</v>
      </c>
      <c r="E524" s="28" t="str">
        <f t="shared" si="86"/>
        <v>6-D19</v>
      </c>
      <c r="F524" s="112">
        <f t="shared" si="87"/>
        <v>1721.9999313354492</v>
      </c>
      <c r="G524" s="112">
        <f t="shared" si="88"/>
        <v>14</v>
      </c>
      <c r="H524" s="112">
        <f t="shared" si="89"/>
        <v>345</v>
      </c>
      <c r="I524" s="111">
        <f t="shared" si="92"/>
        <v>7380</v>
      </c>
      <c r="J524" s="112">
        <f t="shared" si="90"/>
        <v>15</v>
      </c>
      <c r="K524" s="123">
        <f>[2]!RcCMaC(C524/10,D524/10,E524,G524*10,H524*10, I524/10, J524,3)</f>
        <v>180.00000498545322</v>
      </c>
      <c r="L524" s="47">
        <f>[2]!RcCMaC(C524/10,D524/10,E524,G524*10,H524*10,I524/10,J524,4)</f>
        <v>57.939743400844101</v>
      </c>
      <c r="M524" s="48">
        <f>[2]!RcCMaC(C524/10,D524/10,E524,G524*10,H524*10, I524/10, J524,0)*10</f>
        <v>0</v>
      </c>
      <c r="N524" s="119">
        <v>564</v>
      </c>
      <c r="O524" s="120" t="str">
        <f t="shared" si="91"/>
        <v>NG</v>
      </c>
    </row>
    <row r="525" spans="3:15" x14ac:dyDescent="0.15">
      <c r="C525" s="52">
        <f t="shared" si="84"/>
        <v>500</v>
      </c>
      <c r="D525" s="35">
        <f t="shared" si="85"/>
        <v>190</v>
      </c>
      <c r="E525" s="28" t="str">
        <f t="shared" si="86"/>
        <v>6-D19</v>
      </c>
      <c r="F525" s="112">
        <f t="shared" si="87"/>
        <v>1721.9999313354492</v>
      </c>
      <c r="G525" s="112">
        <f t="shared" si="88"/>
        <v>14</v>
      </c>
      <c r="H525" s="112">
        <f t="shared" si="89"/>
        <v>345</v>
      </c>
      <c r="I525" s="111">
        <f t="shared" si="92"/>
        <v>7390</v>
      </c>
      <c r="J525" s="112">
        <f t="shared" si="90"/>
        <v>15</v>
      </c>
      <c r="K525" s="123">
        <f>[2]!RcCMaC(C525/10,D525/10,E525,G525*10,H525*10, I525/10, J525,3)</f>
        <v>180.00000498545322</v>
      </c>
      <c r="L525" s="47">
        <f>[2]!RcCMaC(C525/10,D525/10,E525,G525*10,H525*10,I525/10,J525,4)</f>
        <v>57.939743400844101</v>
      </c>
      <c r="M525" s="48">
        <f>[2]!RcCMaC(C525/10,D525/10,E525,G525*10,H525*10, I525/10, J525,0)*10</f>
        <v>0</v>
      </c>
      <c r="N525" s="119">
        <v>565</v>
      </c>
      <c r="O525" s="120" t="str">
        <f t="shared" si="91"/>
        <v>NG</v>
      </c>
    </row>
    <row r="526" spans="3:15" x14ac:dyDescent="0.15">
      <c r="C526" s="52">
        <f t="shared" si="84"/>
        <v>500</v>
      </c>
      <c r="D526" s="35">
        <f t="shared" si="85"/>
        <v>190</v>
      </c>
      <c r="E526" s="28" t="str">
        <f t="shared" si="86"/>
        <v>6-D19</v>
      </c>
      <c r="F526" s="112">
        <f t="shared" si="87"/>
        <v>1721.9999313354492</v>
      </c>
      <c r="G526" s="112">
        <f t="shared" si="88"/>
        <v>14</v>
      </c>
      <c r="H526" s="112">
        <f t="shared" si="89"/>
        <v>345</v>
      </c>
      <c r="I526" s="111">
        <f t="shared" si="92"/>
        <v>7400</v>
      </c>
      <c r="J526" s="112">
        <f t="shared" si="90"/>
        <v>15</v>
      </c>
      <c r="K526" s="123">
        <f>[2]!RcCMaC(C526/10,D526/10,E526,G526*10,H526*10, I526/10, J526,3)</f>
        <v>180.00000498545322</v>
      </c>
      <c r="L526" s="47">
        <f>[2]!RcCMaC(C526/10,D526/10,E526,G526*10,H526*10,I526/10,J526,4)</f>
        <v>57.939743400844101</v>
      </c>
      <c r="M526" s="48">
        <f>[2]!RcCMaC(C526/10,D526/10,E526,G526*10,H526*10, I526/10, J526,0)*10</f>
        <v>0</v>
      </c>
      <c r="N526" s="119">
        <v>566</v>
      </c>
      <c r="O526" s="120" t="str">
        <f t="shared" si="91"/>
        <v>NG</v>
      </c>
    </row>
    <row r="527" spans="3:15" x14ac:dyDescent="0.15">
      <c r="C527" s="52">
        <f t="shared" si="84"/>
        <v>500</v>
      </c>
      <c r="D527" s="35">
        <f t="shared" si="85"/>
        <v>190</v>
      </c>
      <c r="E527" s="28" t="str">
        <f t="shared" si="86"/>
        <v>6-D19</v>
      </c>
      <c r="F527" s="112">
        <f t="shared" si="87"/>
        <v>1721.9999313354492</v>
      </c>
      <c r="G527" s="112">
        <f t="shared" si="88"/>
        <v>14</v>
      </c>
      <c r="H527" s="112">
        <f t="shared" si="89"/>
        <v>345</v>
      </c>
      <c r="I527" s="111">
        <f t="shared" si="92"/>
        <v>7410</v>
      </c>
      <c r="J527" s="112">
        <f t="shared" si="90"/>
        <v>15</v>
      </c>
      <c r="K527" s="123">
        <f>[2]!RcCMaC(C527/10,D527/10,E527,G527*10,H527*10, I527/10, J527,3)</f>
        <v>180.00000498545322</v>
      </c>
      <c r="L527" s="47">
        <f>[2]!RcCMaC(C527/10,D527/10,E527,G527*10,H527*10,I527/10,J527,4)</f>
        <v>57.939743400844101</v>
      </c>
      <c r="M527" s="48">
        <f>[2]!RcCMaC(C527/10,D527/10,E527,G527*10,H527*10, I527/10, J527,0)*10</f>
        <v>0</v>
      </c>
      <c r="N527" s="119">
        <v>567</v>
      </c>
      <c r="O527" s="120" t="str">
        <f t="shared" si="91"/>
        <v>NG</v>
      </c>
    </row>
    <row r="528" spans="3:15" x14ac:dyDescent="0.15">
      <c r="C528" s="52">
        <f t="shared" si="84"/>
        <v>500</v>
      </c>
      <c r="D528" s="35">
        <f t="shared" si="85"/>
        <v>190</v>
      </c>
      <c r="E528" s="28" t="str">
        <f t="shared" si="86"/>
        <v>6-D19</v>
      </c>
      <c r="F528" s="112">
        <f t="shared" si="87"/>
        <v>1721.9999313354492</v>
      </c>
      <c r="G528" s="112">
        <f t="shared" si="88"/>
        <v>14</v>
      </c>
      <c r="H528" s="112">
        <f t="shared" si="89"/>
        <v>345</v>
      </c>
      <c r="I528" s="111">
        <f t="shared" si="92"/>
        <v>7420</v>
      </c>
      <c r="J528" s="112">
        <f t="shared" si="90"/>
        <v>15</v>
      </c>
      <c r="K528" s="123">
        <f>[2]!RcCMaC(C528/10,D528/10,E528,G528*10,H528*10, I528/10, J528,3)</f>
        <v>180.00000498545322</v>
      </c>
      <c r="L528" s="47">
        <f>[2]!RcCMaC(C528/10,D528/10,E528,G528*10,H528*10,I528/10,J528,4)</f>
        <v>57.939743400844101</v>
      </c>
      <c r="M528" s="48">
        <f>[2]!RcCMaC(C528/10,D528/10,E528,G528*10,H528*10, I528/10, J528,0)*10</f>
        <v>0</v>
      </c>
      <c r="N528" s="119">
        <v>568</v>
      </c>
      <c r="O528" s="120" t="str">
        <f t="shared" si="91"/>
        <v>NG</v>
      </c>
    </row>
    <row r="529" spans="3:15" x14ac:dyDescent="0.15">
      <c r="C529" s="52">
        <f t="shared" si="84"/>
        <v>500</v>
      </c>
      <c r="D529" s="35">
        <f t="shared" si="85"/>
        <v>190</v>
      </c>
      <c r="E529" s="28" t="str">
        <f t="shared" si="86"/>
        <v>6-D19</v>
      </c>
      <c r="F529" s="112">
        <f t="shared" si="87"/>
        <v>1721.9999313354492</v>
      </c>
      <c r="G529" s="112">
        <f t="shared" si="88"/>
        <v>14</v>
      </c>
      <c r="H529" s="112">
        <f t="shared" si="89"/>
        <v>345</v>
      </c>
      <c r="I529" s="111">
        <f t="shared" si="92"/>
        <v>7430</v>
      </c>
      <c r="J529" s="112">
        <f t="shared" si="90"/>
        <v>15</v>
      </c>
      <c r="K529" s="123">
        <f>[2]!RcCMaC(C529/10,D529/10,E529,G529*10,H529*10, I529/10, J529,3)</f>
        <v>180.00000498545322</v>
      </c>
      <c r="L529" s="47">
        <f>[2]!RcCMaC(C529/10,D529/10,E529,G529*10,H529*10,I529/10,J529,4)</f>
        <v>57.939743400844101</v>
      </c>
      <c r="M529" s="48">
        <f>[2]!RcCMaC(C529/10,D529/10,E529,G529*10,H529*10, I529/10, J529,0)*10</f>
        <v>0</v>
      </c>
      <c r="N529" s="119">
        <v>569</v>
      </c>
      <c r="O529" s="120" t="str">
        <f t="shared" si="91"/>
        <v>NG</v>
      </c>
    </row>
    <row r="530" spans="3:15" x14ac:dyDescent="0.15">
      <c r="C530" s="52">
        <f t="shared" si="84"/>
        <v>500</v>
      </c>
      <c r="D530" s="35">
        <f t="shared" si="85"/>
        <v>190</v>
      </c>
      <c r="E530" s="28" t="str">
        <f t="shared" si="86"/>
        <v>6-D19</v>
      </c>
      <c r="F530" s="112">
        <f t="shared" si="87"/>
        <v>1721.9999313354492</v>
      </c>
      <c r="G530" s="112">
        <f t="shared" si="88"/>
        <v>14</v>
      </c>
      <c r="H530" s="112">
        <f t="shared" si="89"/>
        <v>345</v>
      </c>
      <c r="I530" s="111">
        <f t="shared" si="92"/>
        <v>7440</v>
      </c>
      <c r="J530" s="112">
        <f t="shared" si="90"/>
        <v>15</v>
      </c>
      <c r="K530" s="123">
        <f>[2]!RcCMaC(C530/10,D530/10,E530,G530*10,H530*10, I530/10, J530,3)</f>
        <v>180.00000498545322</v>
      </c>
      <c r="L530" s="47">
        <f>[2]!RcCMaC(C530/10,D530/10,E530,G530*10,H530*10,I530/10,J530,4)</f>
        <v>57.939743400844101</v>
      </c>
      <c r="M530" s="48">
        <f>[2]!RcCMaC(C530/10,D530/10,E530,G530*10,H530*10, I530/10, J530,0)*10</f>
        <v>0</v>
      </c>
      <c r="N530" s="119">
        <v>570</v>
      </c>
      <c r="O530" s="120" t="str">
        <f t="shared" si="91"/>
        <v>NG</v>
      </c>
    </row>
    <row r="531" spans="3:15" x14ac:dyDescent="0.15">
      <c r="C531" s="52">
        <f t="shared" si="84"/>
        <v>500</v>
      </c>
      <c r="D531" s="35">
        <f t="shared" si="85"/>
        <v>190</v>
      </c>
      <c r="E531" s="28" t="str">
        <f t="shared" si="86"/>
        <v>6-D19</v>
      </c>
      <c r="F531" s="112">
        <f t="shared" si="87"/>
        <v>1721.9999313354492</v>
      </c>
      <c r="G531" s="112">
        <f t="shared" si="88"/>
        <v>14</v>
      </c>
      <c r="H531" s="112">
        <f t="shared" si="89"/>
        <v>345</v>
      </c>
      <c r="I531" s="111">
        <f t="shared" si="92"/>
        <v>7450</v>
      </c>
      <c r="J531" s="112">
        <f t="shared" si="90"/>
        <v>15</v>
      </c>
      <c r="K531" s="123">
        <f>[2]!RcCMaC(C531/10,D531/10,E531,G531*10,H531*10, I531/10, J531,3)</f>
        <v>180.00000498545322</v>
      </c>
      <c r="L531" s="47">
        <f>[2]!RcCMaC(C531/10,D531/10,E531,G531*10,H531*10,I531/10,J531,4)</f>
        <v>57.939743400844101</v>
      </c>
      <c r="M531" s="48">
        <f>[2]!RcCMaC(C531/10,D531/10,E531,G531*10,H531*10, I531/10, J531,0)*10</f>
        <v>0</v>
      </c>
      <c r="N531" s="119">
        <v>571</v>
      </c>
      <c r="O531" s="120" t="str">
        <f t="shared" si="91"/>
        <v>NG</v>
      </c>
    </row>
    <row r="532" spans="3:15" x14ac:dyDescent="0.15">
      <c r="C532" s="52">
        <f t="shared" si="84"/>
        <v>500</v>
      </c>
      <c r="D532" s="35">
        <f t="shared" si="85"/>
        <v>190</v>
      </c>
      <c r="E532" s="28" t="str">
        <f t="shared" si="86"/>
        <v>6-D19</v>
      </c>
      <c r="F532" s="112">
        <f t="shared" si="87"/>
        <v>1721.9999313354492</v>
      </c>
      <c r="G532" s="112">
        <f t="shared" si="88"/>
        <v>14</v>
      </c>
      <c r="H532" s="112">
        <f t="shared" si="89"/>
        <v>345</v>
      </c>
      <c r="I532" s="111">
        <f t="shared" si="92"/>
        <v>7460</v>
      </c>
      <c r="J532" s="112">
        <f t="shared" si="90"/>
        <v>15</v>
      </c>
      <c r="K532" s="123">
        <f>[2]!RcCMaC(C532/10,D532/10,E532,G532*10,H532*10, I532/10, J532,3)</f>
        <v>180.00000498545322</v>
      </c>
      <c r="L532" s="47">
        <f>[2]!RcCMaC(C532/10,D532/10,E532,G532*10,H532*10,I532/10,J532,4)</f>
        <v>57.939743400844101</v>
      </c>
      <c r="M532" s="48">
        <f>[2]!RcCMaC(C532/10,D532/10,E532,G532*10,H532*10, I532/10, J532,0)*10</f>
        <v>0</v>
      </c>
      <c r="N532" s="119">
        <v>572</v>
      </c>
      <c r="O532" s="120" t="str">
        <f t="shared" si="91"/>
        <v>NG</v>
      </c>
    </row>
    <row r="533" spans="3:15" x14ac:dyDescent="0.15">
      <c r="C533" s="52">
        <f t="shared" si="84"/>
        <v>500</v>
      </c>
      <c r="D533" s="35">
        <f t="shared" si="85"/>
        <v>190</v>
      </c>
      <c r="E533" s="28" t="str">
        <f t="shared" si="86"/>
        <v>6-D19</v>
      </c>
      <c r="F533" s="112">
        <f t="shared" si="87"/>
        <v>1721.9999313354492</v>
      </c>
      <c r="G533" s="112">
        <f t="shared" si="88"/>
        <v>14</v>
      </c>
      <c r="H533" s="112">
        <f t="shared" si="89"/>
        <v>345</v>
      </c>
      <c r="I533" s="111">
        <f t="shared" si="92"/>
        <v>7470</v>
      </c>
      <c r="J533" s="112">
        <f t="shared" si="90"/>
        <v>15</v>
      </c>
      <c r="K533" s="123">
        <f>[2]!RcCMaC(C533/10,D533/10,E533,G533*10,H533*10, I533/10, J533,3)</f>
        <v>180.00000498545322</v>
      </c>
      <c r="L533" s="47">
        <f>[2]!RcCMaC(C533/10,D533/10,E533,G533*10,H533*10,I533/10,J533,4)</f>
        <v>57.939743400844101</v>
      </c>
      <c r="M533" s="48">
        <f>[2]!RcCMaC(C533/10,D533/10,E533,G533*10,H533*10, I533/10, J533,0)*10</f>
        <v>0</v>
      </c>
      <c r="N533" s="119">
        <v>573</v>
      </c>
      <c r="O533" s="120" t="str">
        <f t="shared" si="91"/>
        <v>NG</v>
      </c>
    </row>
    <row r="534" spans="3:15" x14ac:dyDescent="0.15">
      <c r="C534" s="52">
        <f t="shared" si="84"/>
        <v>500</v>
      </c>
      <c r="D534" s="35">
        <f t="shared" si="85"/>
        <v>190</v>
      </c>
      <c r="E534" s="28" t="str">
        <f t="shared" si="86"/>
        <v>6-D19</v>
      </c>
      <c r="F534" s="112">
        <f t="shared" si="87"/>
        <v>1721.9999313354492</v>
      </c>
      <c r="G534" s="112">
        <f t="shared" si="88"/>
        <v>14</v>
      </c>
      <c r="H534" s="112">
        <f t="shared" si="89"/>
        <v>345</v>
      </c>
      <c r="I534" s="111">
        <f t="shared" si="92"/>
        <v>7480</v>
      </c>
      <c r="J534" s="112">
        <f t="shared" si="90"/>
        <v>15</v>
      </c>
      <c r="K534" s="123">
        <f>[2]!RcCMaC(C534/10,D534/10,E534,G534*10,H534*10, I534/10, J534,3)</f>
        <v>180.00000498545322</v>
      </c>
      <c r="L534" s="47">
        <f>[2]!RcCMaC(C534/10,D534/10,E534,G534*10,H534*10,I534/10,J534,4)</f>
        <v>57.939743400844101</v>
      </c>
      <c r="M534" s="48">
        <f>[2]!RcCMaC(C534/10,D534/10,E534,G534*10,H534*10, I534/10, J534,0)*10</f>
        <v>0</v>
      </c>
      <c r="N534" s="119">
        <v>574</v>
      </c>
      <c r="O534" s="120" t="str">
        <f t="shared" si="91"/>
        <v>NG</v>
      </c>
    </row>
    <row r="535" spans="3:15" x14ac:dyDescent="0.15">
      <c r="C535" s="52">
        <f t="shared" si="84"/>
        <v>500</v>
      </c>
      <c r="D535" s="35">
        <f t="shared" si="85"/>
        <v>190</v>
      </c>
      <c r="E535" s="28" t="str">
        <f t="shared" si="86"/>
        <v>6-D19</v>
      </c>
      <c r="F535" s="112">
        <f t="shared" si="87"/>
        <v>1721.9999313354492</v>
      </c>
      <c r="G535" s="112">
        <f t="shared" si="88"/>
        <v>14</v>
      </c>
      <c r="H535" s="112">
        <f t="shared" si="89"/>
        <v>345</v>
      </c>
      <c r="I535" s="111">
        <f t="shared" si="92"/>
        <v>7490</v>
      </c>
      <c r="J535" s="112">
        <f t="shared" si="90"/>
        <v>15</v>
      </c>
      <c r="K535" s="123">
        <f>[2]!RcCMaC(C535/10,D535/10,E535,G535*10,H535*10, I535/10, J535,3)</f>
        <v>180.00000498545322</v>
      </c>
      <c r="L535" s="47">
        <f>[2]!RcCMaC(C535/10,D535/10,E535,G535*10,H535*10,I535/10,J535,4)</f>
        <v>57.939743400844101</v>
      </c>
      <c r="M535" s="48">
        <f>[2]!RcCMaC(C535/10,D535/10,E535,G535*10,H535*10, I535/10, J535,0)*10</f>
        <v>0</v>
      </c>
      <c r="N535" s="119">
        <v>575</v>
      </c>
      <c r="O535" s="120" t="str">
        <f t="shared" si="91"/>
        <v>NG</v>
      </c>
    </row>
    <row r="536" spans="3:15" x14ac:dyDescent="0.15">
      <c r="C536" s="52">
        <f t="shared" si="84"/>
        <v>500</v>
      </c>
      <c r="D536" s="35">
        <f t="shared" si="85"/>
        <v>190</v>
      </c>
      <c r="E536" s="28" t="str">
        <f t="shared" si="86"/>
        <v>6-D19</v>
      </c>
      <c r="F536" s="112">
        <f t="shared" si="87"/>
        <v>1721.9999313354492</v>
      </c>
      <c r="G536" s="112">
        <f t="shared" si="88"/>
        <v>14</v>
      </c>
      <c r="H536" s="112">
        <f t="shared" si="89"/>
        <v>345</v>
      </c>
      <c r="I536" s="111">
        <f t="shared" si="92"/>
        <v>7500</v>
      </c>
      <c r="J536" s="112">
        <f t="shared" si="90"/>
        <v>15</v>
      </c>
      <c r="K536" s="123">
        <f>[2]!RcCMaC(C536/10,D536/10,E536,G536*10,H536*10, I536/10, J536,3)</f>
        <v>180.00000498545322</v>
      </c>
      <c r="L536" s="47">
        <f>[2]!RcCMaC(C536/10,D536/10,E536,G536*10,H536*10,I536/10,J536,4)</f>
        <v>57.939743400844101</v>
      </c>
      <c r="M536" s="48">
        <f>[2]!RcCMaC(C536/10,D536/10,E536,G536*10,H536*10, I536/10, J536,0)*10</f>
        <v>0</v>
      </c>
      <c r="N536" s="119">
        <v>576</v>
      </c>
      <c r="O536" s="120" t="str">
        <f t="shared" si="91"/>
        <v>NG</v>
      </c>
    </row>
    <row r="537" spans="3:15" x14ac:dyDescent="0.15">
      <c r="C537" s="52">
        <f t="shared" si="84"/>
        <v>500</v>
      </c>
      <c r="D537" s="35">
        <f t="shared" si="85"/>
        <v>190</v>
      </c>
      <c r="E537" s="28" t="str">
        <f t="shared" si="86"/>
        <v>6-D19</v>
      </c>
      <c r="F537" s="112">
        <f t="shared" si="87"/>
        <v>1721.9999313354492</v>
      </c>
      <c r="G537" s="112">
        <f t="shared" si="88"/>
        <v>14</v>
      </c>
      <c r="H537" s="112">
        <f t="shared" si="89"/>
        <v>345</v>
      </c>
      <c r="I537" s="111">
        <f t="shared" si="92"/>
        <v>7510</v>
      </c>
      <c r="J537" s="112">
        <f t="shared" si="90"/>
        <v>15</v>
      </c>
      <c r="K537" s="123">
        <f>[2]!RcCMaC(C537/10,D537/10,E537,G537*10,H537*10, I537/10, J537,3)</f>
        <v>180.00000498545322</v>
      </c>
      <c r="L537" s="47">
        <f>[2]!RcCMaC(C537/10,D537/10,E537,G537*10,H537*10,I537/10,J537,4)</f>
        <v>57.939743400844101</v>
      </c>
      <c r="M537" s="48">
        <f>[2]!RcCMaC(C537/10,D537/10,E537,G537*10,H537*10, I537/10, J537,0)*10</f>
        <v>0</v>
      </c>
      <c r="N537" s="119">
        <v>577</v>
      </c>
      <c r="O537" s="120" t="str">
        <f t="shared" si="91"/>
        <v>NG</v>
      </c>
    </row>
    <row r="538" spans="3:15" x14ac:dyDescent="0.15">
      <c r="C538" s="52">
        <f t="shared" si="84"/>
        <v>500</v>
      </c>
      <c r="D538" s="35">
        <f t="shared" si="85"/>
        <v>190</v>
      </c>
      <c r="E538" s="28" t="str">
        <f t="shared" si="86"/>
        <v>6-D19</v>
      </c>
      <c r="F538" s="112">
        <f t="shared" si="87"/>
        <v>1721.9999313354492</v>
      </c>
      <c r="G538" s="112">
        <f t="shared" si="88"/>
        <v>14</v>
      </c>
      <c r="H538" s="112">
        <f t="shared" si="89"/>
        <v>345</v>
      </c>
      <c r="I538" s="111">
        <f t="shared" si="92"/>
        <v>7520</v>
      </c>
      <c r="J538" s="112">
        <f t="shared" si="90"/>
        <v>15</v>
      </c>
      <c r="K538" s="123">
        <f>[2]!RcCMaC(C538/10,D538/10,E538,G538*10,H538*10, I538/10, J538,3)</f>
        <v>180.00000498545322</v>
      </c>
      <c r="L538" s="47">
        <f>[2]!RcCMaC(C538/10,D538/10,E538,G538*10,H538*10,I538/10,J538,4)</f>
        <v>57.939743400844101</v>
      </c>
      <c r="M538" s="48">
        <f>[2]!RcCMaC(C538/10,D538/10,E538,G538*10,H538*10, I538/10, J538,0)*10</f>
        <v>0</v>
      </c>
      <c r="N538" s="119">
        <v>578</v>
      </c>
      <c r="O538" s="120" t="str">
        <f t="shared" si="91"/>
        <v>NG</v>
      </c>
    </row>
    <row r="539" spans="3:15" x14ac:dyDescent="0.15">
      <c r="C539" s="52">
        <f t="shared" si="84"/>
        <v>500</v>
      </c>
      <c r="D539" s="35">
        <f t="shared" si="85"/>
        <v>190</v>
      </c>
      <c r="E539" s="28" t="str">
        <f t="shared" si="86"/>
        <v>6-D19</v>
      </c>
      <c r="F539" s="112">
        <f t="shared" si="87"/>
        <v>1721.9999313354492</v>
      </c>
      <c r="G539" s="112">
        <f t="shared" si="88"/>
        <v>14</v>
      </c>
      <c r="H539" s="112">
        <f t="shared" si="89"/>
        <v>345</v>
      </c>
      <c r="I539" s="111">
        <f t="shared" si="92"/>
        <v>7530</v>
      </c>
      <c r="J539" s="112">
        <f t="shared" si="90"/>
        <v>15</v>
      </c>
      <c r="K539" s="123">
        <f>[2]!RcCMaC(C539/10,D539/10,E539,G539*10,H539*10, I539/10, J539,3)</f>
        <v>180.00000498545322</v>
      </c>
      <c r="L539" s="47">
        <f>[2]!RcCMaC(C539/10,D539/10,E539,G539*10,H539*10,I539/10,J539,4)</f>
        <v>57.939743400844101</v>
      </c>
      <c r="M539" s="48">
        <f>[2]!RcCMaC(C539/10,D539/10,E539,G539*10,H539*10, I539/10, J539,0)*10</f>
        <v>0</v>
      </c>
      <c r="N539" s="119">
        <v>579</v>
      </c>
      <c r="O539" s="120" t="str">
        <f t="shared" si="91"/>
        <v>NG</v>
      </c>
    </row>
    <row r="540" spans="3:15" x14ac:dyDescent="0.15">
      <c r="C540" s="52">
        <f t="shared" si="84"/>
        <v>500</v>
      </c>
      <c r="D540" s="35">
        <f t="shared" si="85"/>
        <v>190</v>
      </c>
      <c r="E540" s="28" t="str">
        <f t="shared" si="86"/>
        <v>6-D19</v>
      </c>
      <c r="F540" s="112">
        <f t="shared" si="87"/>
        <v>1721.9999313354492</v>
      </c>
      <c r="G540" s="112">
        <f t="shared" si="88"/>
        <v>14</v>
      </c>
      <c r="H540" s="112">
        <f t="shared" si="89"/>
        <v>345</v>
      </c>
      <c r="I540" s="111">
        <f t="shared" si="92"/>
        <v>7540</v>
      </c>
      <c r="J540" s="112">
        <f t="shared" si="90"/>
        <v>15</v>
      </c>
      <c r="K540" s="123">
        <f>[2]!RcCMaC(C540/10,D540/10,E540,G540*10,H540*10, I540/10, J540,3)</f>
        <v>180.00000498545322</v>
      </c>
      <c r="L540" s="47">
        <f>[2]!RcCMaC(C540/10,D540/10,E540,G540*10,H540*10,I540/10,J540,4)</f>
        <v>57.939743400844101</v>
      </c>
      <c r="M540" s="48">
        <f>[2]!RcCMaC(C540/10,D540/10,E540,G540*10,H540*10, I540/10, J540,0)*10</f>
        <v>0</v>
      </c>
      <c r="N540" s="119">
        <v>580</v>
      </c>
      <c r="O540" s="120" t="str">
        <f t="shared" si="91"/>
        <v>NG</v>
      </c>
    </row>
    <row r="541" spans="3:15" x14ac:dyDescent="0.15">
      <c r="C541" s="52">
        <f t="shared" si="84"/>
        <v>500</v>
      </c>
      <c r="D541" s="35">
        <f t="shared" si="85"/>
        <v>190</v>
      </c>
      <c r="E541" s="28" t="str">
        <f t="shared" si="86"/>
        <v>6-D19</v>
      </c>
      <c r="F541" s="112">
        <f t="shared" si="87"/>
        <v>1721.9999313354492</v>
      </c>
      <c r="G541" s="112">
        <f t="shared" si="88"/>
        <v>14</v>
      </c>
      <c r="H541" s="112">
        <f t="shared" si="89"/>
        <v>345</v>
      </c>
      <c r="I541" s="111">
        <f t="shared" si="92"/>
        <v>7550</v>
      </c>
      <c r="J541" s="112">
        <f t="shared" si="90"/>
        <v>15</v>
      </c>
      <c r="K541" s="123">
        <f>[2]!RcCMaC(C541/10,D541/10,E541,G541*10,H541*10, I541/10, J541,3)</f>
        <v>180.00000498545322</v>
      </c>
      <c r="L541" s="47">
        <f>[2]!RcCMaC(C541/10,D541/10,E541,G541*10,H541*10,I541/10,J541,4)</f>
        <v>57.939743400844101</v>
      </c>
      <c r="M541" s="48">
        <f>[2]!RcCMaC(C541/10,D541/10,E541,G541*10,H541*10, I541/10, J541,0)*10</f>
        <v>0</v>
      </c>
      <c r="N541" s="119">
        <v>581</v>
      </c>
      <c r="O541" s="120" t="str">
        <f t="shared" si="91"/>
        <v>NG</v>
      </c>
    </row>
    <row r="542" spans="3:15" x14ac:dyDescent="0.15">
      <c r="C542" s="52">
        <f t="shared" si="84"/>
        <v>500</v>
      </c>
      <c r="D542" s="35">
        <f t="shared" si="85"/>
        <v>190</v>
      </c>
      <c r="E542" s="28" t="str">
        <f t="shared" si="86"/>
        <v>6-D19</v>
      </c>
      <c r="F542" s="112">
        <f t="shared" si="87"/>
        <v>1721.9999313354492</v>
      </c>
      <c r="G542" s="112">
        <f t="shared" si="88"/>
        <v>14</v>
      </c>
      <c r="H542" s="112">
        <f t="shared" si="89"/>
        <v>345</v>
      </c>
      <c r="I542" s="111">
        <f t="shared" si="92"/>
        <v>7560</v>
      </c>
      <c r="J542" s="112">
        <f t="shared" si="90"/>
        <v>15</v>
      </c>
      <c r="K542" s="123">
        <f>[2]!RcCMaC(C542/10,D542/10,E542,G542*10,H542*10, I542/10, J542,3)</f>
        <v>180.00000498545322</v>
      </c>
      <c r="L542" s="47">
        <f>[2]!RcCMaC(C542/10,D542/10,E542,G542*10,H542*10,I542/10,J542,4)</f>
        <v>57.939743400844101</v>
      </c>
      <c r="M542" s="48">
        <f>[2]!RcCMaC(C542/10,D542/10,E542,G542*10,H542*10, I542/10, J542,0)*10</f>
        <v>0</v>
      </c>
      <c r="N542" s="119">
        <v>582</v>
      </c>
      <c r="O542" s="120" t="str">
        <f t="shared" si="91"/>
        <v>NG</v>
      </c>
    </row>
    <row r="543" spans="3:15" x14ac:dyDescent="0.15">
      <c r="C543" s="52">
        <f t="shared" si="84"/>
        <v>500</v>
      </c>
      <c r="D543" s="35">
        <f t="shared" si="85"/>
        <v>190</v>
      </c>
      <c r="E543" s="28" t="str">
        <f t="shared" si="86"/>
        <v>6-D19</v>
      </c>
      <c r="F543" s="112">
        <f t="shared" si="87"/>
        <v>1721.9999313354492</v>
      </c>
      <c r="G543" s="112">
        <f t="shared" si="88"/>
        <v>14</v>
      </c>
      <c r="H543" s="112">
        <f t="shared" si="89"/>
        <v>345</v>
      </c>
      <c r="I543" s="111">
        <f t="shared" si="92"/>
        <v>7570</v>
      </c>
      <c r="J543" s="112">
        <f t="shared" si="90"/>
        <v>15</v>
      </c>
      <c r="K543" s="123">
        <f>[2]!RcCMaC(C543/10,D543/10,E543,G543*10,H543*10, I543/10, J543,3)</f>
        <v>180.00000498545322</v>
      </c>
      <c r="L543" s="47">
        <f>[2]!RcCMaC(C543/10,D543/10,E543,G543*10,H543*10,I543/10,J543,4)</f>
        <v>57.939743400844101</v>
      </c>
      <c r="M543" s="48">
        <f>[2]!RcCMaC(C543/10,D543/10,E543,G543*10,H543*10, I543/10, J543,0)*10</f>
        <v>0</v>
      </c>
      <c r="N543" s="119">
        <v>583</v>
      </c>
      <c r="O543" s="120" t="str">
        <f t="shared" si="91"/>
        <v>NG</v>
      </c>
    </row>
    <row r="544" spans="3:15" x14ac:dyDescent="0.15">
      <c r="C544" s="52">
        <f t="shared" si="84"/>
        <v>500</v>
      </c>
      <c r="D544" s="35">
        <f t="shared" si="85"/>
        <v>190</v>
      </c>
      <c r="E544" s="28" t="str">
        <f t="shared" si="86"/>
        <v>6-D19</v>
      </c>
      <c r="F544" s="112">
        <f t="shared" si="87"/>
        <v>1721.9999313354492</v>
      </c>
      <c r="G544" s="112">
        <f t="shared" si="88"/>
        <v>14</v>
      </c>
      <c r="H544" s="112">
        <f t="shared" si="89"/>
        <v>345</v>
      </c>
      <c r="I544" s="111">
        <f t="shared" si="92"/>
        <v>7580</v>
      </c>
      <c r="J544" s="112">
        <f t="shared" si="90"/>
        <v>15</v>
      </c>
      <c r="K544" s="123">
        <f>[2]!RcCMaC(C544/10,D544/10,E544,G544*10,H544*10, I544/10, J544,3)</f>
        <v>180.00000498545322</v>
      </c>
      <c r="L544" s="47">
        <f>[2]!RcCMaC(C544/10,D544/10,E544,G544*10,H544*10,I544/10,J544,4)</f>
        <v>57.939743400844101</v>
      </c>
      <c r="M544" s="48">
        <f>[2]!RcCMaC(C544/10,D544/10,E544,G544*10,H544*10, I544/10, J544,0)*10</f>
        <v>0</v>
      </c>
      <c r="N544" s="119">
        <v>584</v>
      </c>
      <c r="O544" s="120" t="str">
        <f t="shared" si="91"/>
        <v>NG</v>
      </c>
    </row>
    <row r="545" spans="3:15" x14ac:dyDescent="0.15">
      <c r="C545" s="52">
        <f t="shared" si="84"/>
        <v>500</v>
      </c>
      <c r="D545" s="35">
        <f t="shared" si="85"/>
        <v>190</v>
      </c>
      <c r="E545" s="28" t="str">
        <f t="shared" si="86"/>
        <v>6-D19</v>
      </c>
      <c r="F545" s="112">
        <f t="shared" si="87"/>
        <v>1721.9999313354492</v>
      </c>
      <c r="G545" s="112">
        <f t="shared" si="88"/>
        <v>14</v>
      </c>
      <c r="H545" s="112">
        <f t="shared" si="89"/>
        <v>345</v>
      </c>
      <c r="I545" s="111">
        <f t="shared" si="92"/>
        <v>7590</v>
      </c>
      <c r="J545" s="112">
        <f t="shared" si="90"/>
        <v>15</v>
      </c>
      <c r="K545" s="123">
        <f>[2]!RcCMaC(C545/10,D545/10,E545,G545*10,H545*10, I545/10, J545,3)</f>
        <v>180.00000498545322</v>
      </c>
      <c r="L545" s="47">
        <f>[2]!RcCMaC(C545/10,D545/10,E545,G545*10,H545*10,I545/10,J545,4)</f>
        <v>57.939743400844101</v>
      </c>
      <c r="M545" s="48">
        <f>[2]!RcCMaC(C545/10,D545/10,E545,G545*10,H545*10, I545/10, J545,0)*10</f>
        <v>0</v>
      </c>
      <c r="N545" s="119">
        <v>585</v>
      </c>
      <c r="O545" s="120" t="str">
        <f t="shared" si="91"/>
        <v>NG</v>
      </c>
    </row>
    <row r="546" spans="3:15" x14ac:dyDescent="0.15">
      <c r="C546" s="52">
        <f t="shared" si="84"/>
        <v>500</v>
      </c>
      <c r="D546" s="35">
        <f t="shared" si="85"/>
        <v>190</v>
      </c>
      <c r="E546" s="28" t="str">
        <f t="shared" si="86"/>
        <v>6-D19</v>
      </c>
      <c r="F546" s="112">
        <f t="shared" si="87"/>
        <v>1721.9999313354492</v>
      </c>
      <c r="G546" s="112">
        <f t="shared" si="88"/>
        <v>14</v>
      </c>
      <c r="H546" s="112">
        <f t="shared" si="89"/>
        <v>345</v>
      </c>
      <c r="I546" s="111">
        <f t="shared" si="92"/>
        <v>7600</v>
      </c>
      <c r="J546" s="112">
        <f t="shared" si="90"/>
        <v>15</v>
      </c>
      <c r="K546" s="123">
        <f>[2]!RcCMaC(C546/10,D546/10,E546,G546*10,H546*10, I546/10, J546,3)</f>
        <v>180.00000498545322</v>
      </c>
      <c r="L546" s="47">
        <f>[2]!RcCMaC(C546/10,D546/10,E546,G546*10,H546*10,I546/10,J546,4)</f>
        <v>57.939743400844101</v>
      </c>
      <c r="M546" s="48">
        <f>[2]!RcCMaC(C546/10,D546/10,E546,G546*10,H546*10, I546/10, J546,0)*10</f>
        <v>0</v>
      </c>
      <c r="N546" s="119">
        <v>586</v>
      </c>
      <c r="O546" s="120" t="str">
        <f t="shared" si="91"/>
        <v>NG</v>
      </c>
    </row>
    <row r="547" spans="3:15" x14ac:dyDescent="0.15">
      <c r="C547" s="52">
        <f t="shared" si="84"/>
        <v>500</v>
      </c>
      <c r="D547" s="35">
        <f t="shared" si="85"/>
        <v>190</v>
      </c>
      <c r="E547" s="28" t="str">
        <f t="shared" si="86"/>
        <v>6-D19</v>
      </c>
      <c r="F547" s="112">
        <f t="shared" si="87"/>
        <v>1721.9999313354492</v>
      </c>
      <c r="G547" s="112">
        <f t="shared" si="88"/>
        <v>14</v>
      </c>
      <c r="H547" s="112">
        <f t="shared" si="89"/>
        <v>345</v>
      </c>
      <c r="I547" s="111">
        <f t="shared" si="92"/>
        <v>7610</v>
      </c>
      <c r="J547" s="112">
        <f t="shared" si="90"/>
        <v>15</v>
      </c>
      <c r="K547" s="123">
        <f>[2]!RcCMaC(C547/10,D547/10,E547,G547*10,H547*10, I547/10, J547,3)</f>
        <v>180.00000498545322</v>
      </c>
      <c r="L547" s="47">
        <f>[2]!RcCMaC(C547/10,D547/10,E547,G547*10,H547*10,I547/10,J547,4)</f>
        <v>57.939743400844101</v>
      </c>
      <c r="M547" s="48">
        <f>[2]!RcCMaC(C547/10,D547/10,E547,G547*10,H547*10, I547/10, J547,0)*10</f>
        <v>0</v>
      </c>
      <c r="N547" s="119">
        <v>587</v>
      </c>
      <c r="O547" s="120" t="str">
        <f t="shared" si="91"/>
        <v>NG</v>
      </c>
    </row>
    <row r="548" spans="3:15" x14ac:dyDescent="0.15">
      <c r="C548" s="52">
        <f t="shared" si="84"/>
        <v>500</v>
      </c>
      <c r="D548" s="35">
        <f t="shared" si="85"/>
        <v>190</v>
      </c>
      <c r="E548" s="28" t="str">
        <f t="shared" si="86"/>
        <v>6-D19</v>
      </c>
      <c r="F548" s="112">
        <f t="shared" si="87"/>
        <v>1721.9999313354492</v>
      </c>
      <c r="G548" s="112">
        <f t="shared" si="88"/>
        <v>14</v>
      </c>
      <c r="H548" s="112">
        <f t="shared" si="89"/>
        <v>345</v>
      </c>
      <c r="I548" s="111">
        <f t="shared" si="92"/>
        <v>7620</v>
      </c>
      <c r="J548" s="112">
        <f t="shared" si="90"/>
        <v>15</v>
      </c>
      <c r="K548" s="123">
        <f>[2]!RcCMaC(C548/10,D548/10,E548,G548*10,H548*10, I548/10, J548,3)</f>
        <v>180.00000498545322</v>
      </c>
      <c r="L548" s="47">
        <f>[2]!RcCMaC(C548/10,D548/10,E548,G548*10,H548*10,I548/10,J548,4)</f>
        <v>57.939743400844101</v>
      </c>
      <c r="M548" s="48">
        <f>[2]!RcCMaC(C548/10,D548/10,E548,G548*10,H548*10, I548/10, J548,0)*10</f>
        <v>0</v>
      </c>
      <c r="N548" s="119">
        <v>588</v>
      </c>
      <c r="O548" s="120" t="str">
        <f t="shared" si="91"/>
        <v>NG</v>
      </c>
    </row>
    <row r="549" spans="3:15" x14ac:dyDescent="0.15">
      <c r="C549" s="52">
        <f t="shared" si="84"/>
        <v>500</v>
      </c>
      <c r="D549" s="35">
        <f t="shared" si="85"/>
        <v>190</v>
      </c>
      <c r="E549" s="28" t="str">
        <f t="shared" si="86"/>
        <v>6-D19</v>
      </c>
      <c r="F549" s="112">
        <f t="shared" si="87"/>
        <v>1721.9999313354492</v>
      </c>
      <c r="G549" s="112">
        <f t="shared" si="88"/>
        <v>14</v>
      </c>
      <c r="H549" s="112">
        <f t="shared" si="89"/>
        <v>345</v>
      </c>
      <c r="I549" s="111">
        <f t="shared" si="92"/>
        <v>7630</v>
      </c>
      <c r="J549" s="112">
        <f t="shared" si="90"/>
        <v>15</v>
      </c>
      <c r="K549" s="123">
        <f>[2]!RcCMaC(C549/10,D549/10,E549,G549*10,H549*10, I549/10, J549,3)</f>
        <v>180.00000498545322</v>
      </c>
      <c r="L549" s="47">
        <f>[2]!RcCMaC(C549/10,D549/10,E549,G549*10,H549*10,I549/10,J549,4)</f>
        <v>57.939743400844101</v>
      </c>
      <c r="M549" s="48">
        <f>[2]!RcCMaC(C549/10,D549/10,E549,G549*10,H549*10, I549/10, J549,0)*10</f>
        <v>0</v>
      </c>
      <c r="N549" s="119">
        <v>589</v>
      </c>
      <c r="O549" s="120" t="str">
        <f t="shared" si="91"/>
        <v>NG</v>
      </c>
    </row>
    <row r="550" spans="3:15" x14ac:dyDescent="0.15">
      <c r="C550" s="52">
        <f t="shared" si="84"/>
        <v>500</v>
      </c>
      <c r="D550" s="35">
        <f t="shared" si="85"/>
        <v>190</v>
      </c>
      <c r="E550" s="28" t="str">
        <f t="shared" si="86"/>
        <v>6-D19</v>
      </c>
      <c r="F550" s="112">
        <f t="shared" si="87"/>
        <v>1721.9999313354492</v>
      </c>
      <c r="G550" s="112">
        <f t="shared" si="88"/>
        <v>14</v>
      </c>
      <c r="H550" s="112">
        <f t="shared" si="89"/>
        <v>345</v>
      </c>
      <c r="I550" s="111">
        <f t="shared" si="92"/>
        <v>7640</v>
      </c>
      <c r="J550" s="112">
        <f t="shared" si="90"/>
        <v>15</v>
      </c>
      <c r="K550" s="123">
        <f>[2]!RcCMaC(C550/10,D550/10,E550,G550*10,H550*10, I550/10, J550,3)</f>
        <v>180.00000498545322</v>
      </c>
      <c r="L550" s="47">
        <f>[2]!RcCMaC(C550/10,D550/10,E550,G550*10,H550*10,I550/10,J550,4)</f>
        <v>57.939743400844101</v>
      </c>
      <c r="M550" s="48">
        <f>[2]!RcCMaC(C550/10,D550/10,E550,G550*10,H550*10, I550/10, J550,0)*10</f>
        <v>0</v>
      </c>
      <c r="N550" s="119">
        <v>590</v>
      </c>
      <c r="O550" s="120" t="str">
        <f t="shared" si="91"/>
        <v>NG</v>
      </c>
    </row>
    <row r="551" spans="3:15" x14ac:dyDescent="0.15">
      <c r="C551" s="52">
        <f t="shared" si="84"/>
        <v>500</v>
      </c>
      <c r="D551" s="35">
        <f t="shared" si="85"/>
        <v>190</v>
      </c>
      <c r="E551" s="28" t="str">
        <f t="shared" si="86"/>
        <v>6-D19</v>
      </c>
      <c r="F551" s="112">
        <f t="shared" si="87"/>
        <v>1721.9999313354492</v>
      </c>
      <c r="G551" s="112">
        <f t="shared" si="88"/>
        <v>14</v>
      </c>
      <c r="H551" s="112">
        <f t="shared" si="89"/>
        <v>345</v>
      </c>
      <c r="I551" s="111">
        <f t="shared" si="92"/>
        <v>7650</v>
      </c>
      <c r="J551" s="112">
        <f t="shared" si="90"/>
        <v>15</v>
      </c>
      <c r="K551" s="123">
        <f>[2]!RcCMaC(C551/10,D551/10,E551,G551*10,H551*10, I551/10, J551,3)</f>
        <v>180.00000498545322</v>
      </c>
      <c r="L551" s="47">
        <f>[2]!RcCMaC(C551/10,D551/10,E551,G551*10,H551*10,I551/10,J551,4)</f>
        <v>57.939743400844101</v>
      </c>
      <c r="M551" s="48">
        <f>[2]!RcCMaC(C551/10,D551/10,E551,G551*10,H551*10, I551/10, J551,0)*10</f>
        <v>0</v>
      </c>
      <c r="N551" s="119">
        <v>591</v>
      </c>
      <c r="O551" s="120" t="str">
        <f t="shared" si="91"/>
        <v>NG</v>
      </c>
    </row>
    <row r="552" spans="3:15" x14ac:dyDescent="0.15">
      <c r="C552" s="52">
        <f t="shared" si="84"/>
        <v>500</v>
      </c>
      <c r="D552" s="35">
        <f t="shared" si="85"/>
        <v>190</v>
      </c>
      <c r="E552" s="28" t="str">
        <f t="shared" si="86"/>
        <v>6-D19</v>
      </c>
      <c r="F552" s="112">
        <f t="shared" si="87"/>
        <v>1721.9999313354492</v>
      </c>
      <c r="G552" s="112">
        <f t="shared" si="88"/>
        <v>14</v>
      </c>
      <c r="H552" s="112">
        <f t="shared" si="89"/>
        <v>345</v>
      </c>
      <c r="I552" s="111">
        <f t="shared" si="92"/>
        <v>7660</v>
      </c>
      <c r="J552" s="112">
        <f t="shared" si="90"/>
        <v>15</v>
      </c>
      <c r="K552" s="123">
        <f>[2]!RcCMaC(C552/10,D552/10,E552,G552*10,H552*10, I552/10, J552,3)</f>
        <v>180.00000498545322</v>
      </c>
      <c r="L552" s="47">
        <f>[2]!RcCMaC(C552/10,D552/10,E552,G552*10,H552*10,I552/10,J552,4)</f>
        <v>57.939743400844101</v>
      </c>
      <c r="M552" s="48">
        <f>[2]!RcCMaC(C552/10,D552/10,E552,G552*10,H552*10, I552/10, J552,0)*10</f>
        <v>0</v>
      </c>
      <c r="N552" s="119">
        <v>592</v>
      </c>
      <c r="O552" s="120" t="str">
        <f t="shared" si="91"/>
        <v>NG</v>
      </c>
    </row>
    <row r="553" spans="3:15" x14ac:dyDescent="0.15">
      <c r="C553" s="52">
        <f t="shared" si="84"/>
        <v>500</v>
      </c>
      <c r="D553" s="35">
        <f t="shared" si="85"/>
        <v>190</v>
      </c>
      <c r="E553" s="28" t="str">
        <f t="shared" si="86"/>
        <v>6-D19</v>
      </c>
      <c r="F553" s="112">
        <f t="shared" si="87"/>
        <v>1721.9999313354492</v>
      </c>
      <c r="G553" s="112">
        <f t="shared" si="88"/>
        <v>14</v>
      </c>
      <c r="H553" s="112">
        <f t="shared" si="89"/>
        <v>345</v>
      </c>
      <c r="I553" s="111">
        <f t="shared" si="92"/>
        <v>7670</v>
      </c>
      <c r="J553" s="112">
        <f t="shared" si="90"/>
        <v>15</v>
      </c>
      <c r="K553" s="123">
        <f>[2]!RcCMaC(C553/10,D553/10,E553,G553*10,H553*10, I553/10, J553,3)</f>
        <v>180.00000498545322</v>
      </c>
      <c r="L553" s="47">
        <f>[2]!RcCMaC(C553/10,D553/10,E553,G553*10,H553*10,I553/10,J553,4)</f>
        <v>57.939743400844101</v>
      </c>
      <c r="M553" s="48">
        <f>[2]!RcCMaC(C553/10,D553/10,E553,G553*10,H553*10, I553/10, J553,0)*10</f>
        <v>0</v>
      </c>
      <c r="N553" s="119">
        <v>593</v>
      </c>
      <c r="O553" s="120" t="str">
        <f t="shared" si="91"/>
        <v>NG</v>
      </c>
    </row>
    <row r="554" spans="3:15" x14ac:dyDescent="0.15">
      <c r="C554" s="52">
        <f t="shared" si="84"/>
        <v>500</v>
      </c>
      <c r="D554" s="35">
        <f t="shared" si="85"/>
        <v>190</v>
      </c>
      <c r="E554" s="28" t="str">
        <f t="shared" si="86"/>
        <v>6-D19</v>
      </c>
      <c r="F554" s="112">
        <f t="shared" si="87"/>
        <v>1721.9999313354492</v>
      </c>
      <c r="G554" s="112">
        <f t="shared" si="88"/>
        <v>14</v>
      </c>
      <c r="H554" s="112">
        <f t="shared" si="89"/>
        <v>345</v>
      </c>
      <c r="I554" s="111">
        <f t="shared" si="92"/>
        <v>7680</v>
      </c>
      <c r="J554" s="112">
        <f t="shared" si="90"/>
        <v>15</v>
      </c>
      <c r="K554" s="123">
        <f>[2]!RcCMaC(C554/10,D554/10,E554,G554*10,H554*10, I554/10, J554,3)</f>
        <v>180.00000498545322</v>
      </c>
      <c r="L554" s="47">
        <f>[2]!RcCMaC(C554/10,D554/10,E554,G554*10,H554*10,I554/10,J554,4)</f>
        <v>57.939743400844101</v>
      </c>
      <c r="M554" s="48">
        <f>[2]!RcCMaC(C554/10,D554/10,E554,G554*10,H554*10, I554/10, J554,0)*10</f>
        <v>0</v>
      </c>
      <c r="N554" s="119">
        <v>594</v>
      </c>
      <c r="O554" s="120" t="str">
        <f t="shared" si="91"/>
        <v>NG</v>
      </c>
    </row>
    <row r="555" spans="3:15" x14ac:dyDescent="0.15">
      <c r="C555" s="52">
        <f t="shared" si="84"/>
        <v>500</v>
      </c>
      <c r="D555" s="35">
        <f t="shared" si="85"/>
        <v>190</v>
      </c>
      <c r="E555" s="28" t="str">
        <f t="shared" si="86"/>
        <v>6-D19</v>
      </c>
      <c r="F555" s="112">
        <f t="shared" si="87"/>
        <v>1721.9999313354492</v>
      </c>
      <c r="G555" s="112">
        <f t="shared" si="88"/>
        <v>14</v>
      </c>
      <c r="H555" s="112">
        <f t="shared" si="89"/>
        <v>345</v>
      </c>
      <c r="I555" s="111">
        <f t="shared" si="92"/>
        <v>7690</v>
      </c>
      <c r="J555" s="112">
        <f t="shared" si="90"/>
        <v>15</v>
      </c>
      <c r="K555" s="123">
        <f>[2]!RcCMaC(C555/10,D555/10,E555,G555*10,H555*10, I555/10, J555,3)</f>
        <v>180.00000498545322</v>
      </c>
      <c r="L555" s="47">
        <f>[2]!RcCMaC(C555/10,D555/10,E555,G555*10,H555*10,I555/10,J555,4)</f>
        <v>57.939743400844101</v>
      </c>
      <c r="M555" s="48">
        <f>[2]!RcCMaC(C555/10,D555/10,E555,G555*10,H555*10, I555/10, J555,0)*10</f>
        <v>0</v>
      </c>
      <c r="N555" s="119">
        <v>595</v>
      </c>
      <c r="O555" s="120" t="str">
        <f t="shared" si="91"/>
        <v>NG</v>
      </c>
    </row>
    <row r="556" spans="3:15" x14ac:dyDescent="0.15">
      <c r="C556" s="52">
        <f t="shared" si="84"/>
        <v>500</v>
      </c>
      <c r="D556" s="35">
        <f t="shared" si="85"/>
        <v>190</v>
      </c>
      <c r="E556" s="28" t="str">
        <f t="shared" si="86"/>
        <v>6-D19</v>
      </c>
      <c r="F556" s="112">
        <f t="shared" si="87"/>
        <v>1721.9999313354492</v>
      </c>
      <c r="G556" s="112">
        <f t="shared" si="88"/>
        <v>14</v>
      </c>
      <c r="H556" s="112">
        <f t="shared" si="89"/>
        <v>345</v>
      </c>
      <c r="I556" s="111">
        <f t="shared" si="92"/>
        <v>7700</v>
      </c>
      <c r="J556" s="112">
        <f t="shared" si="90"/>
        <v>15</v>
      </c>
      <c r="K556" s="123">
        <f>[2]!RcCMaC(C556/10,D556/10,E556,G556*10,H556*10, I556/10, J556,3)</f>
        <v>180.00000498545322</v>
      </c>
      <c r="L556" s="47">
        <f>[2]!RcCMaC(C556/10,D556/10,E556,G556*10,H556*10,I556/10,J556,4)</f>
        <v>57.939743400844101</v>
      </c>
      <c r="M556" s="48">
        <f>[2]!RcCMaC(C556/10,D556/10,E556,G556*10,H556*10, I556/10, J556,0)*10</f>
        <v>0</v>
      </c>
      <c r="N556" s="119">
        <v>596</v>
      </c>
      <c r="O556" s="120" t="str">
        <f t="shared" si="91"/>
        <v>NG</v>
      </c>
    </row>
    <row r="557" spans="3:15" x14ac:dyDescent="0.15">
      <c r="C557" s="52">
        <f t="shared" si="84"/>
        <v>500</v>
      </c>
      <c r="D557" s="35">
        <f t="shared" si="85"/>
        <v>190</v>
      </c>
      <c r="E557" s="28" t="str">
        <f t="shared" si="86"/>
        <v>6-D19</v>
      </c>
      <c r="F557" s="112">
        <f t="shared" si="87"/>
        <v>1721.9999313354492</v>
      </c>
      <c r="G557" s="112">
        <f t="shared" si="88"/>
        <v>14</v>
      </c>
      <c r="H557" s="112">
        <f t="shared" si="89"/>
        <v>345</v>
      </c>
      <c r="I557" s="111">
        <f t="shared" si="92"/>
        <v>7710</v>
      </c>
      <c r="J557" s="112">
        <f t="shared" si="90"/>
        <v>15</v>
      </c>
      <c r="K557" s="123">
        <f>[2]!RcCMaC(C557/10,D557/10,E557,G557*10,H557*10, I557/10, J557,3)</f>
        <v>180.00000498545322</v>
      </c>
      <c r="L557" s="47">
        <f>[2]!RcCMaC(C557/10,D557/10,E557,G557*10,H557*10,I557/10,J557,4)</f>
        <v>57.939743400844101</v>
      </c>
      <c r="M557" s="48">
        <f>[2]!RcCMaC(C557/10,D557/10,E557,G557*10,H557*10, I557/10, J557,0)*10</f>
        <v>0</v>
      </c>
      <c r="N557" s="119">
        <v>597</v>
      </c>
      <c r="O557" s="120" t="str">
        <f t="shared" si="91"/>
        <v>NG</v>
      </c>
    </row>
    <row r="558" spans="3:15" x14ac:dyDescent="0.15">
      <c r="C558" s="52">
        <f t="shared" si="84"/>
        <v>500</v>
      </c>
      <c r="D558" s="35">
        <f t="shared" si="85"/>
        <v>190</v>
      </c>
      <c r="E558" s="28" t="str">
        <f t="shared" si="86"/>
        <v>6-D19</v>
      </c>
      <c r="F558" s="112">
        <f t="shared" si="87"/>
        <v>1721.9999313354492</v>
      </c>
      <c r="G558" s="112">
        <f t="shared" si="88"/>
        <v>14</v>
      </c>
      <c r="H558" s="112">
        <f t="shared" si="89"/>
        <v>345</v>
      </c>
      <c r="I558" s="111">
        <f t="shared" si="92"/>
        <v>7720</v>
      </c>
      <c r="J558" s="112">
        <f t="shared" si="90"/>
        <v>15</v>
      </c>
      <c r="K558" s="123">
        <f>[2]!RcCMaC(C558/10,D558/10,E558,G558*10,H558*10, I558/10, J558,3)</f>
        <v>180.00000498545322</v>
      </c>
      <c r="L558" s="47">
        <f>[2]!RcCMaC(C558/10,D558/10,E558,G558*10,H558*10,I558/10,J558,4)</f>
        <v>57.939743400844101</v>
      </c>
      <c r="M558" s="48">
        <f>[2]!RcCMaC(C558/10,D558/10,E558,G558*10,H558*10, I558/10, J558,0)*10</f>
        <v>0</v>
      </c>
      <c r="N558" s="119">
        <v>598</v>
      </c>
      <c r="O558" s="120" t="str">
        <f t="shared" si="91"/>
        <v>NG</v>
      </c>
    </row>
    <row r="559" spans="3:15" x14ac:dyDescent="0.15">
      <c r="C559" s="52">
        <f t="shared" si="84"/>
        <v>500</v>
      </c>
      <c r="D559" s="35">
        <f t="shared" si="85"/>
        <v>190</v>
      </c>
      <c r="E559" s="28" t="str">
        <f t="shared" si="86"/>
        <v>6-D19</v>
      </c>
      <c r="F559" s="112">
        <f t="shared" si="87"/>
        <v>1721.9999313354492</v>
      </c>
      <c r="G559" s="112">
        <f t="shared" si="88"/>
        <v>14</v>
      </c>
      <c r="H559" s="112">
        <f t="shared" si="89"/>
        <v>345</v>
      </c>
      <c r="I559" s="111">
        <f t="shared" si="92"/>
        <v>7730</v>
      </c>
      <c r="J559" s="112">
        <f t="shared" si="90"/>
        <v>15</v>
      </c>
      <c r="K559" s="123">
        <f>[2]!RcCMaC(C559/10,D559/10,E559,G559*10,H559*10, I559/10, J559,3)</f>
        <v>180.00000498545322</v>
      </c>
      <c r="L559" s="47">
        <f>[2]!RcCMaC(C559/10,D559/10,E559,G559*10,H559*10,I559/10,J559,4)</f>
        <v>57.939743400844101</v>
      </c>
      <c r="M559" s="48">
        <f>[2]!RcCMaC(C559/10,D559/10,E559,G559*10,H559*10, I559/10, J559,0)*10</f>
        <v>0</v>
      </c>
      <c r="N559" s="119">
        <v>599</v>
      </c>
      <c r="O559" s="120" t="str">
        <f t="shared" si="91"/>
        <v>NG</v>
      </c>
    </row>
    <row r="560" spans="3:15" x14ac:dyDescent="0.15">
      <c r="C560" s="52">
        <f t="shared" si="84"/>
        <v>500</v>
      </c>
      <c r="D560" s="35">
        <f t="shared" si="85"/>
        <v>190</v>
      </c>
      <c r="E560" s="28" t="str">
        <f t="shared" si="86"/>
        <v>6-D19</v>
      </c>
      <c r="F560" s="112">
        <f t="shared" si="87"/>
        <v>1721.9999313354492</v>
      </c>
      <c r="G560" s="112">
        <f t="shared" si="88"/>
        <v>14</v>
      </c>
      <c r="H560" s="112">
        <f t="shared" si="89"/>
        <v>345</v>
      </c>
      <c r="I560" s="111">
        <f t="shared" si="92"/>
        <v>7740</v>
      </c>
      <c r="J560" s="112">
        <f t="shared" si="90"/>
        <v>15</v>
      </c>
      <c r="K560" s="123">
        <f>[2]!RcCMaC(C560/10,D560/10,E560,G560*10,H560*10, I560/10, J560,3)</f>
        <v>180.00000498545322</v>
      </c>
      <c r="L560" s="47">
        <f>[2]!RcCMaC(C560/10,D560/10,E560,G560*10,H560*10,I560/10,J560,4)</f>
        <v>57.939743400844101</v>
      </c>
      <c r="M560" s="48">
        <f>[2]!RcCMaC(C560/10,D560/10,E560,G560*10,H560*10, I560/10, J560,0)*10</f>
        <v>0</v>
      </c>
      <c r="N560" s="119">
        <v>600</v>
      </c>
      <c r="O560" s="120" t="str">
        <f t="shared" si="91"/>
        <v>NG</v>
      </c>
    </row>
    <row r="561" spans="3:15" x14ac:dyDescent="0.15">
      <c r="C561" s="52">
        <f t="shared" si="84"/>
        <v>500</v>
      </c>
      <c r="D561" s="35">
        <f t="shared" si="85"/>
        <v>190</v>
      </c>
      <c r="E561" s="28" t="str">
        <f t="shared" si="86"/>
        <v>6-D19</v>
      </c>
      <c r="F561" s="112">
        <f t="shared" si="87"/>
        <v>1721.9999313354492</v>
      </c>
      <c r="G561" s="112">
        <f t="shared" si="88"/>
        <v>14</v>
      </c>
      <c r="H561" s="112">
        <f t="shared" si="89"/>
        <v>345</v>
      </c>
      <c r="I561" s="111">
        <f t="shared" si="92"/>
        <v>7750</v>
      </c>
      <c r="J561" s="112">
        <f t="shared" si="90"/>
        <v>15</v>
      </c>
      <c r="K561" s="123">
        <f>[2]!RcCMaC(C561/10,D561/10,E561,G561*10,H561*10, I561/10, J561,3)</f>
        <v>180.00000498545322</v>
      </c>
      <c r="L561" s="47">
        <f>[2]!RcCMaC(C561/10,D561/10,E561,G561*10,H561*10,I561/10,J561,4)</f>
        <v>57.939743400844101</v>
      </c>
      <c r="M561" s="48">
        <f>[2]!RcCMaC(C561/10,D561/10,E561,G561*10,H561*10, I561/10, J561,0)*10</f>
        <v>0</v>
      </c>
      <c r="N561" s="119">
        <v>601</v>
      </c>
      <c r="O561" s="120" t="str">
        <f t="shared" si="91"/>
        <v>NG</v>
      </c>
    </row>
    <row r="562" spans="3:15" x14ac:dyDescent="0.15">
      <c r="C562" s="52">
        <f t="shared" si="84"/>
        <v>500</v>
      </c>
      <c r="D562" s="35">
        <f t="shared" si="85"/>
        <v>190</v>
      </c>
      <c r="E562" s="28" t="str">
        <f t="shared" si="86"/>
        <v>6-D19</v>
      </c>
      <c r="F562" s="112">
        <f t="shared" si="87"/>
        <v>1721.9999313354492</v>
      </c>
      <c r="G562" s="112">
        <f t="shared" si="88"/>
        <v>14</v>
      </c>
      <c r="H562" s="112">
        <f t="shared" si="89"/>
        <v>345</v>
      </c>
      <c r="I562" s="111">
        <f t="shared" si="92"/>
        <v>7760</v>
      </c>
      <c r="J562" s="112">
        <f t="shared" si="90"/>
        <v>15</v>
      </c>
      <c r="K562" s="123">
        <f>[2]!RcCMaC(C562/10,D562/10,E562,G562*10,H562*10, I562/10, J562,3)</f>
        <v>180.00000498545322</v>
      </c>
      <c r="L562" s="47">
        <f>[2]!RcCMaC(C562/10,D562/10,E562,G562*10,H562*10,I562/10,J562,4)</f>
        <v>57.939743400844101</v>
      </c>
      <c r="M562" s="48">
        <f>[2]!RcCMaC(C562/10,D562/10,E562,G562*10,H562*10, I562/10, J562,0)*10</f>
        <v>0</v>
      </c>
      <c r="N562" s="119">
        <v>602</v>
      </c>
      <c r="O562" s="120" t="str">
        <f t="shared" si="91"/>
        <v>NG</v>
      </c>
    </row>
    <row r="563" spans="3:15" x14ac:dyDescent="0.15">
      <c r="C563" s="52">
        <f t="shared" si="84"/>
        <v>500</v>
      </c>
      <c r="D563" s="35">
        <f t="shared" si="85"/>
        <v>190</v>
      </c>
      <c r="E563" s="28" t="str">
        <f t="shared" si="86"/>
        <v>6-D19</v>
      </c>
      <c r="F563" s="112">
        <f t="shared" si="87"/>
        <v>1721.9999313354492</v>
      </c>
      <c r="G563" s="112">
        <f t="shared" si="88"/>
        <v>14</v>
      </c>
      <c r="H563" s="112">
        <f t="shared" si="89"/>
        <v>345</v>
      </c>
      <c r="I563" s="111">
        <f t="shared" si="92"/>
        <v>7770</v>
      </c>
      <c r="J563" s="112">
        <f t="shared" si="90"/>
        <v>15</v>
      </c>
      <c r="K563" s="123">
        <f>[2]!RcCMaC(C563/10,D563/10,E563,G563*10,H563*10, I563/10, J563,3)</f>
        <v>180.00000498545322</v>
      </c>
      <c r="L563" s="47">
        <f>[2]!RcCMaC(C563/10,D563/10,E563,G563*10,H563*10,I563/10,J563,4)</f>
        <v>57.939743400844101</v>
      </c>
      <c r="M563" s="48">
        <f>[2]!RcCMaC(C563/10,D563/10,E563,G563*10,H563*10, I563/10, J563,0)*10</f>
        <v>0</v>
      </c>
      <c r="N563" s="119">
        <v>603</v>
      </c>
      <c r="O563" s="120" t="str">
        <f t="shared" si="91"/>
        <v>NG</v>
      </c>
    </row>
    <row r="564" spans="3:15" x14ac:dyDescent="0.15">
      <c r="C564" s="52">
        <f t="shared" ref="C564:C596" si="93">+C563</f>
        <v>500</v>
      </c>
      <c r="D564" s="35">
        <f t="shared" ref="D564:D596" si="94">+D563</f>
        <v>190</v>
      </c>
      <c r="E564" s="28" t="str">
        <f t="shared" ref="E564:E596" si="95">+E563</f>
        <v>6-D19</v>
      </c>
      <c r="F564" s="112">
        <f t="shared" ref="F564:F596" si="96">+F563</f>
        <v>1721.9999313354492</v>
      </c>
      <c r="G564" s="112">
        <f t="shared" ref="G564:G596" si="97">+G563</f>
        <v>14</v>
      </c>
      <c r="H564" s="112">
        <f t="shared" ref="H564:H596" si="98">+H563</f>
        <v>345</v>
      </c>
      <c r="I564" s="111">
        <f t="shared" si="92"/>
        <v>7780</v>
      </c>
      <c r="J564" s="112">
        <f t="shared" ref="J564:J596" si="99">+J563</f>
        <v>15</v>
      </c>
      <c r="K564" s="123">
        <f>[2]!RcCMaC(C564/10,D564/10,E564,G564*10,H564*10, I564/10, J564,3)</f>
        <v>180.00000498545322</v>
      </c>
      <c r="L564" s="47">
        <f>[2]!RcCMaC(C564/10,D564/10,E564,G564*10,H564*10,I564/10,J564,4)</f>
        <v>57.939743400844101</v>
      </c>
      <c r="M564" s="48">
        <f>[2]!RcCMaC(C564/10,D564/10,E564,G564*10,H564*10, I564/10, J564,0)*10</f>
        <v>0</v>
      </c>
      <c r="N564" s="119">
        <v>604</v>
      </c>
      <c r="O564" s="120" t="str">
        <f t="shared" ref="O564:O596" si="100">IF(M564&gt;N564,"OK","NG")</f>
        <v>NG</v>
      </c>
    </row>
    <row r="565" spans="3:15" x14ac:dyDescent="0.15">
      <c r="C565" s="52">
        <f t="shared" si="93"/>
        <v>500</v>
      </c>
      <c r="D565" s="35">
        <f t="shared" si="94"/>
        <v>190</v>
      </c>
      <c r="E565" s="28" t="str">
        <f t="shared" si="95"/>
        <v>6-D19</v>
      </c>
      <c r="F565" s="112">
        <f t="shared" si="96"/>
        <v>1721.9999313354492</v>
      </c>
      <c r="G565" s="112">
        <f t="shared" si="97"/>
        <v>14</v>
      </c>
      <c r="H565" s="112">
        <f t="shared" si="98"/>
        <v>345</v>
      </c>
      <c r="I565" s="111">
        <f t="shared" si="92"/>
        <v>7790</v>
      </c>
      <c r="J565" s="112">
        <f t="shared" si="99"/>
        <v>15</v>
      </c>
      <c r="K565" s="123">
        <f>[2]!RcCMaC(C565/10,D565/10,E565,G565*10,H565*10, I565/10, J565,3)</f>
        <v>180.00000498545322</v>
      </c>
      <c r="L565" s="47">
        <f>[2]!RcCMaC(C565/10,D565/10,E565,G565*10,H565*10,I565/10,J565,4)</f>
        <v>57.939743400844101</v>
      </c>
      <c r="M565" s="48">
        <f>[2]!RcCMaC(C565/10,D565/10,E565,G565*10,H565*10, I565/10, J565,0)*10</f>
        <v>0</v>
      </c>
      <c r="N565" s="119">
        <v>605</v>
      </c>
      <c r="O565" s="120" t="str">
        <f t="shared" si="100"/>
        <v>NG</v>
      </c>
    </row>
    <row r="566" spans="3:15" x14ac:dyDescent="0.15">
      <c r="C566" s="52">
        <f t="shared" si="93"/>
        <v>500</v>
      </c>
      <c r="D566" s="35">
        <f t="shared" si="94"/>
        <v>190</v>
      </c>
      <c r="E566" s="28" t="str">
        <f t="shared" si="95"/>
        <v>6-D19</v>
      </c>
      <c r="F566" s="112">
        <f t="shared" si="96"/>
        <v>1721.9999313354492</v>
      </c>
      <c r="G566" s="112">
        <f t="shared" si="97"/>
        <v>14</v>
      </c>
      <c r="H566" s="112">
        <f t="shared" si="98"/>
        <v>345</v>
      </c>
      <c r="I566" s="111">
        <f t="shared" si="92"/>
        <v>7800</v>
      </c>
      <c r="J566" s="112">
        <f t="shared" si="99"/>
        <v>15</v>
      </c>
      <c r="K566" s="123">
        <f>[2]!RcCMaC(C566/10,D566/10,E566,G566*10,H566*10, I566/10, J566,3)</f>
        <v>180.00000498545322</v>
      </c>
      <c r="L566" s="47">
        <f>[2]!RcCMaC(C566/10,D566/10,E566,G566*10,H566*10,I566/10,J566,4)</f>
        <v>57.939743400844101</v>
      </c>
      <c r="M566" s="48">
        <f>[2]!RcCMaC(C566/10,D566/10,E566,G566*10,H566*10, I566/10, J566,0)*10</f>
        <v>0</v>
      </c>
      <c r="N566" s="119">
        <v>606</v>
      </c>
      <c r="O566" s="120" t="str">
        <f t="shared" si="100"/>
        <v>NG</v>
      </c>
    </row>
    <row r="567" spans="3:15" x14ac:dyDescent="0.15">
      <c r="C567" s="52">
        <f t="shared" si="93"/>
        <v>500</v>
      </c>
      <c r="D567" s="35">
        <f t="shared" si="94"/>
        <v>190</v>
      </c>
      <c r="E567" s="28" t="str">
        <f t="shared" si="95"/>
        <v>6-D19</v>
      </c>
      <c r="F567" s="112">
        <f t="shared" si="96"/>
        <v>1721.9999313354492</v>
      </c>
      <c r="G567" s="112">
        <f t="shared" si="97"/>
        <v>14</v>
      </c>
      <c r="H567" s="112">
        <f t="shared" si="98"/>
        <v>345</v>
      </c>
      <c r="I567" s="111">
        <f t="shared" si="92"/>
        <v>7810</v>
      </c>
      <c r="J567" s="112">
        <f t="shared" si="99"/>
        <v>15</v>
      </c>
      <c r="K567" s="123">
        <f>[2]!RcCMaC(C567/10,D567/10,E567,G567*10,H567*10, I567/10, J567,3)</f>
        <v>180.00000498545322</v>
      </c>
      <c r="L567" s="47">
        <f>[2]!RcCMaC(C567/10,D567/10,E567,G567*10,H567*10,I567/10,J567,4)</f>
        <v>57.939743400844101</v>
      </c>
      <c r="M567" s="48">
        <f>[2]!RcCMaC(C567/10,D567/10,E567,G567*10,H567*10, I567/10, J567,0)*10</f>
        <v>0</v>
      </c>
      <c r="N567" s="119">
        <v>607</v>
      </c>
      <c r="O567" s="120" t="str">
        <f t="shared" si="100"/>
        <v>NG</v>
      </c>
    </row>
    <row r="568" spans="3:15" x14ac:dyDescent="0.15">
      <c r="C568" s="52">
        <f t="shared" si="93"/>
        <v>500</v>
      </c>
      <c r="D568" s="35">
        <f t="shared" si="94"/>
        <v>190</v>
      </c>
      <c r="E568" s="28" t="str">
        <f t="shared" si="95"/>
        <v>6-D19</v>
      </c>
      <c r="F568" s="112">
        <f t="shared" si="96"/>
        <v>1721.9999313354492</v>
      </c>
      <c r="G568" s="112">
        <f t="shared" si="97"/>
        <v>14</v>
      </c>
      <c r="H568" s="112">
        <f t="shared" si="98"/>
        <v>345</v>
      </c>
      <c r="I568" s="111">
        <f t="shared" si="92"/>
        <v>7820</v>
      </c>
      <c r="J568" s="112">
        <f t="shared" si="99"/>
        <v>15</v>
      </c>
      <c r="K568" s="123">
        <f>[2]!RcCMaC(C568/10,D568/10,E568,G568*10,H568*10, I568/10, J568,3)</f>
        <v>180.00000498545322</v>
      </c>
      <c r="L568" s="47">
        <f>[2]!RcCMaC(C568/10,D568/10,E568,G568*10,H568*10,I568/10,J568,4)</f>
        <v>57.939743400844101</v>
      </c>
      <c r="M568" s="48">
        <f>[2]!RcCMaC(C568/10,D568/10,E568,G568*10,H568*10, I568/10, J568,0)*10</f>
        <v>0</v>
      </c>
      <c r="N568" s="119">
        <v>608</v>
      </c>
      <c r="O568" s="120" t="str">
        <f t="shared" si="100"/>
        <v>NG</v>
      </c>
    </row>
    <row r="569" spans="3:15" x14ac:dyDescent="0.15">
      <c r="C569" s="52">
        <f t="shared" si="93"/>
        <v>500</v>
      </c>
      <c r="D569" s="35">
        <f t="shared" si="94"/>
        <v>190</v>
      </c>
      <c r="E569" s="28" t="str">
        <f t="shared" si="95"/>
        <v>6-D19</v>
      </c>
      <c r="F569" s="112">
        <f t="shared" si="96"/>
        <v>1721.9999313354492</v>
      </c>
      <c r="G569" s="112">
        <f t="shared" si="97"/>
        <v>14</v>
      </c>
      <c r="H569" s="112">
        <f t="shared" si="98"/>
        <v>345</v>
      </c>
      <c r="I569" s="111">
        <f t="shared" si="92"/>
        <v>7830</v>
      </c>
      <c r="J569" s="112">
        <f t="shared" si="99"/>
        <v>15</v>
      </c>
      <c r="K569" s="123">
        <f>[2]!RcCMaC(C569/10,D569/10,E569,G569*10,H569*10, I569/10, J569,3)</f>
        <v>180.00000498545322</v>
      </c>
      <c r="L569" s="47">
        <f>[2]!RcCMaC(C569/10,D569/10,E569,G569*10,H569*10,I569/10,J569,4)</f>
        <v>57.939743400844101</v>
      </c>
      <c r="M569" s="48">
        <f>[2]!RcCMaC(C569/10,D569/10,E569,G569*10,H569*10, I569/10, J569,0)*10</f>
        <v>0</v>
      </c>
      <c r="N569" s="119">
        <v>609</v>
      </c>
      <c r="O569" s="120" t="str">
        <f t="shared" si="100"/>
        <v>NG</v>
      </c>
    </row>
    <row r="570" spans="3:15" x14ac:dyDescent="0.15">
      <c r="C570" s="52">
        <f t="shared" si="93"/>
        <v>500</v>
      </c>
      <c r="D570" s="35">
        <f t="shared" si="94"/>
        <v>190</v>
      </c>
      <c r="E570" s="28" t="str">
        <f t="shared" si="95"/>
        <v>6-D19</v>
      </c>
      <c r="F570" s="112">
        <f t="shared" si="96"/>
        <v>1721.9999313354492</v>
      </c>
      <c r="G570" s="112">
        <f t="shared" si="97"/>
        <v>14</v>
      </c>
      <c r="H570" s="112">
        <f t="shared" si="98"/>
        <v>345</v>
      </c>
      <c r="I570" s="111">
        <f t="shared" si="92"/>
        <v>7840</v>
      </c>
      <c r="J570" s="112">
        <f t="shared" si="99"/>
        <v>15</v>
      </c>
      <c r="K570" s="123">
        <f>[2]!RcCMaC(C570/10,D570/10,E570,G570*10,H570*10, I570/10, J570,3)</f>
        <v>180.00000498545322</v>
      </c>
      <c r="L570" s="47">
        <f>[2]!RcCMaC(C570/10,D570/10,E570,G570*10,H570*10,I570/10,J570,4)</f>
        <v>57.939743400844101</v>
      </c>
      <c r="M570" s="48">
        <f>[2]!RcCMaC(C570/10,D570/10,E570,G570*10,H570*10, I570/10, J570,0)*10</f>
        <v>0</v>
      </c>
      <c r="N570" s="119">
        <v>610</v>
      </c>
      <c r="O570" s="120" t="str">
        <f t="shared" si="100"/>
        <v>NG</v>
      </c>
    </row>
    <row r="571" spans="3:15" x14ac:dyDescent="0.15">
      <c r="C571" s="52">
        <f t="shared" si="93"/>
        <v>500</v>
      </c>
      <c r="D571" s="35">
        <f t="shared" si="94"/>
        <v>190</v>
      </c>
      <c r="E571" s="28" t="str">
        <f t="shared" si="95"/>
        <v>6-D19</v>
      </c>
      <c r="F571" s="112">
        <f t="shared" si="96"/>
        <v>1721.9999313354492</v>
      </c>
      <c r="G571" s="112">
        <f t="shared" si="97"/>
        <v>14</v>
      </c>
      <c r="H571" s="112">
        <f t="shared" si="98"/>
        <v>345</v>
      </c>
      <c r="I571" s="111">
        <f t="shared" si="92"/>
        <v>7850</v>
      </c>
      <c r="J571" s="112">
        <f t="shared" si="99"/>
        <v>15</v>
      </c>
      <c r="K571" s="123">
        <f>[2]!RcCMaC(C571/10,D571/10,E571,G571*10,H571*10, I571/10, J571,3)</f>
        <v>180.00000498545322</v>
      </c>
      <c r="L571" s="47">
        <f>[2]!RcCMaC(C571/10,D571/10,E571,G571*10,H571*10,I571/10,J571,4)</f>
        <v>57.939743400844101</v>
      </c>
      <c r="M571" s="48">
        <f>[2]!RcCMaC(C571/10,D571/10,E571,G571*10,H571*10, I571/10, J571,0)*10</f>
        <v>0</v>
      </c>
      <c r="N571" s="119">
        <v>611</v>
      </c>
      <c r="O571" s="120" t="str">
        <f t="shared" si="100"/>
        <v>NG</v>
      </c>
    </row>
    <row r="572" spans="3:15" x14ac:dyDescent="0.15">
      <c r="C572" s="52">
        <f t="shared" si="93"/>
        <v>500</v>
      </c>
      <c r="D572" s="35">
        <f t="shared" si="94"/>
        <v>190</v>
      </c>
      <c r="E572" s="28" t="str">
        <f t="shared" si="95"/>
        <v>6-D19</v>
      </c>
      <c r="F572" s="112">
        <f t="shared" si="96"/>
        <v>1721.9999313354492</v>
      </c>
      <c r="G572" s="112">
        <f t="shared" si="97"/>
        <v>14</v>
      </c>
      <c r="H572" s="112">
        <f t="shared" si="98"/>
        <v>345</v>
      </c>
      <c r="I572" s="111">
        <f t="shared" si="92"/>
        <v>7860</v>
      </c>
      <c r="J572" s="112">
        <f t="shared" si="99"/>
        <v>15</v>
      </c>
      <c r="K572" s="123">
        <f>[2]!RcCMaC(C572/10,D572/10,E572,G572*10,H572*10, I572/10, J572,3)</f>
        <v>180.00000498545322</v>
      </c>
      <c r="L572" s="47">
        <f>[2]!RcCMaC(C572/10,D572/10,E572,G572*10,H572*10,I572/10,J572,4)</f>
        <v>57.939743400844101</v>
      </c>
      <c r="M572" s="48">
        <f>[2]!RcCMaC(C572/10,D572/10,E572,G572*10,H572*10, I572/10, J572,0)*10</f>
        <v>0</v>
      </c>
      <c r="N572" s="119">
        <v>612</v>
      </c>
      <c r="O572" s="120" t="str">
        <f t="shared" si="100"/>
        <v>NG</v>
      </c>
    </row>
    <row r="573" spans="3:15" x14ac:dyDescent="0.15">
      <c r="C573" s="52">
        <f t="shared" si="93"/>
        <v>500</v>
      </c>
      <c r="D573" s="35">
        <f t="shared" si="94"/>
        <v>190</v>
      </c>
      <c r="E573" s="28" t="str">
        <f t="shared" si="95"/>
        <v>6-D19</v>
      </c>
      <c r="F573" s="112">
        <f t="shared" si="96"/>
        <v>1721.9999313354492</v>
      </c>
      <c r="G573" s="112">
        <f t="shared" si="97"/>
        <v>14</v>
      </c>
      <c r="H573" s="112">
        <f t="shared" si="98"/>
        <v>345</v>
      </c>
      <c r="I573" s="111">
        <f t="shared" si="92"/>
        <v>7870</v>
      </c>
      <c r="J573" s="112">
        <f t="shared" si="99"/>
        <v>15</v>
      </c>
      <c r="K573" s="123">
        <f>[2]!RcCMaC(C573/10,D573/10,E573,G573*10,H573*10, I573/10, J573,3)</f>
        <v>180.00000498545322</v>
      </c>
      <c r="L573" s="47">
        <f>[2]!RcCMaC(C573/10,D573/10,E573,G573*10,H573*10,I573/10,J573,4)</f>
        <v>57.939743400844101</v>
      </c>
      <c r="M573" s="48">
        <f>[2]!RcCMaC(C573/10,D573/10,E573,G573*10,H573*10, I573/10, J573,0)*10</f>
        <v>0</v>
      </c>
      <c r="N573" s="119">
        <v>613</v>
      </c>
      <c r="O573" s="120" t="str">
        <f t="shared" si="100"/>
        <v>NG</v>
      </c>
    </row>
    <row r="574" spans="3:15" x14ac:dyDescent="0.15">
      <c r="C574" s="52">
        <f t="shared" si="93"/>
        <v>500</v>
      </c>
      <c r="D574" s="35">
        <f t="shared" si="94"/>
        <v>190</v>
      </c>
      <c r="E574" s="28" t="str">
        <f t="shared" si="95"/>
        <v>6-D19</v>
      </c>
      <c r="F574" s="112">
        <f t="shared" si="96"/>
        <v>1721.9999313354492</v>
      </c>
      <c r="G574" s="112">
        <f t="shared" si="97"/>
        <v>14</v>
      </c>
      <c r="H574" s="112">
        <f t="shared" si="98"/>
        <v>345</v>
      </c>
      <c r="I574" s="111">
        <f t="shared" si="92"/>
        <v>7880</v>
      </c>
      <c r="J574" s="112">
        <f t="shared" si="99"/>
        <v>15</v>
      </c>
      <c r="K574" s="123">
        <f>[2]!RcCMaC(C574/10,D574/10,E574,G574*10,H574*10, I574/10, J574,3)</f>
        <v>180.00000498545322</v>
      </c>
      <c r="L574" s="47">
        <f>[2]!RcCMaC(C574/10,D574/10,E574,G574*10,H574*10,I574/10,J574,4)</f>
        <v>57.939743400844101</v>
      </c>
      <c r="M574" s="48">
        <f>[2]!RcCMaC(C574/10,D574/10,E574,G574*10,H574*10, I574/10, J574,0)*10</f>
        <v>0</v>
      </c>
      <c r="N574" s="119">
        <v>614</v>
      </c>
      <c r="O574" s="120" t="str">
        <f t="shared" si="100"/>
        <v>NG</v>
      </c>
    </row>
    <row r="575" spans="3:15" x14ac:dyDescent="0.15">
      <c r="C575" s="52">
        <f t="shared" si="93"/>
        <v>500</v>
      </c>
      <c r="D575" s="35">
        <f t="shared" si="94"/>
        <v>190</v>
      </c>
      <c r="E575" s="28" t="str">
        <f t="shared" si="95"/>
        <v>6-D19</v>
      </c>
      <c r="F575" s="112">
        <f t="shared" si="96"/>
        <v>1721.9999313354492</v>
      </c>
      <c r="G575" s="112">
        <f t="shared" si="97"/>
        <v>14</v>
      </c>
      <c r="H575" s="112">
        <f t="shared" si="98"/>
        <v>345</v>
      </c>
      <c r="I575" s="111">
        <f t="shared" si="92"/>
        <v>7890</v>
      </c>
      <c r="J575" s="112">
        <f t="shared" si="99"/>
        <v>15</v>
      </c>
      <c r="K575" s="123">
        <f>[2]!RcCMaC(C575/10,D575/10,E575,G575*10,H575*10, I575/10, J575,3)</f>
        <v>180.00000498545322</v>
      </c>
      <c r="L575" s="47">
        <f>[2]!RcCMaC(C575/10,D575/10,E575,G575*10,H575*10,I575/10,J575,4)</f>
        <v>57.939743400844101</v>
      </c>
      <c r="M575" s="48">
        <f>[2]!RcCMaC(C575/10,D575/10,E575,G575*10,H575*10, I575/10, J575,0)*10</f>
        <v>0</v>
      </c>
      <c r="N575" s="119">
        <v>615</v>
      </c>
      <c r="O575" s="120" t="str">
        <f t="shared" si="100"/>
        <v>NG</v>
      </c>
    </row>
    <row r="576" spans="3:15" x14ac:dyDescent="0.15">
      <c r="C576" s="52">
        <f t="shared" si="93"/>
        <v>500</v>
      </c>
      <c r="D576" s="35">
        <f t="shared" si="94"/>
        <v>190</v>
      </c>
      <c r="E576" s="28" t="str">
        <f t="shared" si="95"/>
        <v>6-D19</v>
      </c>
      <c r="F576" s="112">
        <f t="shared" si="96"/>
        <v>1721.9999313354492</v>
      </c>
      <c r="G576" s="112">
        <f t="shared" si="97"/>
        <v>14</v>
      </c>
      <c r="H576" s="112">
        <f t="shared" si="98"/>
        <v>345</v>
      </c>
      <c r="I576" s="111">
        <f t="shared" si="92"/>
        <v>7900</v>
      </c>
      <c r="J576" s="112">
        <f t="shared" si="99"/>
        <v>15</v>
      </c>
      <c r="K576" s="123">
        <f>[2]!RcCMaC(C576/10,D576/10,E576,G576*10,H576*10, I576/10, J576,3)</f>
        <v>180.00000498545322</v>
      </c>
      <c r="L576" s="47">
        <f>[2]!RcCMaC(C576/10,D576/10,E576,G576*10,H576*10,I576/10,J576,4)</f>
        <v>57.939743400844101</v>
      </c>
      <c r="M576" s="48">
        <f>[2]!RcCMaC(C576/10,D576/10,E576,G576*10,H576*10, I576/10, J576,0)*10</f>
        <v>0</v>
      </c>
      <c r="N576" s="119">
        <v>616</v>
      </c>
      <c r="O576" s="120" t="str">
        <f t="shared" si="100"/>
        <v>NG</v>
      </c>
    </row>
    <row r="577" spans="3:15" x14ac:dyDescent="0.15">
      <c r="C577" s="52">
        <f t="shared" si="93"/>
        <v>500</v>
      </c>
      <c r="D577" s="35">
        <f t="shared" si="94"/>
        <v>190</v>
      </c>
      <c r="E577" s="28" t="str">
        <f t="shared" si="95"/>
        <v>6-D19</v>
      </c>
      <c r="F577" s="112">
        <f t="shared" si="96"/>
        <v>1721.9999313354492</v>
      </c>
      <c r="G577" s="112">
        <f t="shared" si="97"/>
        <v>14</v>
      </c>
      <c r="H577" s="112">
        <f t="shared" si="98"/>
        <v>345</v>
      </c>
      <c r="I577" s="111">
        <f t="shared" si="92"/>
        <v>7910</v>
      </c>
      <c r="J577" s="112">
        <f t="shared" si="99"/>
        <v>15</v>
      </c>
      <c r="K577" s="123">
        <f>[2]!RcCMaC(C577/10,D577/10,E577,G577*10,H577*10, I577/10, J577,3)</f>
        <v>180.00000498545322</v>
      </c>
      <c r="L577" s="47">
        <f>[2]!RcCMaC(C577/10,D577/10,E577,G577*10,H577*10,I577/10,J577,4)</f>
        <v>57.939743400844101</v>
      </c>
      <c r="M577" s="48">
        <f>[2]!RcCMaC(C577/10,D577/10,E577,G577*10,H577*10, I577/10, J577,0)*10</f>
        <v>0</v>
      </c>
      <c r="N577" s="119">
        <v>617</v>
      </c>
      <c r="O577" s="120" t="str">
        <f t="shared" si="100"/>
        <v>NG</v>
      </c>
    </row>
    <row r="578" spans="3:15" x14ac:dyDescent="0.15">
      <c r="C578" s="52">
        <f t="shared" si="93"/>
        <v>500</v>
      </c>
      <c r="D578" s="35">
        <f t="shared" si="94"/>
        <v>190</v>
      </c>
      <c r="E578" s="28" t="str">
        <f t="shared" si="95"/>
        <v>6-D19</v>
      </c>
      <c r="F578" s="112">
        <f t="shared" si="96"/>
        <v>1721.9999313354492</v>
      </c>
      <c r="G578" s="112">
        <f t="shared" si="97"/>
        <v>14</v>
      </c>
      <c r="H578" s="112">
        <f t="shared" si="98"/>
        <v>345</v>
      </c>
      <c r="I578" s="111">
        <f t="shared" si="92"/>
        <v>7920</v>
      </c>
      <c r="J578" s="112">
        <f t="shared" si="99"/>
        <v>15</v>
      </c>
      <c r="K578" s="123">
        <f>[2]!RcCMaC(C578/10,D578/10,E578,G578*10,H578*10, I578/10, J578,3)</f>
        <v>180.00000498545322</v>
      </c>
      <c r="L578" s="47">
        <f>[2]!RcCMaC(C578/10,D578/10,E578,G578*10,H578*10,I578/10,J578,4)</f>
        <v>57.939743400844101</v>
      </c>
      <c r="M578" s="48">
        <f>[2]!RcCMaC(C578/10,D578/10,E578,G578*10,H578*10, I578/10, J578,0)*10</f>
        <v>0</v>
      </c>
      <c r="N578" s="119">
        <v>618</v>
      </c>
      <c r="O578" s="120" t="str">
        <f t="shared" si="100"/>
        <v>NG</v>
      </c>
    </row>
    <row r="579" spans="3:15" x14ac:dyDescent="0.15">
      <c r="C579" s="52">
        <f t="shared" si="93"/>
        <v>500</v>
      </c>
      <c r="D579" s="35">
        <f t="shared" si="94"/>
        <v>190</v>
      </c>
      <c r="E579" s="28" t="str">
        <f t="shared" si="95"/>
        <v>6-D19</v>
      </c>
      <c r="F579" s="112">
        <f t="shared" si="96"/>
        <v>1721.9999313354492</v>
      </c>
      <c r="G579" s="112">
        <f t="shared" si="97"/>
        <v>14</v>
      </c>
      <c r="H579" s="112">
        <f t="shared" si="98"/>
        <v>345</v>
      </c>
      <c r="I579" s="111">
        <f t="shared" si="92"/>
        <v>7930</v>
      </c>
      <c r="J579" s="112">
        <f t="shared" si="99"/>
        <v>15</v>
      </c>
      <c r="K579" s="123">
        <f>[2]!RcCMaC(C579/10,D579/10,E579,G579*10,H579*10, I579/10, J579,3)</f>
        <v>180.00000498545322</v>
      </c>
      <c r="L579" s="47">
        <f>[2]!RcCMaC(C579/10,D579/10,E579,G579*10,H579*10,I579/10,J579,4)</f>
        <v>57.939743400844101</v>
      </c>
      <c r="M579" s="48">
        <f>[2]!RcCMaC(C579/10,D579/10,E579,G579*10,H579*10, I579/10, J579,0)*10</f>
        <v>0</v>
      </c>
      <c r="N579" s="119">
        <v>619</v>
      </c>
      <c r="O579" s="120" t="str">
        <f t="shared" si="100"/>
        <v>NG</v>
      </c>
    </row>
    <row r="580" spans="3:15" x14ac:dyDescent="0.15">
      <c r="C580" s="52">
        <f t="shared" si="93"/>
        <v>500</v>
      </c>
      <c r="D580" s="35">
        <f t="shared" si="94"/>
        <v>190</v>
      </c>
      <c r="E580" s="28" t="str">
        <f t="shared" si="95"/>
        <v>6-D19</v>
      </c>
      <c r="F580" s="112">
        <f t="shared" si="96"/>
        <v>1721.9999313354492</v>
      </c>
      <c r="G580" s="112">
        <f t="shared" si="97"/>
        <v>14</v>
      </c>
      <c r="H580" s="112">
        <f t="shared" si="98"/>
        <v>345</v>
      </c>
      <c r="I580" s="111">
        <f t="shared" si="92"/>
        <v>7940</v>
      </c>
      <c r="J580" s="112">
        <f t="shared" si="99"/>
        <v>15</v>
      </c>
      <c r="K580" s="123">
        <f>[2]!RcCMaC(C580/10,D580/10,E580,G580*10,H580*10, I580/10, J580,3)</f>
        <v>180.00000498545322</v>
      </c>
      <c r="L580" s="47">
        <f>[2]!RcCMaC(C580/10,D580/10,E580,G580*10,H580*10,I580/10,J580,4)</f>
        <v>57.939743400844101</v>
      </c>
      <c r="M580" s="48">
        <f>[2]!RcCMaC(C580/10,D580/10,E580,G580*10,H580*10, I580/10, J580,0)*10</f>
        <v>0</v>
      </c>
      <c r="N580" s="119">
        <v>620</v>
      </c>
      <c r="O580" s="120" t="str">
        <f t="shared" si="100"/>
        <v>NG</v>
      </c>
    </row>
    <row r="581" spans="3:15" x14ac:dyDescent="0.15">
      <c r="C581" s="52">
        <f t="shared" si="93"/>
        <v>500</v>
      </c>
      <c r="D581" s="35">
        <f t="shared" si="94"/>
        <v>190</v>
      </c>
      <c r="E581" s="28" t="str">
        <f t="shared" si="95"/>
        <v>6-D19</v>
      </c>
      <c r="F581" s="112">
        <f t="shared" si="96"/>
        <v>1721.9999313354492</v>
      </c>
      <c r="G581" s="112">
        <f t="shared" si="97"/>
        <v>14</v>
      </c>
      <c r="H581" s="112">
        <f t="shared" si="98"/>
        <v>345</v>
      </c>
      <c r="I581" s="111">
        <f t="shared" si="92"/>
        <v>7950</v>
      </c>
      <c r="J581" s="112">
        <f t="shared" si="99"/>
        <v>15</v>
      </c>
      <c r="K581" s="123">
        <f>[2]!RcCMaC(C581/10,D581/10,E581,G581*10,H581*10, I581/10, J581,3)</f>
        <v>180.00000498545322</v>
      </c>
      <c r="L581" s="47">
        <f>[2]!RcCMaC(C581/10,D581/10,E581,G581*10,H581*10,I581/10,J581,4)</f>
        <v>57.939743400844101</v>
      </c>
      <c r="M581" s="48">
        <f>[2]!RcCMaC(C581/10,D581/10,E581,G581*10,H581*10, I581/10, J581,0)*10</f>
        <v>0</v>
      </c>
      <c r="N581" s="119">
        <v>621</v>
      </c>
      <c r="O581" s="120" t="str">
        <f t="shared" si="100"/>
        <v>NG</v>
      </c>
    </row>
    <row r="582" spans="3:15" x14ac:dyDescent="0.15">
      <c r="C582" s="52">
        <f t="shared" si="93"/>
        <v>500</v>
      </c>
      <c r="D582" s="35">
        <f t="shared" si="94"/>
        <v>190</v>
      </c>
      <c r="E582" s="28" t="str">
        <f t="shared" si="95"/>
        <v>6-D19</v>
      </c>
      <c r="F582" s="112">
        <f t="shared" si="96"/>
        <v>1721.9999313354492</v>
      </c>
      <c r="G582" s="112">
        <f t="shared" si="97"/>
        <v>14</v>
      </c>
      <c r="H582" s="112">
        <f t="shared" si="98"/>
        <v>345</v>
      </c>
      <c r="I582" s="111">
        <f t="shared" si="92"/>
        <v>7960</v>
      </c>
      <c r="J582" s="112">
        <f t="shared" si="99"/>
        <v>15</v>
      </c>
      <c r="K582" s="123">
        <f>[2]!RcCMaC(C582/10,D582/10,E582,G582*10,H582*10, I582/10, J582,3)</f>
        <v>180.00000498545322</v>
      </c>
      <c r="L582" s="47">
        <f>[2]!RcCMaC(C582/10,D582/10,E582,G582*10,H582*10,I582/10,J582,4)</f>
        <v>57.939743400844101</v>
      </c>
      <c r="M582" s="48">
        <f>[2]!RcCMaC(C582/10,D582/10,E582,G582*10,H582*10, I582/10, J582,0)*10</f>
        <v>0</v>
      </c>
      <c r="N582" s="119">
        <v>622</v>
      </c>
      <c r="O582" s="120" t="str">
        <f t="shared" si="100"/>
        <v>NG</v>
      </c>
    </row>
    <row r="583" spans="3:15" x14ac:dyDescent="0.15">
      <c r="C583" s="52">
        <f t="shared" si="93"/>
        <v>500</v>
      </c>
      <c r="D583" s="35">
        <f t="shared" si="94"/>
        <v>190</v>
      </c>
      <c r="E583" s="28" t="str">
        <f t="shared" si="95"/>
        <v>6-D19</v>
      </c>
      <c r="F583" s="112">
        <f t="shared" si="96"/>
        <v>1721.9999313354492</v>
      </c>
      <c r="G583" s="112">
        <f t="shared" si="97"/>
        <v>14</v>
      </c>
      <c r="H583" s="112">
        <f t="shared" si="98"/>
        <v>345</v>
      </c>
      <c r="I583" s="111">
        <f t="shared" ref="I583:I646" si="101">+I582+10</f>
        <v>7970</v>
      </c>
      <c r="J583" s="112">
        <f t="shared" si="99"/>
        <v>15</v>
      </c>
      <c r="K583" s="123">
        <f>[2]!RcCMaC(C583/10,D583/10,E583,G583*10,H583*10, I583/10, J583,3)</f>
        <v>180.00000498545322</v>
      </c>
      <c r="L583" s="47">
        <f>[2]!RcCMaC(C583/10,D583/10,E583,G583*10,H583*10,I583/10,J583,4)</f>
        <v>57.939743400844101</v>
      </c>
      <c r="M583" s="48">
        <f>[2]!RcCMaC(C583/10,D583/10,E583,G583*10,H583*10, I583/10, J583,0)*10</f>
        <v>0</v>
      </c>
      <c r="N583" s="119">
        <v>623</v>
      </c>
      <c r="O583" s="120" t="str">
        <f t="shared" si="100"/>
        <v>NG</v>
      </c>
    </row>
    <row r="584" spans="3:15" x14ac:dyDescent="0.15">
      <c r="C584" s="52">
        <f t="shared" si="93"/>
        <v>500</v>
      </c>
      <c r="D584" s="35">
        <f t="shared" si="94"/>
        <v>190</v>
      </c>
      <c r="E584" s="28" t="str">
        <f t="shared" si="95"/>
        <v>6-D19</v>
      </c>
      <c r="F584" s="112">
        <f t="shared" si="96"/>
        <v>1721.9999313354492</v>
      </c>
      <c r="G584" s="112">
        <f t="shared" si="97"/>
        <v>14</v>
      </c>
      <c r="H584" s="112">
        <f t="shared" si="98"/>
        <v>345</v>
      </c>
      <c r="I584" s="111">
        <f t="shared" si="101"/>
        <v>7980</v>
      </c>
      <c r="J584" s="112">
        <f t="shared" si="99"/>
        <v>15</v>
      </c>
      <c r="K584" s="123">
        <f>[2]!RcCMaC(C584/10,D584/10,E584,G584*10,H584*10, I584/10, J584,3)</f>
        <v>180.00000498545322</v>
      </c>
      <c r="L584" s="47">
        <f>[2]!RcCMaC(C584/10,D584/10,E584,G584*10,H584*10,I584/10,J584,4)</f>
        <v>57.939743400844101</v>
      </c>
      <c r="M584" s="48">
        <f>[2]!RcCMaC(C584/10,D584/10,E584,G584*10,H584*10, I584/10, J584,0)*10</f>
        <v>0</v>
      </c>
      <c r="N584" s="119">
        <v>624</v>
      </c>
      <c r="O584" s="120" t="str">
        <f t="shared" si="100"/>
        <v>NG</v>
      </c>
    </row>
    <row r="585" spans="3:15" x14ac:dyDescent="0.15">
      <c r="C585" s="52">
        <f t="shared" si="93"/>
        <v>500</v>
      </c>
      <c r="D585" s="35">
        <f t="shared" si="94"/>
        <v>190</v>
      </c>
      <c r="E585" s="28" t="str">
        <f t="shared" si="95"/>
        <v>6-D19</v>
      </c>
      <c r="F585" s="112">
        <f t="shared" si="96"/>
        <v>1721.9999313354492</v>
      </c>
      <c r="G585" s="112">
        <f t="shared" si="97"/>
        <v>14</v>
      </c>
      <c r="H585" s="112">
        <f t="shared" si="98"/>
        <v>345</v>
      </c>
      <c r="I585" s="111">
        <f t="shared" si="101"/>
        <v>7990</v>
      </c>
      <c r="J585" s="112">
        <f t="shared" si="99"/>
        <v>15</v>
      </c>
      <c r="K585" s="123">
        <f>[2]!RcCMaC(C585/10,D585/10,E585,G585*10,H585*10, I585/10, J585,3)</f>
        <v>180.00000498545322</v>
      </c>
      <c r="L585" s="47">
        <f>[2]!RcCMaC(C585/10,D585/10,E585,G585*10,H585*10,I585/10,J585,4)</f>
        <v>57.939743400844101</v>
      </c>
      <c r="M585" s="48">
        <f>[2]!RcCMaC(C585/10,D585/10,E585,G585*10,H585*10, I585/10, J585,0)*10</f>
        <v>0</v>
      </c>
      <c r="N585" s="119">
        <v>625</v>
      </c>
      <c r="O585" s="120" t="str">
        <f t="shared" si="100"/>
        <v>NG</v>
      </c>
    </row>
    <row r="586" spans="3:15" x14ac:dyDescent="0.15">
      <c r="C586" s="52">
        <f t="shared" si="93"/>
        <v>500</v>
      </c>
      <c r="D586" s="35">
        <f t="shared" si="94"/>
        <v>190</v>
      </c>
      <c r="E586" s="28" t="str">
        <f t="shared" si="95"/>
        <v>6-D19</v>
      </c>
      <c r="F586" s="112">
        <f t="shared" si="96"/>
        <v>1721.9999313354492</v>
      </c>
      <c r="G586" s="112">
        <f t="shared" si="97"/>
        <v>14</v>
      </c>
      <c r="H586" s="112">
        <f t="shared" si="98"/>
        <v>345</v>
      </c>
      <c r="I586" s="111">
        <f t="shared" si="101"/>
        <v>8000</v>
      </c>
      <c r="J586" s="112">
        <f t="shared" si="99"/>
        <v>15</v>
      </c>
      <c r="K586" s="123">
        <f>[2]!RcCMaC(C586/10,D586/10,E586,G586*10,H586*10, I586/10, J586,3)</f>
        <v>180.00000498545322</v>
      </c>
      <c r="L586" s="47">
        <f>[2]!RcCMaC(C586/10,D586/10,E586,G586*10,H586*10,I586/10,J586,4)</f>
        <v>57.939743400844101</v>
      </c>
      <c r="M586" s="48">
        <f>[2]!RcCMaC(C586/10,D586/10,E586,G586*10,H586*10, I586/10, J586,0)*10</f>
        <v>0</v>
      </c>
      <c r="N586" s="119">
        <v>626</v>
      </c>
      <c r="O586" s="120" t="str">
        <f t="shared" si="100"/>
        <v>NG</v>
      </c>
    </row>
    <row r="587" spans="3:15" x14ac:dyDescent="0.15">
      <c r="C587" s="52">
        <f t="shared" si="93"/>
        <v>500</v>
      </c>
      <c r="D587" s="35">
        <f t="shared" si="94"/>
        <v>190</v>
      </c>
      <c r="E587" s="28" t="str">
        <f t="shared" si="95"/>
        <v>6-D19</v>
      </c>
      <c r="F587" s="112">
        <f t="shared" si="96"/>
        <v>1721.9999313354492</v>
      </c>
      <c r="G587" s="112">
        <f t="shared" si="97"/>
        <v>14</v>
      </c>
      <c r="H587" s="112">
        <f t="shared" si="98"/>
        <v>345</v>
      </c>
      <c r="I587" s="111">
        <f t="shared" si="101"/>
        <v>8010</v>
      </c>
      <c r="J587" s="112">
        <f t="shared" si="99"/>
        <v>15</v>
      </c>
      <c r="K587" s="123">
        <f>[2]!RcCMaC(C587/10,D587/10,E587,G587*10,H587*10, I587/10, J587,3)</f>
        <v>180.00000498545322</v>
      </c>
      <c r="L587" s="47">
        <f>[2]!RcCMaC(C587/10,D587/10,E587,G587*10,H587*10,I587/10,J587,4)</f>
        <v>57.939743400844101</v>
      </c>
      <c r="M587" s="48">
        <f>[2]!RcCMaC(C587/10,D587/10,E587,G587*10,H587*10, I587/10, J587,0)*10</f>
        <v>0</v>
      </c>
      <c r="N587" s="119">
        <v>627</v>
      </c>
      <c r="O587" s="120" t="str">
        <f t="shared" si="100"/>
        <v>NG</v>
      </c>
    </row>
    <row r="588" spans="3:15" x14ac:dyDescent="0.15">
      <c r="C588" s="52">
        <f t="shared" si="93"/>
        <v>500</v>
      </c>
      <c r="D588" s="35">
        <f t="shared" si="94"/>
        <v>190</v>
      </c>
      <c r="E588" s="28" t="str">
        <f t="shared" si="95"/>
        <v>6-D19</v>
      </c>
      <c r="F588" s="112">
        <f t="shared" si="96"/>
        <v>1721.9999313354492</v>
      </c>
      <c r="G588" s="112">
        <f t="shared" si="97"/>
        <v>14</v>
      </c>
      <c r="H588" s="112">
        <f t="shared" si="98"/>
        <v>345</v>
      </c>
      <c r="I588" s="111">
        <f t="shared" si="101"/>
        <v>8020</v>
      </c>
      <c r="J588" s="112">
        <f t="shared" si="99"/>
        <v>15</v>
      </c>
      <c r="K588" s="123">
        <f>[2]!RcCMaC(C588/10,D588/10,E588,G588*10,H588*10, I588/10, J588,3)</f>
        <v>180.00000498545322</v>
      </c>
      <c r="L588" s="47">
        <f>[2]!RcCMaC(C588/10,D588/10,E588,G588*10,H588*10,I588/10,J588,4)</f>
        <v>57.939743400844101</v>
      </c>
      <c r="M588" s="48">
        <f>[2]!RcCMaC(C588/10,D588/10,E588,G588*10,H588*10, I588/10, J588,0)*10</f>
        <v>0</v>
      </c>
      <c r="N588" s="119">
        <v>628</v>
      </c>
      <c r="O588" s="120" t="str">
        <f t="shared" si="100"/>
        <v>NG</v>
      </c>
    </row>
    <row r="589" spans="3:15" x14ac:dyDescent="0.15">
      <c r="C589" s="52">
        <f t="shared" si="93"/>
        <v>500</v>
      </c>
      <c r="D589" s="35">
        <f t="shared" si="94"/>
        <v>190</v>
      </c>
      <c r="E589" s="28" t="str">
        <f t="shared" si="95"/>
        <v>6-D19</v>
      </c>
      <c r="F589" s="112">
        <f t="shared" si="96"/>
        <v>1721.9999313354492</v>
      </c>
      <c r="G589" s="112">
        <f t="shared" si="97"/>
        <v>14</v>
      </c>
      <c r="H589" s="112">
        <f t="shared" si="98"/>
        <v>345</v>
      </c>
      <c r="I589" s="111">
        <f t="shared" si="101"/>
        <v>8030</v>
      </c>
      <c r="J589" s="112">
        <f t="shared" si="99"/>
        <v>15</v>
      </c>
      <c r="K589" s="123">
        <f>[2]!RcCMaC(C589/10,D589/10,E589,G589*10,H589*10, I589/10, J589,3)</f>
        <v>180.00000498545322</v>
      </c>
      <c r="L589" s="47">
        <f>[2]!RcCMaC(C589/10,D589/10,E589,G589*10,H589*10,I589/10,J589,4)</f>
        <v>57.939743400844101</v>
      </c>
      <c r="M589" s="48">
        <f>[2]!RcCMaC(C589/10,D589/10,E589,G589*10,H589*10, I589/10, J589,0)*10</f>
        <v>0</v>
      </c>
      <c r="N589" s="119">
        <v>629</v>
      </c>
      <c r="O589" s="120" t="str">
        <f t="shared" si="100"/>
        <v>NG</v>
      </c>
    </row>
    <row r="590" spans="3:15" x14ac:dyDescent="0.15">
      <c r="C590" s="52">
        <f t="shared" si="93"/>
        <v>500</v>
      </c>
      <c r="D590" s="35">
        <f t="shared" si="94"/>
        <v>190</v>
      </c>
      <c r="E590" s="28" t="str">
        <f t="shared" si="95"/>
        <v>6-D19</v>
      </c>
      <c r="F590" s="112">
        <f t="shared" si="96"/>
        <v>1721.9999313354492</v>
      </c>
      <c r="G590" s="112">
        <f t="shared" si="97"/>
        <v>14</v>
      </c>
      <c r="H590" s="112">
        <f t="shared" si="98"/>
        <v>345</v>
      </c>
      <c r="I590" s="111">
        <f t="shared" si="101"/>
        <v>8040</v>
      </c>
      <c r="J590" s="112">
        <f t="shared" si="99"/>
        <v>15</v>
      </c>
      <c r="K590" s="123">
        <f>[2]!RcCMaC(C590/10,D590/10,E590,G590*10,H590*10, I590/10, J590,3)</f>
        <v>180.00000498545322</v>
      </c>
      <c r="L590" s="47">
        <f>[2]!RcCMaC(C590/10,D590/10,E590,G590*10,H590*10,I590/10,J590,4)</f>
        <v>57.939743400844101</v>
      </c>
      <c r="M590" s="48">
        <f>[2]!RcCMaC(C590/10,D590/10,E590,G590*10,H590*10, I590/10, J590,0)*10</f>
        <v>0</v>
      </c>
      <c r="N590" s="119">
        <v>630</v>
      </c>
      <c r="O590" s="120" t="str">
        <f t="shared" si="100"/>
        <v>NG</v>
      </c>
    </row>
    <row r="591" spans="3:15" x14ac:dyDescent="0.15">
      <c r="C591" s="52">
        <f t="shared" si="93"/>
        <v>500</v>
      </c>
      <c r="D591" s="35">
        <f t="shared" si="94"/>
        <v>190</v>
      </c>
      <c r="E591" s="28" t="str">
        <f t="shared" si="95"/>
        <v>6-D19</v>
      </c>
      <c r="F591" s="112">
        <f t="shared" si="96"/>
        <v>1721.9999313354492</v>
      </c>
      <c r="G591" s="112">
        <f t="shared" si="97"/>
        <v>14</v>
      </c>
      <c r="H591" s="112">
        <f t="shared" si="98"/>
        <v>345</v>
      </c>
      <c r="I591" s="111">
        <f t="shared" si="101"/>
        <v>8050</v>
      </c>
      <c r="J591" s="112">
        <f t="shared" si="99"/>
        <v>15</v>
      </c>
      <c r="K591" s="123">
        <f>[2]!RcCMaC(C591/10,D591/10,E591,G591*10,H591*10, I591/10, J591,3)</f>
        <v>180.00000498545322</v>
      </c>
      <c r="L591" s="47">
        <f>[2]!RcCMaC(C591/10,D591/10,E591,G591*10,H591*10,I591/10,J591,4)</f>
        <v>57.939743400844101</v>
      </c>
      <c r="M591" s="48">
        <f>[2]!RcCMaC(C591/10,D591/10,E591,G591*10,H591*10, I591/10, J591,0)*10</f>
        <v>0</v>
      </c>
      <c r="N591" s="119">
        <v>631</v>
      </c>
      <c r="O591" s="120" t="str">
        <f t="shared" si="100"/>
        <v>NG</v>
      </c>
    </row>
    <row r="592" spans="3:15" x14ac:dyDescent="0.15">
      <c r="C592" s="52">
        <f t="shared" si="93"/>
        <v>500</v>
      </c>
      <c r="D592" s="35">
        <f t="shared" si="94"/>
        <v>190</v>
      </c>
      <c r="E592" s="28" t="str">
        <f t="shared" si="95"/>
        <v>6-D19</v>
      </c>
      <c r="F592" s="112">
        <f t="shared" si="96"/>
        <v>1721.9999313354492</v>
      </c>
      <c r="G592" s="112">
        <f t="shared" si="97"/>
        <v>14</v>
      </c>
      <c r="H592" s="112">
        <f t="shared" si="98"/>
        <v>345</v>
      </c>
      <c r="I592" s="111">
        <f t="shared" si="101"/>
        <v>8060</v>
      </c>
      <c r="J592" s="112">
        <f t="shared" si="99"/>
        <v>15</v>
      </c>
      <c r="K592" s="123">
        <f>[2]!RcCMaC(C592/10,D592/10,E592,G592*10,H592*10, I592/10, J592,3)</f>
        <v>180.00000498545322</v>
      </c>
      <c r="L592" s="47">
        <f>[2]!RcCMaC(C592/10,D592/10,E592,G592*10,H592*10,I592/10,J592,4)</f>
        <v>57.939743400844101</v>
      </c>
      <c r="M592" s="48">
        <f>[2]!RcCMaC(C592/10,D592/10,E592,G592*10,H592*10, I592/10, J592,0)*10</f>
        <v>0</v>
      </c>
      <c r="N592" s="119">
        <v>632</v>
      </c>
      <c r="O592" s="120" t="str">
        <f t="shared" si="100"/>
        <v>NG</v>
      </c>
    </row>
    <row r="593" spans="3:15" x14ac:dyDescent="0.15">
      <c r="C593" s="52">
        <f t="shared" si="93"/>
        <v>500</v>
      </c>
      <c r="D593" s="35">
        <f t="shared" si="94"/>
        <v>190</v>
      </c>
      <c r="E593" s="28" t="str">
        <f t="shared" si="95"/>
        <v>6-D19</v>
      </c>
      <c r="F593" s="112">
        <f t="shared" si="96"/>
        <v>1721.9999313354492</v>
      </c>
      <c r="G593" s="112">
        <f t="shared" si="97"/>
        <v>14</v>
      </c>
      <c r="H593" s="112">
        <f t="shared" si="98"/>
        <v>345</v>
      </c>
      <c r="I593" s="111">
        <f t="shared" si="101"/>
        <v>8070</v>
      </c>
      <c r="J593" s="112">
        <f t="shared" si="99"/>
        <v>15</v>
      </c>
      <c r="K593" s="123">
        <f>[2]!RcCMaC(C593/10,D593/10,E593,G593*10,H593*10, I593/10, J593,3)</f>
        <v>180.00000498545322</v>
      </c>
      <c r="L593" s="47">
        <f>[2]!RcCMaC(C593/10,D593/10,E593,G593*10,H593*10,I593/10,J593,4)</f>
        <v>57.939743400844101</v>
      </c>
      <c r="M593" s="48">
        <f>[2]!RcCMaC(C593/10,D593/10,E593,G593*10,H593*10, I593/10, J593,0)*10</f>
        <v>0</v>
      </c>
      <c r="N593" s="119">
        <v>633</v>
      </c>
      <c r="O593" s="120" t="str">
        <f t="shared" si="100"/>
        <v>NG</v>
      </c>
    </row>
    <row r="594" spans="3:15" x14ac:dyDescent="0.15">
      <c r="C594" s="52">
        <f t="shared" si="93"/>
        <v>500</v>
      </c>
      <c r="D594" s="35">
        <f t="shared" si="94"/>
        <v>190</v>
      </c>
      <c r="E594" s="28" t="str">
        <f t="shared" si="95"/>
        <v>6-D19</v>
      </c>
      <c r="F594" s="112">
        <f t="shared" si="96"/>
        <v>1721.9999313354492</v>
      </c>
      <c r="G594" s="112">
        <f t="shared" si="97"/>
        <v>14</v>
      </c>
      <c r="H594" s="112">
        <f t="shared" si="98"/>
        <v>345</v>
      </c>
      <c r="I594" s="111">
        <f t="shared" si="101"/>
        <v>8080</v>
      </c>
      <c r="J594" s="112">
        <f t="shared" si="99"/>
        <v>15</v>
      </c>
      <c r="K594" s="123">
        <f>[2]!RcCMaC(C594/10,D594/10,E594,G594*10,H594*10, I594/10, J594,3)</f>
        <v>180.00000498545322</v>
      </c>
      <c r="L594" s="47">
        <f>[2]!RcCMaC(C594/10,D594/10,E594,G594*10,H594*10,I594/10,J594,4)</f>
        <v>57.939743400844101</v>
      </c>
      <c r="M594" s="48">
        <f>[2]!RcCMaC(C594/10,D594/10,E594,G594*10,H594*10, I594/10, J594,0)*10</f>
        <v>0</v>
      </c>
      <c r="N594" s="119">
        <v>634</v>
      </c>
      <c r="O594" s="120" t="str">
        <f t="shared" si="100"/>
        <v>NG</v>
      </c>
    </row>
    <row r="595" spans="3:15" x14ac:dyDescent="0.15">
      <c r="C595" s="52">
        <f t="shared" si="93"/>
        <v>500</v>
      </c>
      <c r="D595" s="35">
        <f t="shared" si="94"/>
        <v>190</v>
      </c>
      <c r="E595" s="28" t="str">
        <f t="shared" si="95"/>
        <v>6-D19</v>
      </c>
      <c r="F595" s="112">
        <f t="shared" si="96"/>
        <v>1721.9999313354492</v>
      </c>
      <c r="G595" s="112">
        <f t="shared" si="97"/>
        <v>14</v>
      </c>
      <c r="H595" s="112">
        <f t="shared" si="98"/>
        <v>345</v>
      </c>
      <c r="I595" s="111">
        <f t="shared" si="101"/>
        <v>8090</v>
      </c>
      <c r="J595" s="112">
        <f t="shared" si="99"/>
        <v>15</v>
      </c>
      <c r="K595" s="123">
        <f>[2]!RcCMaC(C595/10,D595/10,E595,G595*10,H595*10, I595/10, J595,3)</f>
        <v>180.00000498545322</v>
      </c>
      <c r="L595" s="47">
        <f>[2]!RcCMaC(C595/10,D595/10,E595,G595*10,H595*10,I595/10,J595,4)</f>
        <v>57.939743400844101</v>
      </c>
      <c r="M595" s="48">
        <f>[2]!RcCMaC(C595/10,D595/10,E595,G595*10,H595*10, I595/10, J595,0)*10</f>
        <v>0</v>
      </c>
      <c r="N595" s="119">
        <v>635</v>
      </c>
      <c r="O595" s="120" t="str">
        <f t="shared" si="100"/>
        <v>NG</v>
      </c>
    </row>
    <row r="596" spans="3:15" x14ac:dyDescent="0.15">
      <c r="C596" s="52">
        <f t="shared" si="93"/>
        <v>500</v>
      </c>
      <c r="D596" s="35">
        <f t="shared" si="94"/>
        <v>190</v>
      </c>
      <c r="E596" s="28" t="str">
        <f t="shared" si="95"/>
        <v>6-D19</v>
      </c>
      <c r="F596" s="112">
        <f t="shared" si="96"/>
        <v>1721.9999313354492</v>
      </c>
      <c r="G596" s="112">
        <f t="shared" si="97"/>
        <v>14</v>
      </c>
      <c r="H596" s="112">
        <f t="shared" si="98"/>
        <v>345</v>
      </c>
      <c r="I596" s="111">
        <f t="shared" si="101"/>
        <v>8100</v>
      </c>
      <c r="J596" s="112">
        <f t="shared" si="99"/>
        <v>15</v>
      </c>
      <c r="K596" s="123">
        <f>[2]!RcCMaC(C596/10,D596/10,E596,G596*10,H596*10, I596/10, J596,3)</f>
        <v>180.00000498545322</v>
      </c>
      <c r="L596" s="47">
        <f>[2]!RcCMaC(C596/10,D596/10,E596,G596*10,H596*10,I596/10,J596,4)</f>
        <v>57.939743400844101</v>
      </c>
      <c r="M596" s="48">
        <f>[2]!RcCMaC(C596/10,D596/10,E596,G596*10,H596*10, I596/10, J596,0)*10</f>
        <v>0</v>
      </c>
      <c r="N596" s="119">
        <v>636</v>
      </c>
      <c r="O596" s="120" t="str">
        <f t="shared" si="100"/>
        <v>NG</v>
      </c>
    </row>
    <row r="597" spans="3:15" x14ac:dyDescent="0.15">
      <c r="C597" s="52">
        <f t="shared" ref="C597:C652" si="102">+C596</f>
        <v>500</v>
      </c>
      <c r="D597" s="35">
        <f t="shared" ref="D597:D652" si="103">+D596</f>
        <v>190</v>
      </c>
      <c r="E597" s="28" t="str">
        <f t="shared" ref="E597:E652" si="104">+E596</f>
        <v>6-D19</v>
      </c>
      <c r="F597" s="112">
        <f t="shared" ref="F597:F652" si="105">+F596</f>
        <v>1721.9999313354492</v>
      </c>
      <c r="G597" s="112">
        <f t="shared" ref="G597:G652" si="106">+G596</f>
        <v>14</v>
      </c>
      <c r="H597" s="112">
        <f t="shared" ref="H597:H652" si="107">+H596</f>
        <v>345</v>
      </c>
      <c r="I597" s="111">
        <f t="shared" si="101"/>
        <v>8110</v>
      </c>
      <c r="J597" s="112">
        <f t="shared" ref="J597:J652" si="108">+J596</f>
        <v>15</v>
      </c>
      <c r="K597" s="123">
        <f>[2]!RcCMaC(C597/10,D597/10,E597,G597*10,H597*10, I597/10, J597,3)</f>
        <v>180.00000498545322</v>
      </c>
      <c r="L597" s="47">
        <f>[2]!RcCMaC(C597/10,D597/10,E597,G597*10,H597*10,I597/10,J597,4)</f>
        <v>57.939743400844101</v>
      </c>
      <c r="M597" s="48">
        <f>[2]!RcCMaC(C597/10,D597/10,E597,G597*10,H597*10, I597/10, J597,0)*10</f>
        <v>0</v>
      </c>
      <c r="N597" s="119">
        <v>637</v>
      </c>
      <c r="O597" s="120" t="str">
        <f t="shared" ref="O597:O652" si="109">IF(M597&gt;N597,"OK","NG")</f>
        <v>NG</v>
      </c>
    </row>
    <row r="598" spans="3:15" x14ac:dyDescent="0.15">
      <c r="C598" s="52">
        <f t="shared" si="102"/>
        <v>500</v>
      </c>
      <c r="D598" s="35">
        <f t="shared" si="103"/>
        <v>190</v>
      </c>
      <c r="E598" s="28" t="str">
        <f t="shared" si="104"/>
        <v>6-D19</v>
      </c>
      <c r="F598" s="112">
        <f t="shared" si="105"/>
        <v>1721.9999313354492</v>
      </c>
      <c r="G598" s="112">
        <f t="shared" si="106"/>
        <v>14</v>
      </c>
      <c r="H598" s="112">
        <f t="shared" si="107"/>
        <v>345</v>
      </c>
      <c r="I598" s="111">
        <f t="shared" si="101"/>
        <v>8120</v>
      </c>
      <c r="J598" s="112">
        <f t="shared" si="108"/>
        <v>15</v>
      </c>
      <c r="K598" s="123">
        <f>[2]!RcCMaC(C598/10,D598/10,E598,G598*10,H598*10, I598/10, J598,3)</f>
        <v>180.00000498545322</v>
      </c>
      <c r="L598" s="47">
        <f>[2]!RcCMaC(C598/10,D598/10,E598,G598*10,H598*10,I598/10,J598,4)</f>
        <v>57.939743400844101</v>
      </c>
      <c r="M598" s="48">
        <f>[2]!RcCMaC(C598/10,D598/10,E598,G598*10,H598*10, I598/10, J598,0)*10</f>
        <v>0</v>
      </c>
      <c r="N598" s="119">
        <v>638</v>
      </c>
      <c r="O598" s="120" t="str">
        <f t="shared" si="109"/>
        <v>NG</v>
      </c>
    </row>
    <row r="599" spans="3:15" x14ac:dyDescent="0.15">
      <c r="C599" s="52">
        <f t="shared" si="102"/>
        <v>500</v>
      </c>
      <c r="D599" s="35">
        <f t="shared" si="103"/>
        <v>190</v>
      </c>
      <c r="E599" s="28" t="str">
        <f t="shared" si="104"/>
        <v>6-D19</v>
      </c>
      <c r="F599" s="112">
        <f t="shared" si="105"/>
        <v>1721.9999313354492</v>
      </c>
      <c r="G599" s="112">
        <f t="shared" si="106"/>
        <v>14</v>
      </c>
      <c r="H599" s="112">
        <f t="shared" si="107"/>
        <v>345</v>
      </c>
      <c r="I599" s="111">
        <f t="shared" si="101"/>
        <v>8130</v>
      </c>
      <c r="J599" s="112">
        <f t="shared" si="108"/>
        <v>15</v>
      </c>
      <c r="K599" s="123">
        <f>[2]!RcCMaC(C599/10,D599/10,E599,G599*10,H599*10, I599/10, J599,3)</f>
        <v>180.00000498545322</v>
      </c>
      <c r="L599" s="47">
        <f>[2]!RcCMaC(C599/10,D599/10,E599,G599*10,H599*10,I599/10,J599,4)</f>
        <v>57.939743400844101</v>
      </c>
      <c r="M599" s="48">
        <f>[2]!RcCMaC(C599/10,D599/10,E599,G599*10,H599*10, I599/10, J599,0)*10</f>
        <v>0</v>
      </c>
      <c r="N599" s="119">
        <v>639</v>
      </c>
      <c r="O599" s="120" t="str">
        <f t="shared" si="109"/>
        <v>NG</v>
      </c>
    </row>
    <row r="600" spans="3:15" x14ac:dyDescent="0.15">
      <c r="C600" s="52">
        <f t="shared" si="102"/>
        <v>500</v>
      </c>
      <c r="D600" s="35">
        <f t="shared" si="103"/>
        <v>190</v>
      </c>
      <c r="E600" s="28" t="str">
        <f t="shared" si="104"/>
        <v>6-D19</v>
      </c>
      <c r="F600" s="112">
        <f t="shared" si="105"/>
        <v>1721.9999313354492</v>
      </c>
      <c r="G600" s="112">
        <f t="shared" si="106"/>
        <v>14</v>
      </c>
      <c r="H600" s="112">
        <f t="shared" si="107"/>
        <v>345</v>
      </c>
      <c r="I600" s="111">
        <f t="shared" si="101"/>
        <v>8140</v>
      </c>
      <c r="J600" s="112">
        <f t="shared" si="108"/>
        <v>15</v>
      </c>
      <c r="K600" s="123">
        <f>[2]!RcCMaC(C600/10,D600/10,E600,G600*10,H600*10, I600/10, J600,3)</f>
        <v>180.00000498545322</v>
      </c>
      <c r="L600" s="47">
        <f>[2]!RcCMaC(C600/10,D600/10,E600,G600*10,H600*10,I600/10,J600,4)</f>
        <v>57.939743400844101</v>
      </c>
      <c r="M600" s="48">
        <f>[2]!RcCMaC(C600/10,D600/10,E600,G600*10,H600*10, I600/10, J600,0)*10</f>
        <v>0</v>
      </c>
      <c r="N600" s="119">
        <v>640</v>
      </c>
      <c r="O600" s="120" t="str">
        <f t="shared" si="109"/>
        <v>NG</v>
      </c>
    </row>
    <row r="601" spans="3:15" x14ac:dyDescent="0.15">
      <c r="C601" s="52">
        <f t="shared" si="102"/>
        <v>500</v>
      </c>
      <c r="D601" s="35">
        <f t="shared" si="103"/>
        <v>190</v>
      </c>
      <c r="E601" s="28" t="str">
        <f t="shared" si="104"/>
        <v>6-D19</v>
      </c>
      <c r="F601" s="112">
        <f t="shared" si="105"/>
        <v>1721.9999313354492</v>
      </c>
      <c r="G601" s="112">
        <f t="shared" si="106"/>
        <v>14</v>
      </c>
      <c r="H601" s="112">
        <f t="shared" si="107"/>
        <v>345</v>
      </c>
      <c r="I601" s="111">
        <f t="shared" si="101"/>
        <v>8150</v>
      </c>
      <c r="J601" s="112">
        <f t="shared" si="108"/>
        <v>15</v>
      </c>
      <c r="K601" s="123">
        <f>[2]!RcCMaC(C601/10,D601/10,E601,G601*10,H601*10, I601/10, J601,3)</f>
        <v>180.00000498545322</v>
      </c>
      <c r="L601" s="47">
        <f>[2]!RcCMaC(C601/10,D601/10,E601,G601*10,H601*10,I601/10,J601,4)</f>
        <v>57.939743400844101</v>
      </c>
      <c r="M601" s="48">
        <f>[2]!RcCMaC(C601/10,D601/10,E601,G601*10,H601*10, I601/10, J601,0)*10</f>
        <v>0</v>
      </c>
      <c r="N601" s="119">
        <v>641</v>
      </c>
      <c r="O601" s="120" t="str">
        <f t="shared" si="109"/>
        <v>NG</v>
      </c>
    </row>
    <row r="602" spans="3:15" x14ac:dyDescent="0.15">
      <c r="C602" s="52">
        <f t="shared" si="102"/>
        <v>500</v>
      </c>
      <c r="D602" s="35">
        <f t="shared" si="103"/>
        <v>190</v>
      </c>
      <c r="E602" s="28" t="str">
        <f t="shared" si="104"/>
        <v>6-D19</v>
      </c>
      <c r="F602" s="112">
        <f t="shared" si="105"/>
        <v>1721.9999313354492</v>
      </c>
      <c r="G602" s="112">
        <f t="shared" si="106"/>
        <v>14</v>
      </c>
      <c r="H602" s="112">
        <f t="shared" si="107"/>
        <v>345</v>
      </c>
      <c r="I602" s="111">
        <f t="shared" si="101"/>
        <v>8160</v>
      </c>
      <c r="J602" s="112">
        <f t="shared" si="108"/>
        <v>15</v>
      </c>
      <c r="K602" s="123">
        <f>[2]!RcCMaC(C602/10,D602/10,E602,G602*10,H602*10, I602/10, J602,3)</f>
        <v>180.00000498545322</v>
      </c>
      <c r="L602" s="47">
        <f>[2]!RcCMaC(C602/10,D602/10,E602,G602*10,H602*10,I602/10,J602,4)</f>
        <v>57.939743400844101</v>
      </c>
      <c r="M602" s="48">
        <f>[2]!RcCMaC(C602/10,D602/10,E602,G602*10,H602*10, I602/10, J602,0)*10</f>
        <v>0</v>
      </c>
      <c r="N602" s="119">
        <v>642</v>
      </c>
      <c r="O602" s="120" t="str">
        <f t="shared" si="109"/>
        <v>NG</v>
      </c>
    </row>
    <row r="603" spans="3:15" x14ac:dyDescent="0.15">
      <c r="C603" s="52">
        <f t="shared" si="102"/>
        <v>500</v>
      </c>
      <c r="D603" s="35">
        <f t="shared" si="103"/>
        <v>190</v>
      </c>
      <c r="E603" s="28" t="str">
        <f t="shared" si="104"/>
        <v>6-D19</v>
      </c>
      <c r="F603" s="112">
        <f t="shared" si="105"/>
        <v>1721.9999313354492</v>
      </c>
      <c r="G603" s="112">
        <f t="shared" si="106"/>
        <v>14</v>
      </c>
      <c r="H603" s="112">
        <f t="shared" si="107"/>
        <v>345</v>
      </c>
      <c r="I603" s="111">
        <f t="shared" si="101"/>
        <v>8170</v>
      </c>
      <c r="J603" s="112">
        <f t="shared" si="108"/>
        <v>15</v>
      </c>
      <c r="K603" s="123">
        <f>[2]!RcCMaC(C603/10,D603/10,E603,G603*10,H603*10, I603/10, J603,3)</f>
        <v>180.00000498545322</v>
      </c>
      <c r="L603" s="47">
        <f>[2]!RcCMaC(C603/10,D603/10,E603,G603*10,H603*10,I603/10,J603,4)</f>
        <v>57.939743400844101</v>
      </c>
      <c r="M603" s="48">
        <f>[2]!RcCMaC(C603/10,D603/10,E603,G603*10,H603*10, I603/10, J603,0)*10</f>
        <v>0</v>
      </c>
      <c r="N603" s="119">
        <v>643</v>
      </c>
      <c r="O603" s="120" t="str">
        <f t="shared" si="109"/>
        <v>NG</v>
      </c>
    </row>
    <row r="604" spans="3:15" x14ac:dyDescent="0.15">
      <c r="C604" s="52">
        <f t="shared" si="102"/>
        <v>500</v>
      </c>
      <c r="D604" s="35">
        <f t="shared" si="103"/>
        <v>190</v>
      </c>
      <c r="E604" s="28" t="str">
        <f t="shared" si="104"/>
        <v>6-D19</v>
      </c>
      <c r="F604" s="112">
        <f t="shared" si="105"/>
        <v>1721.9999313354492</v>
      </c>
      <c r="G604" s="112">
        <f t="shared" si="106"/>
        <v>14</v>
      </c>
      <c r="H604" s="112">
        <f t="shared" si="107"/>
        <v>345</v>
      </c>
      <c r="I604" s="111">
        <f t="shared" si="101"/>
        <v>8180</v>
      </c>
      <c r="J604" s="112">
        <f t="shared" si="108"/>
        <v>15</v>
      </c>
      <c r="K604" s="123">
        <f>[2]!RcCMaC(C604/10,D604/10,E604,G604*10,H604*10, I604/10, J604,3)</f>
        <v>180.00000498545322</v>
      </c>
      <c r="L604" s="47">
        <f>[2]!RcCMaC(C604/10,D604/10,E604,G604*10,H604*10,I604/10,J604,4)</f>
        <v>57.939743400844101</v>
      </c>
      <c r="M604" s="48">
        <f>[2]!RcCMaC(C604/10,D604/10,E604,G604*10,H604*10, I604/10, J604,0)*10</f>
        <v>0</v>
      </c>
      <c r="N604" s="119">
        <v>644</v>
      </c>
      <c r="O604" s="120" t="str">
        <f t="shared" si="109"/>
        <v>NG</v>
      </c>
    </row>
    <row r="605" spans="3:15" x14ac:dyDescent="0.15">
      <c r="C605" s="52">
        <f t="shared" si="102"/>
        <v>500</v>
      </c>
      <c r="D605" s="35">
        <f t="shared" si="103"/>
        <v>190</v>
      </c>
      <c r="E605" s="28" t="str">
        <f t="shared" si="104"/>
        <v>6-D19</v>
      </c>
      <c r="F605" s="112">
        <f t="shared" si="105"/>
        <v>1721.9999313354492</v>
      </c>
      <c r="G605" s="112">
        <f t="shared" si="106"/>
        <v>14</v>
      </c>
      <c r="H605" s="112">
        <f t="shared" si="107"/>
        <v>345</v>
      </c>
      <c r="I605" s="111">
        <f t="shared" si="101"/>
        <v>8190</v>
      </c>
      <c r="J605" s="112">
        <f t="shared" si="108"/>
        <v>15</v>
      </c>
      <c r="K605" s="123">
        <f>[2]!RcCMaC(C605/10,D605/10,E605,G605*10,H605*10, I605/10, J605,3)</f>
        <v>180.00000498545322</v>
      </c>
      <c r="L605" s="47">
        <f>[2]!RcCMaC(C605/10,D605/10,E605,G605*10,H605*10,I605/10,J605,4)</f>
        <v>57.939743400844101</v>
      </c>
      <c r="M605" s="48">
        <f>[2]!RcCMaC(C605/10,D605/10,E605,G605*10,H605*10, I605/10, J605,0)*10</f>
        <v>0</v>
      </c>
      <c r="N605" s="119">
        <v>645</v>
      </c>
      <c r="O605" s="120" t="str">
        <f t="shared" si="109"/>
        <v>NG</v>
      </c>
    </row>
    <row r="606" spans="3:15" x14ac:dyDescent="0.15">
      <c r="C606" s="52">
        <f t="shared" si="102"/>
        <v>500</v>
      </c>
      <c r="D606" s="35">
        <f t="shared" si="103"/>
        <v>190</v>
      </c>
      <c r="E606" s="28" t="str">
        <f t="shared" si="104"/>
        <v>6-D19</v>
      </c>
      <c r="F606" s="112">
        <f t="shared" si="105"/>
        <v>1721.9999313354492</v>
      </c>
      <c r="G606" s="112">
        <f t="shared" si="106"/>
        <v>14</v>
      </c>
      <c r="H606" s="112">
        <f t="shared" si="107"/>
        <v>345</v>
      </c>
      <c r="I606" s="111">
        <f t="shared" si="101"/>
        <v>8200</v>
      </c>
      <c r="J606" s="112">
        <f t="shared" si="108"/>
        <v>15</v>
      </c>
      <c r="K606" s="123">
        <f>[2]!RcCMaC(C606/10,D606/10,E606,G606*10,H606*10, I606/10, J606,3)</f>
        <v>180.00000498545322</v>
      </c>
      <c r="L606" s="47">
        <f>[2]!RcCMaC(C606/10,D606/10,E606,G606*10,H606*10,I606/10,J606,4)</f>
        <v>57.939743400844101</v>
      </c>
      <c r="M606" s="48">
        <f>[2]!RcCMaC(C606/10,D606/10,E606,G606*10,H606*10, I606/10, J606,0)*10</f>
        <v>0</v>
      </c>
      <c r="N606" s="119">
        <v>646</v>
      </c>
      <c r="O606" s="120" t="str">
        <f t="shared" si="109"/>
        <v>NG</v>
      </c>
    </row>
    <row r="607" spans="3:15" x14ac:dyDescent="0.15">
      <c r="C607" s="52">
        <f t="shared" si="102"/>
        <v>500</v>
      </c>
      <c r="D607" s="35">
        <f t="shared" si="103"/>
        <v>190</v>
      </c>
      <c r="E607" s="28" t="str">
        <f t="shared" si="104"/>
        <v>6-D19</v>
      </c>
      <c r="F607" s="112">
        <f t="shared" si="105"/>
        <v>1721.9999313354492</v>
      </c>
      <c r="G607" s="112">
        <f t="shared" si="106"/>
        <v>14</v>
      </c>
      <c r="H607" s="112">
        <f t="shared" si="107"/>
        <v>345</v>
      </c>
      <c r="I607" s="111">
        <f t="shared" si="101"/>
        <v>8210</v>
      </c>
      <c r="J607" s="112">
        <f t="shared" si="108"/>
        <v>15</v>
      </c>
      <c r="K607" s="123">
        <f>[2]!RcCMaC(C607/10,D607/10,E607,G607*10,H607*10, I607/10, J607,3)</f>
        <v>180.00000498545322</v>
      </c>
      <c r="L607" s="47">
        <f>[2]!RcCMaC(C607/10,D607/10,E607,G607*10,H607*10,I607/10,J607,4)</f>
        <v>57.939743400844101</v>
      </c>
      <c r="M607" s="48">
        <f>[2]!RcCMaC(C607/10,D607/10,E607,G607*10,H607*10, I607/10, J607,0)*10</f>
        <v>0</v>
      </c>
      <c r="N607" s="119">
        <v>647</v>
      </c>
      <c r="O607" s="120" t="str">
        <f t="shared" si="109"/>
        <v>NG</v>
      </c>
    </row>
    <row r="608" spans="3:15" x14ac:dyDescent="0.15">
      <c r="C608" s="52">
        <f t="shared" si="102"/>
        <v>500</v>
      </c>
      <c r="D608" s="35">
        <f t="shared" si="103"/>
        <v>190</v>
      </c>
      <c r="E608" s="28" t="str">
        <f t="shared" si="104"/>
        <v>6-D19</v>
      </c>
      <c r="F608" s="112">
        <f t="shared" si="105"/>
        <v>1721.9999313354492</v>
      </c>
      <c r="G608" s="112">
        <f t="shared" si="106"/>
        <v>14</v>
      </c>
      <c r="H608" s="112">
        <f t="shared" si="107"/>
        <v>345</v>
      </c>
      <c r="I608" s="111">
        <f t="shared" si="101"/>
        <v>8220</v>
      </c>
      <c r="J608" s="112">
        <f t="shared" si="108"/>
        <v>15</v>
      </c>
      <c r="K608" s="123">
        <f>[2]!RcCMaC(C608/10,D608/10,E608,G608*10,H608*10, I608/10, J608,3)</f>
        <v>180.00000498545322</v>
      </c>
      <c r="L608" s="47">
        <f>[2]!RcCMaC(C608/10,D608/10,E608,G608*10,H608*10,I608/10,J608,4)</f>
        <v>57.939743400844101</v>
      </c>
      <c r="M608" s="48">
        <f>[2]!RcCMaC(C608/10,D608/10,E608,G608*10,H608*10, I608/10, J608,0)*10</f>
        <v>0</v>
      </c>
      <c r="N608" s="119">
        <v>648</v>
      </c>
      <c r="O608" s="120" t="str">
        <f t="shared" si="109"/>
        <v>NG</v>
      </c>
    </row>
    <row r="609" spans="3:15" x14ac:dyDescent="0.15">
      <c r="C609" s="52">
        <f t="shared" si="102"/>
        <v>500</v>
      </c>
      <c r="D609" s="35">
        <f t="shared" si="103"/>
        <v>190</v>
      </c>
      <c r="E609" s="28" t="str">
        <f t="shared" si="104"/>
        <v>6-D19</v>
      </c>
      <c r="F609" s="112">
        <f t="shared" si="105"/>
        <v>1721.9999313354492</v>
      </c>
      <c r="G609" s="112">
        <f t="shared" si="106"/>
        <v>14</v>
      </c>
      <c r="H609" s="112">
        <f t="shared" si="107"/>
        <v>345</v>
      </c>
      <c r="I609" s="111">
        <f t="shared" si="101"/>
        <v>8230</v>
      </c>
      <c r="J609" s="112">
        <f t="shared" si="108"/>
        <v>15</v>
      </c>
      <c r="K609" s="123">
        <f>[2]!RcCMaC(C609/10,D609/10,E609,G609*10,H609*10, I609/10, J609,3)</f>
        <v>180.00000498545322</v>
      </c>
      <c r="L609" s="47">
        <f>[2]!RcCMaC(C609/10,D609/10,E609,G609*10,H609*10,I609/10,J609,4)</f>
        <v>57.939743400844101</v>
      </c>
      <c r="M609" s="48">
        <f>[2]!RcCMaC(C609/10,D609/10,E609,G609*10,H609*10, I609/10, J609,0)*10</f>
        <v>0</v>
      </c>
      <c r="N609" s="119">
        <v>649</v>
      </c>
      <c r="O609" s="120" t="str">
        <f t="shared" si="109"/>
        <v>NG</v>
      </c>
    </row>
    <row r="610" spans="3:15" x14ac:dyDescent="0.15">
      <c r="C610" s="52">
        <f t="shared" si="102"/>
        <v>500</v>
      </c>
      <c r="D610" s="35">
        <f t="shared" si="103"/>
        <v>190</v>
      </c>
      <c r="E610" s="28" t="str">
        <f t="shared" si="104"/>
        <v>6-D19</v>
      </c>
      <c r="F610" s="112">
        <f t="shared" si="105"/>
        <v>1721.9999313354492</v>
      </c>
      <c r="G610" s="112">
        <f t="shared" si="106"/>
        <v>14</v>
      </c>
      <c r="H610" s="112">
        <f t="shared" si="107"/>
        <v>345</v>
      </c>
      <c r="I610" s="111">
        <f t="shared" si="101"/>
        <v>8240</v>
      </c>
      <c r="J610" s="112">
        <f t="shared" si="108"/>
        <v>15</v>
      </c>
      <c r="K610" s="123">
        <f>[2]!RcCMaC(C610/10,D610/10,E610,G610*10,H610*10, I610/10, J610,3)</f>
        <v>180.00000498545322</v>
      </c>
      <c r="L610" s="47">
        <f>[2]!RcCMaC(C610/10,D610/10,E610,G610*10,H610*10,I610/10,J610,4)</f>
        <v>57.939743400844101</v>
      </c>
      <c r="M610" s="48">
        <f>[2]!RcCMaC(C610/10,D610/10,E610,G610*10,H610*10, I610/10, J610,0)*10</f>
        <v>0</v>
      </c>
      <c r="N610" s="119">
        <v>650</v>
      </c>
      <c r="O610" s="120" t="str">
        <f t="shared" si="109"/>
        <v>NG</v>
      </c>
    </row>
    <row r="611" spans="3:15" x14ac:dyDescent="0.15">
      <c r="C611" s="52">
        <f t="shared" si="102"/>
        <v>500</v>
      </c>
      <c r="D611" s="35">
        <f t="shared" si="103"/>
        <v>190</v>
      </c>
      <c r="E611" s="28" t="str">
        <f t="shared" si="104"/>
        <v>6-D19</v>
      </c>
      <c r="F611" s="112">
        <f t="shared" si="105"/>
        <v>1721.9999313354492</v>
      </c>
      <c r="G611" s="112">
        <f t="shared" si="106"/>
        <v>14</v>
      </c>
      <c r="H611" s="112">
        <f t="shared" si="107"/>
        <v>345</v>
      </c>
      <c r="I611" s="111">
        <f t="shared" si="101"/>
        <v>8250</v>
      </c>
      <c r="J611" s="112">
        <f t="shared" si="108"/>
        <v>15</v>
      </c>
      <c r="K611" s="123">
        <f>[2]!RcCMaC(C611/10,D611/10,E611,G611*10,H611*10, I611/10, J611,3)</f>
        <v>180.00000498545322</v>
      </c>
      <c r="L611" s="47">
        <f>[2]!RcCMaC(C611/10,D611/10,E611,G611*10,H611*10,I611/10,J611,4)</f>
        <v>57.939743400844101</v>
      </c>
      <c r="M611" s="48">
        <f>[2]!RcCMaC(C611/10,D611/10,E611,G611*10,H611*10, I611/10, J611,0)*10</f>
        <v>0</v>
      </c>
      <c r="N611" s="119">
        <v>651</v>
      </c>
      <c r="O611" s="120" t="str">
        <f t="shared" si="109"/>
        <v>NG</v>
      </c>
    </row>
    <row r="612" spans="3:15" x14ac:dyDescent="0.15">
      <c r="C612" s="52">
        <f t="shared" si="102"/>
        <v>500</v>
      </c>
      <c r="D612" s="35">
        <f t="shared" si="103"/>
        <v>190</v>
      </c>
      <c r="E612" s="28" t="str">
        <f t="shared" si="104"/>
        <v>6-D19</v>
      </c>
      <c r="F612" s="112">
        <f t="shared" si="105"/>
        <v>1721.9999313354492</v>
      </c>
      <c r="G612" s="112">
        <f t="shared" si="106"/>
        <v>14</v>
      </c>
      <c r="H612" s="112">
        <f t="shared" si="107"/>
        <v>345</v>
      </c>
      <c r="I612" s="111">
        <f t="shared" si="101"/>
        <v>8260</v>
      </c>
      <c r="J612" s="112">
        <f t="shared" si="108"/>
        <v>15</v>
      </c>
      <c r="K612" s="123">
        <f>[2]!RcCMaC(C612/10,D612/10,E612,G612*10,H612*10, I612/10, J612,3)</f>
        <v>180.00000498545322</v>
      </c>
      <c r="L612" s="47">
        <f>[2]!RcCMaC(C612/10,D612/10,E612,G612*10,H612*10,I612/10,J612,4)</f>
        <v>57.939743400844101</v>
      </c>
      <c r="M612" s="48">
        <f>[2]!RcCMaC(C612/10,D612/10,E612,G612*10,H612*10, I612/10, J612,0)*10</f>
        <v>0</v>
      </c>
      <c r="N612" s="119">
        <v>652</v>
      </c>
      <c r="O612" s="120" t="str">
        <f t="shared" si="109"/>
        <v>NG</v>
      </c>
    </row>
    <row r="613" spans="3:15" x14ac:dyDescent="0.15">
      <c r="C613" s="52">
        <f t="shared" si="102"/>
        <v>500</v>
      </c>
      <c r="D613" s="35">
        <f t="shared" si="103"/>
        <v>190</v>
      </c>
      <c r="E613" s="28" t="str">
        <f t="shared" si="104"/>
        <v>6-D19</v>
      </c>
      <c r="F613" s="112">
        <f t="shared" si="105"/>
        <v>1721.9999313354492</v>
      </c>
      <c r="G613" s="112">
        <f t="shared" si="106"/>
        <v>14</v>
      </c>
      <c r="H613" s="112">
        <f t="shared" si="107"/>
        <v>345</v>
      </c>
      <c r="I613" s="111">
        <f t="shared" si="101"/>
        <v>8270</v>
      </c>
      <c r="J613" s="112">
        <f t="shared" si="108"/>
        <v>15</v>
      </c>
      <c r="K613" s="123">
        <f>[2]!RcCMaC(C613/10,D613/10,E613,G613*10,H613*10, I613/10, J613,3)</f>
        <v>180.00000498545322</v>
      </c>
      <c r="L613" s="47">
        <f>[2]!RcCMaC(C613/10,D613/10,E613,G613*10,H613*10,I613/10,J613,4)</f>
        <v>57.939743400844101</v>
      </c>
      <c r="M613" s="48">
        <f>[2]!RcCMaC(C613/10,D613/10,E613,G613*10,H613*10, I613/10, J613,0)*10</f>
        <v>0</v>
      </c>
      <c r="N613" s="119">
        <v>653</v>
      </c>
      <c r="O613" s="120" t="str">
        <f t="shared" si="109"/>
        <v>NG</v>
      </c>
    </row>
    <row r="614" spans="3:15" x14ac:dyDescent="0.15">
      <c r="C614" s="52">
        <f t="shared" si="102"/>
        <v>500</v>
      </c>
      <c r="D614" s="35">
        <f t="shared" si="103"/>
        <v>190</v>
      </c>
      <c r="E614" s="28" t="str">
        <f t="shared" si="104"/>
        <v>6-D19</v>
      </c>
      <c r="F614" s="112">
        <f t="shared" si="105"/>
        <v>1721.9999313354492</v>
      </c>
      <c r="G614" s="112">
        <f t="shared" si="106"/>
        <v>14</v>
      </c>
      <c r="H614" s="112">
        <f t="shared" si="107"/>
        <v>345</v>
      </c>
      <c r="I614" s="111">
        <f t="shared" si="101"/>
        <v>8280</v>
      </c>
      <c r="J614" s="112">
        <f t="shared" si="108"/>
        <v>15</v>
      </c>
      <c r="K614" s="123">
        <f>[2]!RcCMaC(C614/10,D614/10,E614,G614*10,H614*10, I614/10, J614,3)</f>
        <v>180.00000498545322</v>
      </c>
      <c r="L614" s="47">
        <f>[2]!RcCMaC(C614/10,D614/10,E614,G614*10,H614*10,I614/10,J614,4)</f>
        <v>57.939743400844101</v>
      </c>
      <c r="M614" s="48">
        <f>[2]!RcCMaC(C614/10,D614/10,E614,G614*10,H614*10, I614/10, J614,0)*10</f>
        <v>0</v>
      </c>
      <c r="N614" s="119">
        <v>654</v>
      </c>
      <c r="O614" s="120" t="str">
        <f t="shared" si="109"/>
        <v>NG</v>
      </c>
    </row>
    <row r="615" spans="3:15" x14ac:dyDescent="0.15">
      <c r="C615" s="52">
        <f t="shared" si="102"/>
        <v>500</v>
      </c>
      <c r="D615" s="35">
        <f t="shared" si="103"/>
        <v>190</v>
      </c>
      <c r="E615" s="28" t="str">
        <f t="shared" si="104"/>
        <v>6-D19</v>
      </c>
      <c r="F615" s="112">
        <f t="shared" si="105"/>
        <v>1721.9999313354492</v>
      </c>
      <c r="G615" s="112">
        <f t="shared" si="106"/>
        <v>14</v>
      </c>
      <c r="H615" s="112">
        <f t="shared" si="107"/>
        <v>345</v>
      </c>
      <c r="I615" s="111">
        <f t="shared" si="101"/>
        <v>8290</v>
      </c>
      <c r="J615" s="112">
        <f t="shared" si="108"/>
        <v>15</v>
      </c>
      <c r="K615" s="123">
        <f>[2]!RcCMaC(C615/10,D615/10,E615,G615*10,H615*10, I615/10, J615,3)</f>
        <v>180.00000498545322</v>
      </c>
      <c r="L615" s="47">
        <f>[2]!RcCMaC(C615/10,D615/10,E615,G615*10,H615*10,I615/10,J615,4)</f>
        <v>57.939743400844101</v>
      </c>
      <c r="M615" s="48">
        <f>[2]!RcCMaC(C615/10,D615/10,E615,G615*10,H615*10, I615/10, J615,0)*10</f>
        <v>0</v>
      </c>
      <c r="N615" s="119">
        <v>655</v>
      </c>
      <c r="O615" s="120" t="str">
        <f t="shared" si="109"/>
        <v>NG</v>
      </c>
    </row>
    <row r="616" spans="3:15" x14ac:dyDescent="0.15">
      <c r="C616" s="52">
        <f t="shared" si="102"/>
        <v>500</v>
      </c>
      <c r="D616" s="35">
        <f t="shared" si="103"/>
        <v>190</v>
      </c>
      <c r="E616" s="28" t="str">
        <f t="shared" si="104"/>
        <v>6-D19</v>
      </c>
      <c r="F616" s="112">
        <f t="shared" si="105"/>
        <v>1721.9999313354492</v>
      </c>
      <c r="G616" s="112">
        <f t="shared" si="106"/>
        <v>14</v>
      </c>
      <c r="H616" s="112">
        <f t="shared" si="107"/>
        <v>345</v>
      </c>
      <c r="I616" s="111">
        <f t="shared" si="101"/>
        <v>8300</v>
      </c>
      <c r="J616" s="112">
        <f t="shared" si="108"/>
        <v>15</v>
      </c>
      <c r="K616" s="123">
        <f>[2]!RcCMaC(C616/10,D616/10,E616,G616*10,H616*10, I616/10, J616,3)</f>
        <v>180.00000498545322</v>
      </c>
      <c r="L616" s="47">
        <f>[2]!RcCMaC(C616/10,D616/10,E616,G616*10,H616*10,I616/10,J616,4)</f>
        <v>57.939743400844101</v>
      </c>
      <c r="M616" s="48">
        <f>[2]!RcCMaC(C616/10,D616/10,E616,G616*10,H616*10, I616/10, J616,0)*10</f>
        <v>0</v>
      </c>
      <c r="N616" s="119">
        <v>656</v>
      </c>
      <c r="O616" s="120" t="str">
        <f t="shared" si="109"/>
        <v>NG</v>
      </c>
    </row>
    <row r="617" spans="3:15" x14ac:dyDescent="0.15">
      <c r="C617" s="52">
        <f t="shared" si="102"/>
        <v>500</v>
      </c>
      <c r="D617" s="35">
        <f t="shared" si="103"/>
        <v>190</v>
      </c>
      <c r="E617" s="28" t="str">
        <f t="shared" si="104"/>
        <v>6-D19</v>
      </c>
      <c r="F617" s="112">
        <f t="shared" si="105"/>
        <v>1721.9999313354492</v>
      </c>
      <c r="G617" s="112">
        <f t="shared" si="106"/>
        <v>14</v>
      </c>
      <c r="H617" s="112">
        <f t="shared" si="107"/>
        <v>345</v>
      </c>
      <c r="I617" s="111">
        <f t="shared" si="101"/>
        <v>8310</v>
      </c>
      <c r="J617" s="112">
        <f t="shared" si="108"/>
        <v>15</v>
      </c>
      <c r="K617" s="123">
        <f>[2]!RcCMaC(C617/10,D617/10,E617,G617*10,H617*10, I617/10, J617,3)</f>
        <v>180.00000498545322</v>
      </c>
      <c r="L617" s="47">
        <f>[2]!RcCMaC(C617/10,D617/10,E617,G617*10,H617*10,I617/10,J617,4)</f>
        <v>57.939743400844101</v>
      </c>
      <c r="M617" s="48">
        <f>[2]!RcCMaC(C617/10,D617/10,E617,G617*10,H617*10, I617/10, J617,0)*10</f>
        <v>0</v>
      </c>
      <c r="N617" s="119">
        <v>657</v>
      </c>
      <c r="O617" s="120" t="str">
        <f t="shared" si="109"/>
        <v>NG</v>
      </c>
    </row>
    <row r="618" spans="3:15" x14ac:dyDescent="0.15">
      <c r="C618" s="52">
        <f t="shared" si="102"/>
        <v>500</v>
      </c>
      <c r="D618" s="35">
        <f t="shared" si="103"/>
        <v>190</v>
      </c>
      <c r="E618" s="28" t="str">
        <f t="shared" si="104"/>
        <v>6-D19</v>
      </c>
      <c r="F618" s="112">
        <f t="shared" si="105"/>
        <v>1721.9999313354492</v>
      </c>
      <c r="G618" s="112">
        <f t="shared" si="106"/>
        <v>14</v>
      </c>
      <c r="H618" s="112">
        <f t="shared" si="107"/>
        <v>345</v>
      </c>
      <c r="I618" s="111">
        <f t="shared" si="101"/>
        <v>8320</v>
      </c>
      <c r="J618" s="112">
        <f t="shared" si="108"/>
        <v>15</v>
      </c>
      <c r="K618" s="123">
        <f>[2]!RcCMaC(C618/10,D618/10,E618,G618*10,H618*10, I618/10, J618,3)</f>
        <v>180.00000498545322</v>
      </c>
      <c r="L618" s="47">
        <f>[2]!RcCMaC(C618/10,D618/10,E618,G618*10,H618*10,I618/10,J618,4)</f>
        <v>57.939743400844101</v>
      </c>
      <c r="M618" s="48">
        <f>[2]!RcCMaC(C618/10,D618/10,E618,G618*10,H618*10, I618/10, J618,0)*10</f>
        <v>0</v>
      </c>
      <c r="N618" s="119">
        <v>658</v>
      </c>
      <c r="O618" s="120" t="str">
        <f t="shared" si="109"/>
        <v>NG</v>
      </c>
    </row>
    <row r="619" spans="3:15" x14ac:dyDescent="0.15">
      <c r="C619" s="52">
        <f t="shared" si="102"/>
        <v>500</v>
      </c>
      <c r="D619" s="35">
        <f t="shared" si="103"/>
        <v>190</v>
      </c>
      <c r="E619" s="28" t="str">
        <f t="shared" si="104"/>
        <v>6-D19</v>
      </c>
      <c r="F619" s="112">
        <f t="shared" si="105"/>
        <v>1721.9999313354492</v>
      </c>
      <c r="G619" s="112">
        <f t="shared" si="106"/>
        <v>14</v>
      </c>
      <c r="H619" s="112">
        <f t="shared" si="107"/>
        <v>345</v>
      </c>
      <c r="I619" s="111">
        <f t="shared" si="101"/>
        <v>8330</v>
      </c>
      <c r="J619" s="112">
        <f t="shared" si="108"/>
        <v>15</v>
      </c>
      <c r="K619" s="123">
        <f>[2]!RcCMaC(C619/10,D619/10,E619,G619*10,H619*10, I619/10, J619,3)</f>
        <v>180.00000498545322</v>
      </c>
      <c r="L619" s="47">
        <f>[2]!RcCMaC(C619/10,D619/10,E619,G619*10,H619*10,I619/10,J619,4)</f>
        <v>57.939743400844101</v>
      </c>
      <c r="M619" s="48">
        <f>[2]!RcCMaC(C619/10,D619/10,E619,G619*10,H619*10, I619/10, J619,0)*10</f>
        <v>0</v>
      </c>
      <c r="N619" s="119">
        <v>659</v>
      </c>
      <c r="O619" s="120" t="str">
        <f t="shared" si="109"/>
        <v>NG</v>
      </c>
    </row>
    <row r="620" spans="3:15" x14ac:dyDescent="0.15">
      <c r="C620" s="52">
        <f t="shared" si="102"/>
        <v>500</v>
      </c>
      <c r="D620" s="35">
        <f t="shared" si="103"/>
        <v>190</v>
      </c>
      <c r="E620" s="28" t="str">
        <f t="shared" si="104"/>
        <v>6-D19</v>
      </c>
      <c r="F620" s="112">
        <f t="shared" si="105"/>
        <v>1721.9999313354492</v>
      </c>
      <c r="G620" s="112">
        <f t="shared" si="106"/>
        <v>14</v>
      </c>
      <c r="H620" s="112">
        <f t="shared" si="107"/>
        <v>345</v>
      </c>
      <c r="I620" s="111">
        <f t="shared" si="101"/>
        <v>8340</v>
      </c>
      <c r="J620" s="112">
        <f t="shared" si="108"/>
        <v>15</v>
      </c>
      <c r="K620" s="123">
        <f>[2]!RcCMaC(C620/10,D620/10,E620,G620*10,H620*10, I620/10, J620,3)</f>
        <v>180.00000498545322</v>
      </c>
      <c r="L620" s="47">
        <f>[2]!RcCMaC(C620/10,D620/10,E620,G620*10,H620*10,I620/10,J620,4)</f>
        <v>57.939743400844101</v>
      </c>
      <c r="M620" s="48">
        <f>[2]!RcCMaC(C620/10,D620/10,E620,G620*10,H620*10, I620/10, J620,0)*10</f>
        <v>0</v>
      </c>
      <c r="N620" s="119">
        <v>660</v>
      </c>
      <c r="O620" s="120" t="str">
        <f t="shared" si="109"/>
        <v>NG</v>
      </c>
    </row>
    <row r="621" spans="3:15" x14ac:dyDescent="0.15">
      <c r="C621" s="52">
        <f t="shared" si="102"/>
        <v>500</v>
      </c>
      <c r="D621" s="35">
        <f t="shared" si="103"/>
        <v>190</v>
      </c>
      <c r="E621" s="28" t="str">
        <f t="shared" si="104"/>
        <v>6-D19</v>
      </c>
      <c r="F621" s="112">
        <f t="shared" si="105"/>
        <v>1721.9999313354492</v>
      </c>
      <c r="G621" s="112">
        <f t="shared" si="106"/>
        <v>14</v>
      </c>
      <c r="H621" s="112">
        <f t="shared" si="107"/>
        <v>345</v>
      </c>
      <c r="I621" s="111">
        <f t="shared" si="101"/>
        <v>8350</v>
      </c>
      <c r="J621" s="112">
        <f t="shared" si="108"/>
        <v>15</v>
      </c>
      <c r="K621" s="123">
        <f>[2]!RcCMaC(C621/10,D621/10,E621,G621*10,H621*10, I621/10, J621,3)</f>
        <v>180.00000498545322</v>
      </c>
      <c r="L621" s="47">
        <f>[2]!RcCMaC(C621/10,D621/10,E621,G621*10,H621*10,I621/10,J621,4)</f>
        <v>57.939743400844101</v>
      </c>
      <c r="M621" s="48">
        <f>[2]!RcCMaC(C621/10,D621/10,E621,G621*10,H621*10, I621/10, J621,0)*10</f>
        <v>0</v>
      </c>
      <c r="N621" s="119">
        <v>661</v>
      </c>
      <c r="O621" s="120" t="str">
        <f t="shared" si="109"/>
        <v>NG</v>
      </c>
    </row>
    <row r="622" spans="3:15" x14ac:dyDescent="0.15">
      <c r="C622" s="52">
        <f t="shared" si="102"/>
        <v>500</v>
      </c>
      <c r="D622" s="35">
        <f t="shared" si="103"/>
        <v>190</v>
      </c>
      <c r="E622" s="28" t="str">
        <f t="shared" si="104"/>
        <v>6-D19</v>
      </c>
      <c r="F622" s="112">
        <f t="shared" si="105"/>
        <v>1721.9999313354492</v>
      </c>
      <c r="G622" s="112">
        <f t="shared" si="106"/>
        <v>14</v>
      </c>
      <c r="H622" s="112">
        <f t="shared" si="107"/>
        <v>345</v>
      </c>
      <c r="I622" s="111">
        <f t="shared" si="101"/>
        <v>8360</v>
      </c>
      <c r="J622" s="112">
        <f t="shared" si="108"/>
        <v>15</v>
      </c>
      <c r="K622" s="123">
        <f>[2]!RcCMaC(C622/10,D622/10,E622,G622*10,H622*10, I622/10, J622,3)</f>
        <v>180.00000498545322</v>
      </c>
      <c r="L622" s="47">
        <f>[2]!RcCMaC(C622/10,D622/10,E622,G622*10,H622*10,I622/10,J622,4)</f>
        <v>57.939743400844101</v>
      </c>
      <c r="M622" s="48">
        <f>[2]!RcCMaC(C622/10,D622/10,E622,G622*10,H622*10, I622/10, J622,0)*10</f>
        <v>0</v>
      </c>
      <c r="N622" s="119">
        <v>662</v>
      </c>
      <c r="O622" s="120" t="str">
        <f t="shared" si="109"/>
        <v>NG</v>
      </c>
    </row>
    <row r="623" spans="3:15" x14ac:dyDescent="0.15">
      <c r="C623" s="52">
        <f t="shared" si="102"/>
        <v>500</v>
      </c>
      <c r="D623" s="35">
        <f t="shared" si="103"/>
        <v>190</v>
      </c>
      <c r="E623" s="28" t="str">
        <f t="shared" si="104"/>
        <v>6-D19</v>
      </c>
      <c r="F623" s="112">
        <f t="shared" si="105"/>
        <v>1721.9999313354492</v>
      </c>
      <c r="G623" s="112">
        <f t="shared" si="106"/>
        <v>14</v>
      </c>
      <c r="H623" s="112">
        <f t="shared" si="107"/>
        <v>345</v>
      </c>
      <c r="I623" s="111">
        <f t="shared" si="101"/>
        <v>8370</v>
      </c>
      <c r="J623" s="112">
        <f t="shared" si="108"/>
        <v>15</v>
      </c>
      <c r="K623" s="123">
        <f>[2]!RcCMaC(C623/10,D623/10,E623,G623*10,H623*10, I623/10, J623,3)</f>
        <v>180.00000498545322</v>
      </c>
      <c r="L623" s="47">
        <f>[2]!RcCMaC(C623/10,D623/10,E623,G623*10,H623*10,I623/10,J623,4)</f>
        <v>57.939743400844101</v>
      </c>
      <c r="M623" s="48">
        <f>[2]!RcCMaC(C623/10,D623/10,E623,G623*10,H623*10, I623/10, J623,0)*10</f>
        <v>0</v>
      </c>
      <c r="N623" s="119">
        <v>663</v>
      </c>
      <c r="O623" s="120" t="str">
        <f t="shared" si="109"/>
        <v>NG</v>
      </c>
    </row>
    <row r="624" spans="3:15" x14ac:dyDescent="0.15">
      <c r="C624" s="52">
        <f t="shared" si="102"/>
        <v>500</v>
      </c>
      <c r="D624" s="35">
        <f t="shared" si="103"/>
        <v>190</v>
      </c>
      <c r="E624" s="28" t="str">
        <f t="shared" si="104"/>
        <v>6-D19</v>
      </c>
      <c r="F624" s="112">
        <f t="shared" si="105"/>
        <v>1721.9999313354492</v>
      </c>
      <c r="G624" s="112">
        <f t="shared" si="106"/>
        <v>14</v>
      </c>
      <c r="H624" s="112">
        <f t="shared" si="107"/>
        <v>345</v>
      </c>
      <c r="I624" s="111">
        <f t="shared" si="101"/>
        <v>8380</v>
      </c>
      <c r="J624" s="112">
        <f t="shared" si="108"/>
        <v>15</v>
      </c>
      <c r="K624" s="123">
        <f>[2]!RcCMaC(C624/10,D624/10,E624,G624*10,H624*10, I624/10, J624,3)</f>
        <v>180.00000498545322</v>
      </c>
      <c r="L624" s="47">
        <f>[2]!RcCMaC(C624/10,D624/10,E624,G624*10,H624*10,I624/10,J624,4)</f>
        <v>57.939743400844101</v>
      </c>
      <c r="M624" s="48">
        <f>[2]!RcCMaC(C624/10,D624/10,E624,G624*10,H624*10, I624/10, J624,0)*10</f>
        <v>0</v>
      </c>
      <c r="N624" s="119">
        <v>664</v>
      </c>
      <c r="O624" s="120" t="str">
        <f t="shared" si="109"/>
        <v>NG</v>
      </c>
    </row>
    <row r="625" spans="3:15" x14ac:dyDescent="0.15">
      <c r="C625" s="52">
        <f t="shared" si="102"/>
        <v>500</v>
      </c>
      <c r="D625" s="35">
        <f t="shared" si="103"/>
        <v>190</v>
      </c>
      <c r="E625" s="28" t="str">
        <f t="shared" si="104"/>
        <v>6-D19</v>
      </c>
      <c r="F625" s="112">
        <f t="shared" si="105"/>
        <v>1721.9999313354492</v>
      </c>
      <c r="G625" s="112">
        <f t="shared" si="106"/>
        <v>14</v>
      </c>
      <c r="H625" s="112">
        <f t="shared" si="107"/>
        <v>345</v>
      </c>
      <c r="I625" s="111">
        <f t="shared" si="101"/>
        <v>8390</v>
      </c>
      <c r="J625" s="112">
        <f t="shared" si="108"/>
        <v>15</v>
      </c>
      <c r="K625" s="123">
        <f>[2]!RcCMaC(C625/10,D625/10,E625,G625*10,H625*10, I625/10, J625,3)</f>
        <v>180.00000498545322</v>
      </c>
      <c r="L625" s="47">
        <f>[2]!RcCMaC(C625/10,D625/10,E625,G625*10,H625*10,I625/10,J625,4)</f>
        <v>57.939743400844101</v>
      </c>
      <c r="M625" s="48">
        <f>[2]!RcCMaC(C625/10,D625/10,E625,G625*10,H625*10, I625/10, J625,0)*10</f>
        <v>0</v>
      </c>
      <c r="N625" s="119">
        <v>665</v>
      </c>
      <c r="O625" s="120" t="str">
        <f t="shared" si="109"/>
        <v>NG</v>
      </c>
    </row>
    <row r="626" spans="3:15" x14ac:dyDescent="0.15">
      <c r="C626" s="52">
        <f t="shared" si="102"/>
        <v>500</v>
      </c>
      <c r="D626" s="35">
        <f t="shared" si="103"/>
        <v>190</v>
      </c>
      <c r="E626" s="28" t="str">
        <f t="shared" si="104"/>
        <v>6-D19</v>
      </c>
      <c r="F626" s="112">
        <f t="shared" si="105"/>
        <v>1721.9999313354492</v>
      </c>
      <c r="G626" s="112">
        <f t="shared" si="106"/>
        <v>14</v>
      </c>
      <c r="H626" s="112">
        <f t="shared" si="107"/>
        <v>345</v>
      </c>
      <c r="I626" s="111">
        <f t="shared" si="101"/>
        <v>8400</v>
      </c>
      <c r="J626" s="112">
        <f t="shared" si="108"/>
        <v>15</v>
      </c>
      <c r="K626" s="123">
        <f>[2]!RcCMaC(C626/10,D626/10,E626,G626*10,H626*10, I626/10, J626,3)</f>
        <v>180.00000498545322</v>
      </c>
      <c r="L626" s="47">
        <f>[2]!RcCMaC(C626/10,D626/10,E626,G626*10,H626*10,I626/10,J626,4)</f>
        <v>57.939743400844101</v>
      </c>
      <c r="M626" s="48">
        <f>[2]!RcCMaC(C626/10,D626/10,E626,G626*10,H626*10, I626/10, J626,0)*10</f>
        <v>0</v>
      </c>
      <c r="N626" s="119">
        <v>666</v>
      </c>
      <c r="O626" s="120" t="str">
        <f t="shared" si="109"/>
        <v>NG</v>
      </c>
    </row>
    <row r="627" spans="3:15" x14ac:dyDescent="0.15">
      <c r="C627" s="52">
        <f t="shared" si="102"/>
        <v>500</v>
      </c>
      <c r="D627" s="35">
        <f t="shared" si="103"/>
        <v>190</v>
      </c>
      <c r="E627" s="28" t="str">
        <f t="shared" si="104"/>
        <v>6-D19</v>
      </c>
      <c r="F627" s="112">
        <f t="shared" si="105"/>
        <v>1721.9999313354492</v>
      </c>
      <c r="G627" s="112">
        <f t="shared" si="106"/>
        <v>14</v>
      </c>
      <c r="H627" s="112">
        <f t="shared" si="107"/>
        <v>345</v>
      </c>
      <c r="I627" s="111">
        <f t="shared" si="101"/>
        <v>8410</v>
      </c>
      <c r="J627" s="112">
        <f t="shared" si="108"/>
        <v>15</v>
      </c>
      <c r="K627" s="123">
        <f>[2]!RcCMaC(C627/10,D627/10,E627,G627*10,H627*10, I627/10, J627,3)</f>
        <v>180.00000498545322</v>
      </c>
      <c r="L627" s="47">
        <f>[2]!RcCMaC(C627/10,D627/10,E627,G627*10,H627*10,I627/10,J627,4)</f>
        <v>57.939743400844101</v>
      </c>
      <c r="M627" s="48">
        <f>[2]!RcCMaC(C627/10,D627/10,E627,G627*10,H627*10, I627/10, J627,0)*10</f>
        <v>0</v>
      </c>
      <c r="N627" s="119">
        <v>667</v>
      </c>
      <c r="O627" s="120" t="str">
        <f t="shared" si="109"/>
        <v>NG</v>
      </c>
    </row>
    <row r="628" spans="3:15" x14ac:dyDescent="0.15">
      <c r="C628" s="52">
        <f t="shared" si="102"/>
        <v>500</v>
      </c>
      <c r="D628" s="35">
        <f t="shared" si="103"/>
        <v>190</v>
      </c>
      <c r="E628" s="28" t="str">
        <f t="shared" si="104"/>
        <v>6-D19</v>
      </c>
      <c r="F628" s="112">
        <f t="shared" si="105"/>
        <v>1721.9999313354492</v>
      </c>
      <c r="G628" s="112">
        <f t="shared" si="106"/>
        <v>14</v>
      </c>
      <c r="H628" s="112">
        <f t="shared" si="107"/>
        <v>345</v>
      </c>
      <c r="I628" s="111">
        <f t="shared" si="101"/>
        <v>8420</v>
      </c>
      <c r="J628" s="112">
        <f t="shared" si="108"/>
        <v>15</v>
      </c>
      <c r="K628" s="123">
        <f>[2]!RcCMaC(C628/10,D628/10,E628,G628*10,H628*10, I628/10, J628,3)</f>
        <v>180.00000498545322</v>
      </c>
      <c r="L628" s="47">
        <f>[2]!RcCMaC(C628/10,D628/10,E628,G628*10,H628*10,I628/10,J628,4)</f>
        <v>57.939743400844101</v>
      </c>
      <c r="M628" s="48">
        <f>[2]!RcCMaC(C628/10,D628/10,E628,G628*10,H628*10, I628/10, J628,0)*10</f>
        <v>0</v>
      </c>
      <c r="N628" s="119">
        <v>668</v>
      </c>
      <c r="O628" s="120" t="str">
        <f t="shared" si="109"/>
        <v>NG</v>
      </c>
    </row>
    <row r="629" spans="3:15" x14ac:dyDescent="0.15">
      <c r="C629" s="52">
        <f t="shared" si="102"/>
        <v>500</v>
      </c>
      <c r="D629" s="35">
        <f t="shared" si="103"/>
        <v>190</v>
      </c>
      <c r="E629" s="28" t="str">
        <f t="shared" si="104"/>
        <v>6-D19</v>
      </c>
      <c r="F629" s="112">
        <f t="shared" si="105"/>
        <v>1721.9999313354492</v>
      </c>
      <c r="G629" s="112">
        <f t="shared" si="106"/>
        <v>14</v>
      </c>
      <c r="H629" s="112">
        <f t="shared" si="107"/>
        <v>345</v>
      </c>
      <c r="I629" s="111">
        <f t="shared" si="101"/>
        <v>8430</v>
      </c>
      <c r="J629" s="112">
        <f t="shared" si="108"/>
        <v>15</v>
      </c>
      <c r="K629" s="123">
        <f>[2]!RcCMaC(C629/10,D629/10,E629,G629*10,H629*10, I629/10, J629,3)</f>
        <v>180.00000498545322</v>
      </c>
      <c r="L629" s="47">
        <f>[2]!RcCMaC(C629/10,D629/10,E629,G629*10,H629*10,I629/10,J629,4)</f>
        <v>57.939743400844101</v>
      </c>
      <c r="M629" s="48">
        <f>[2]!RcCMaC(C629/10,D629/10,E629,G629*10,H629*10, I629/10, J629,0)*10</f>
        <v>0</v>
      </c>
      <c r="N629" s="119">
        <v>669</v>
      </c>
      <c r="O629" s="120" t="str">
        <f t="shared" si="109"/>
        <v>NG</v>
      </c>
    </row>
    <row r="630" spans="3:15" x14ac:dyDescent="0.15">
      <c r="C630" s="52">
        <f t="shared" si="102"/>
        <v>500</v>
      </c>
      <c r="D630" s="35">
        <f t="shared" si="103"/>
        <v>190</v>
      </c>
      <c r="E630" s="28" t="str">
        <f t="shared" si="104"/>
        <v>6-D19</v>
      </c>
      <c r="F630" s="112">
        <f t="shared" si="105"/>
        <v>1721.9999313354492</v>
      </c>
      <c r="G630" s="112">
        <f t="shared" si="106"/>
        <v>14</v>
      </c>
      <c r="H630" s="112">
        <f t="shared" si="107"/>
        <v>345</v>
      </c>
      <c r="I630" s="111">
        <f t="shared" si="101"/>
        <v>8440</v>
      </c>
      <c r="J630" s="112">
        <f t="shared" si="108"/>
        <v>15</v>
      </c>
      <c r="K630" s="123">
        <f>[2]!RcCMaC(C630/10,D630/10,E630,G630*10,H630*10, I630/10, J630,3)</f>
        <v>180.00000498545322</v>
      </c>
      <c r="L630" s="47">
        <f>[2]!RcCMaC(C630/10,D630/10,E630,G630*10,H630*10,I630/10,J630,4)</f>
        <v>57.939743400844101</v>
      </c>
      <c r="M630" s="48">
        <f>[2]!RcCMaC(C630/10,D630/10,E630,G630*10,H630*10, I630/10, J630,0)*10</f>
        <v>0</v>
      </c>
      <c r="N630" s="119">
        <v>670</v>
      </c>
      <c r="O630" s="120" t="str">
        <f t="shared" si="109"/>
        <v>NG</v>
      </c>
    </row>
    <row r="631" spans="3:15" x14ac:dyDescent="0.15">
      <c r="C631" s="52">
        <f t="shared" si="102"/>
        <v>500</v>
      </c>
      <c r="D631" s="35">
        <f t="shared" si="103"/>
        <v>190</v>
      </c>
      <c r="E631" s="28" t="str">
        <f t="shared" si="104"/>
        <v>6-D19</v>
      </c>
      <c r="F631" s="112">
        <f t="shared" si="105"/>
        <v>1721.9999313354492</v>
      </c>
      <c r="G631" s="112">
        <f t="shared" si="106"/>
        <v>14</v>
      </c>
      <c r="H631" s="112">
        <f t="shared" si="107"/>
        <v>345</v>
      </c>
      <c r="I631" s="111">
        <f t="shared" si="101"/>
        <v>8450</v>
      </c>
      <c r="J631" s="112">
        <f t="shared" si="108"/>
        <v>15</v>
      </c>
      <c r="K631" s="123">
        <f>[2]!RcCMaC(C631/10,D631/10,E631,G631*10,H631*10, I631/10, J631,3)</f>
        <v>180.00000498545322</v>
      </c>
      <c r="L631" s="47">
        <f>[2]!RcCMaC(C631/10,D631/10,E631,G631*10,H631*10,I631/10,J631,4)</f>
        <v>57.939743400844101</v>
      </c>
      <c r="M631" s="48">
        <f>[2]!RcCMaC(C631/10,D631/10,E631,G631*10,H631*10, I631/10, J631,0)*10</f>
        <v>0</v>
      </c>
      <c r="N631" s="119">
        <v>671</v>
      </c>
      <c r="O631" s="120" t="str">
        <f t="shared" si="109"/>
        <v>NG</v>
      </c>
    </row>
    <row r="632" spans="3:15" x14ac:dyDescent="0.15">
      <c r="C632" s="52">
        <f t="shared" si="102"/>
        <v>500</v>
      </c>
      <c r="D632" s="35">
        <f t="shared" si="103"/>
        <v>190</v>
      </c>
      <c r="E632" s="28" t="str">
        <f t="shared" si="104"/>
        <v>6-D19</v>
      </c>
      <c r="F632" s="112">
        <f t="shared" si="105"/>
        <v>1721.9999313354492</v>
      </c>
      <c r="G632" s="112">
        <f t="shared" si="106"/>
        <v>14</v>
      </c>
      <c r="H632" s="112">
        <f t="shared" si="107"/>
        <v>345</v>
      </c>
      <c r="I632" s="111">
        <f t="shared" si="101"/>
        <v>8460</v>
      </c>
      <c r="J632" s="112">
        <f t="shared" si="108"/>
        <v>15</v>
      </c>
      <c r="K632" s="123">
        <f>[2]!RcCMaC(C632/10,D632/10,E632,G632*10,H632*10, I632/10, J632,3)</f>
        <v>180.00000498545322</v>
      </c>
      <c r="L632" s="47">
        <f>[2]!RcCMaC(C632/10,D632/10,E632,G632*10,H632*10,I632/10,J632,4)</f>
        <v>57.939743400844101</v>
      </c>
      <c r="M632" s="48">
        <f>[2]!RcCMaC(C632/10,D632/10,E632,G632*10,H632*10, I632/10, J632,0)*10</f>
        <v>0</v>
      </c>
      <c r="N632" s="119">
        <v>672</v>
      </c>
      <c r="O632" s="120" t="str">
        <f t="shared" si="109"/>
        <v>NG</v>
      </c>
    </row>
    <row r="633" spans="3:15" x14ac:dyDescent="0.15">
      <c r="C633" s="52">
        <f t="shared" si="102"/>
        <v>500</v>
      </c>
      <c r="D633" s="35">
        <f t="shared" si="103"/>
        <v>190</v>
      </c>
      <c r="E633" s="28" t="str">
        <f t="shared" si="104"/>
        <v>6-D19</v>
      </c>
      <c r="F633" s="112">
        <f t="shared" si="105"/>
        <v>1721.9999313354492</v>
      </c>
      <c r="G633" s="112">
        <f t="shared" si="106"/>
        <v>14</v>
      </c>
      <c r="H633" s="112">
        <f t="shared" si="107"/>
        <v>345</v>
      </c>
      <c r="I633" s="111">
        <f t="shared" si="101"/>
        <v>8470</v>
      </c>
      <c r="J633" s="112">
        <f t="shared" si="108"/>
        <v>15</v>
      </c>
      <c r="K633" s="123">
        <f>[2]!RcCMaC(C633/10,D633/10,E633,G633*10,H633*10, I633/10, J633,3)</f>
        <v>180.00000498545322</v>
      </c>
      <c r="L633" s="47">
        <f>[2]!RcCMaC(C633/10,D633/10,E633,G633*10,H633*10,I633/10,J633,4)</f>
        <v>57.939743400844101</v>
      </c>
      <c r="M633" s="48">
        <f>[2]!RcCMaC(C633/10,D633/10,E633,G633*10,H633*10, I633/10, J633,0)*10</f>
        <v>0</v>
      </c>
      <c r="N633" s="119">
        <v>673</v>
      </c>
      <c r="O633" s="120" t="str">
        <f t="shared" si="109"/>
        <v>NG</v>
      </c>
    </row>
    <row r="634" spans="3:15" x14ac:dyDescent="0.15">
      <c r="C634" s="52">
        <f t="shared" si="102"/>
        <v>500</v>
      </c>
      <c r="D634" s="35">
        <f t="shared" si="103"/>
        <v>190</v>
      </c>
      <c r="E634" s="28" t="str">
        <f t="shared" si="104"/>
        <v>6-D19</v>
      </c>
      <c r="F634" s="112">
        <f t="shared" si="105"/>
        <v>1721.9999313354492</v>
      </c>
      <c r="G634" s="112">
        <f t="shared" si="106"/>
        <v>14</v>
      </c>
      <c r="H634" s="112">
        <f t="shared" si="107"/>
        <v>345</v>
      </c>
      <c r="I634" s="111">
        <f t="shared" si="101"/>
        <v>8480</v>
      </c>
      <c r="J634" s="112">
        <f t="shared" si="108"/>
        <v>15</v>
      </c>
      <c r="K634" s="123">
        <f>[2]!RcCMaC(C634/10,D634/10,E634,G634*10,H634*10, I634/10, J634,3)</f>
        <v>180.00000498545322</v>
      </c>
      <c r="L634" s="47">
        <f>[2]!RcCMaC(C634/10,D634/10,E634,G634*10,H634*10,I634/10,J634,4)</f>
        <v>57.939743400844101</v>
      </c>
      <c r="M634" s="48">
        <f>[2]!RcCMaC(C634/10,D634/10,E634,G634*10,H634*10, I634/10, J634,0)*10</f>
        <v>0</v>
      </c>
      <c r="N634" s="119">
        <v>674</v>
      </c>
      <c r="O634" s="120" t="str">
        <f t="shared" si="109"/>
        <v>NG</v>
      </c>
    </row>
    <row r="635" spans="3:15" x14ac:dyDescent="0.15">
      <c r="C635" s="52">
        <f t="shared" si="102"/>
        <v>500</v>
      </c>
      <c r="D635" s="35">
        <f t="shared" si="103"/>
        <v>190</v>
      </c>
      <c r="E635" s="28" t="str">
        <f t="shared" si="104"/>
        <v>6-D19</v>
      </c>
      <c r="F635" s="112">
        <f t="shared" si="105"/>
        <v>1721.9999313354492</v>
      </c>
      <c r="G635" s="112">
        <f t="shared" si="106"/>
        <v>14</v>
      </c>
      <c r="H635" s="112">
        <f t="shared" si="107"/>
        <v>345</v>
      </c>
      <c r="I635" s="111">
        <f t="shared" si="101"/>
        <v>8490</v>
      </c>
      <c r="J635" s="112">
        <f t="shared" si="108"/>
        <v>15</v>
      </c>
      <c r="K635" s="123">
        <f>[2]!RcCMaC(C635/10,D635/10,E635,G635*10,H635*10, I635/10, J635,3)</f>
        <v>180.00000498545322</v>
      </c>
      <c r="L635" s="47">
        <f>[2]!RcCMaC(C635/10,D635/10,E635,G635*10,H635*10,I635/10,J635,4)</f>
        <v>57.939743400844101</v>
      </c>
      <c r="M635" s="48">
        <f>[2]!RcCMaC(C635/10,D635/10,E635,G635*10,H635*10, I635/10, J635,0)*10</f>
        <v>0</v>
      </c>
      <c r="N635" s="119">
        <v>675</v>
      </c>
      <c r="O635" s="120" t="str">
        <f t="shared" si="109"/>
        <v>NG</v>
      </c>
    </row>
    <row r="636" spans="3:15" x14ac:dyDescent="0.15">
      <c r="C636" s="52">
        <f t="shared" si="102"/>
        <v>500</v>
      </c>
      <c r="D636" s="35">
        <f t="shared" si="103"/>
        <v>190</v>
      </c>
      <c r="E636" s="28" t="str">
        <f t="shared" si="104"/>
        <v>6-D19</v>
      </c>
      <c r="F636" s="112">
        <f t="shared" si="105"/>
        <v>1721.9999313354492</v>
      </c>
      <c r="G636" s="112">
        <f t="shared" si="106"/>
        <v>14</v>
      </c>
      <c r="H636" s="112">
        <f t="shared" si="107"/>
        <v>345</v>
      </c>
      <c r="I636" s="111">
        <f t="shared" si="101"/>
        <v>8500</v>
      </c>
      <c r="J636" s="112">
        <f t="shared" si="108"/>
        <v>15</v>
      </c>
      <c r="K636" s="123">
        <f>[2]!RcCMaC(C636/10,D636/10,E636,G636*10,H636*10, I636/10, J636,3)</f>
        <v>180.00000498545322</v>
      </c>
      <c r="L636" s="47">
        <f>[2]!RcCMaC(C636/10,D636/10,E636,G636*10,H636*10,I636/10,J636,4)</f>
        <v>57.939743400844101</v>
      </c>
      <c r="M636" s="48">
        <f>[2]!RcCMaC(C636/10,D636/10,E636,G636*10,H636*10, I636/10, J636,0)*10</f>
        <v>0</v>
      </c>
      <c r="N636" s="119">
        <v>676</v>
      </c>
      <c r="O636" s="120" t="str">
        <f t="shared" si="109"/>
        <v>NG</v>
      </c>
    </row>
    <row r="637" spans="3:15" x14ac:dyDescent="0.15">
      <c r="C637" s="52">
        <f t="shared" si="102"/>
        <v>500</v>
      </c>
      <c r="D637" s="35">
        <f t="shared" si="103"/>
        <v>190</v>
      </c>
      <c r="E637" s="28" t="str">
        <f t="shared" si="104"/>
        <v>6-D19</v>
      </c>
      <c r="F637" s="112">
        <f t="shared" si="105"/>
        <v>1721.9999313354492</v>
      </c>
      <c r="G637" s="112">
        <f t="shared" si="106"/>
        <v>14</v>
      </c>
      <c r="H637" s="112">
        <f t="shared" si="107"/>
        <v>345</v>
      </c>
      <c r="I637" s="111">
        <f t="shared" si="101"/>
        <v>8510</v>
      </c>
      <c r="J637" s="112">
        <f t="shared" si="108"/>
        <v>15</v>
      </c>
      <c r="K637" s="123">
        <f>[2]!RcCMaC(C637/10,D637/10,E637,G637*10,H637*10, I637/10, J637,3)</f>
        <v>180.00000498545322</v>
      </c>
      <c r="L637" s="47">
        <f>[2]!RcCMaC(C637/10,D637/10,E637,G637*10,H637*10,I637/10,J637,4)</f>
        <v>57.939743400844101</v>
      </c>
      <c r="M637" s="48">
        <f>[2]!RcCMaC(C637/10,D637/10,E637,G637*10,H637*10, I637/10, J637,0)*10</f>
        <v>0</v>
      </c>
      <c r="N637" s="119">
        <v>677</v>
      </c>
      <c r="O637" s="120" t="str">
        <f t="shared" si="109"/>
        <v>NG</v>
      </c>
    </row>
    <row r="638" spans="3:15" x14ac:dyDescent="0.15">
      <c r="C638" s="52">
        <f t="shared" si="102"/>
        <v>500</v>
      </c>
      <c r="D638" s="35">
        <f t="shared" si="103"/>
        <v>190</v>
      </c>
      <c r="E638" s="28" t="str">
        <f t="shared" si="104"/>
        <v>6-D19</v>
      </c>
      <c r="F638" s="112">
        <f t="shared" si="105"/>
        <v>1721.9999313354492</v>
      </c>
      <c r="G638" s="112">
        <f t="shared" si="106"/>
        <v>14</v>
      </c>
      <c r="H638" s="112">
        <f t="shared" si="107"/>
        <v>345</v>
      </c>
      <c r="I638" s="111">
        <f t="shared" si="101"/>
        <v>8520</v>
      </c>
      <c r="J638" s="112">
        <f t="shared" si="108"/>
        <v>15</v>
      </c>
      <c r="K638" s="123">
        <f>[2]!RcCMaC(C638/10,D638/10,E638,G638*10,H638*10, I638/10, J638,3)</f>
        <v>180.00000498545322</v>
      </c>
      <c r="L638" s="47">
        <f>[2]!RcCMaC(C638/10,D638/10,E638,G638*10,H638*10,I638/10,J638,4)</f>
        <v>57.939743400844101</v>
      </c>
      <c r="M638" s="48">
        <f>[2]!RcCMaC(C638/10,D638/10,E638,G638*10,H638*10, I638/10, J638,0)*10</f>
        <v>0</v>
      </c>
      <c r="N638" s="119">
        <v>678</v>
      </c>
      <c r="O638" s="120" t="str">
        <f t="shared" si="109"/>
        <v>NG</v>
      </c>
    </row>
    <row r="639" spans="3:15" x14ac:dyDescent="0.15">
      <c r="C639" s="52">
        <f t="shared" si="102"/>
        <v>500</v>
      </c>
      <c r="D639" s="35">
        <f t="shared" si="103"/>
        <v>190</v>
      </c>
      <c r="E639" s="28" t="str">
        <f t="shared" si="104"/>
        <v>6-D19</v>
      </c>
      <c r="F639" s="112">
        <f t="shared" si="105"/>
        <v>1721.9999313354492</v>
      </c>
      <c r="G639" s="112">
        <f t="shared" si="106"/>
        <v>14</v>
      </c>
      <c r="H639" s="112">
        <f t="shared" si="107"/>
        <v>345</v>
      </c>
      <c r="I639" s="111">
        <f t="shared" si="101"/>
        <v>8530</v>
      </c>
      <c r="J639" s="112">
        <f t="shared" si="108"/>
        <v>15</v>
      </c>
      <c r="K639" s="123">
        <f>[2]!RcCMaC(C639/10,D639/10,E639,G639*10,H639*10, I639/10, J639,3)</f>
        <v>180.00000498545322</v>
      </c>
      <c r="L639" s="47">
        <f>[2]!RcCMaC(C639/10,D639/10,E639,G639*10,H639*10,I639/10,J639,4)</f>
        <v>57.939743400844101</v>
      </c>
      <c r="M639" s="48">
        <f>[2]!RcCMaC(C639/10,D639/10,E639,G639*10,H639*10, I639/10, J639,0)*10</f>
        <v>0</v>
      </c>
      <c r="N639" s="119">
        <v>679</v>
      </c>
      <c r="O639" s="120" t="str">
        <f t="shared" si="109"/>
        <v>NG</v>
      </c>
    </row>
    <row r="640" spans="3:15" x14ac:dyDescent="0.15">
      <c r="C640" s="52">
        <f t="shared" si="102"/>
        <v>500</v>
      </c>
      <c r="D640" s="35">
        <f t="shared" si="103"/>
        <v>190</v>
      </c>
      <c r="E640" s="28" t="str">
        <f t="shared" si="104"/>
        <v>6-D19</v>
      </c>
      <c r="F640" s="112">
        <f t="shared" si="105"/>
        <v>1721.9999313354492</v>
      </c>
      <c r="G640" s="112">
        <f t="shared" si="106"/>
        <v>14</v>
      </c>
      <c r="H640" s="112">
        <f t="shared" si="107"/>
        <v>345</v>
      </c>
      <c r="I640" s="111">
        <f t="shared" si="101"/>
        <v>8540</v>
      </c>
      <c r="J640" s="112">
        <f t="shared" si="108"/>
        <v>15</v>
      </c>
      <c r="K640" s="123">
        <f>[2]!RcCMaC(C640/10,D640/10,E640,G640*10,H640*10, I640/10, J640,3)</f>
        <v>180.00000498545322</v>
      </c>
      <c r="L640" s="47">
        <f>[2]!RcCMaC(C640/10,D640/10,E640,G640*10,H640*10,I640/10,J640,4)</f>
        <v>57.939743400844101</v>
      </c>
      <c r="M640" s="48">
        <f>[2]!RcCMaC(C640/10,D640/10,E640,G640*10,H640*10, I640/10, J640,0)*10</f>
        <v>0</v>
      </c>
      <c r="N640" s="119">
        <v>680</v>
      </c>
      <c r="O640" s="120" t="str">
        <f t="shared" si="109"/>
        <v>NG</v>
      </c>
    </row>
    <row r="641" spans="3:15" x14ac:dyDescent="0.15">
      <c r="C641" s="52">
        <f t="shared" si="102"/>
        <v>500</v>
      </c>
      <c r="D641" s="35">
        <f t="shared" si="103"/>
        <v>190</v>
      </c>
      <c r="E641" s="28" t="str">
        <f t="shared" si="104"/>
        <v>6-D19</v>
      </c>
      <c r="F641" s="112">
        <f t="shared" si="105"/>
        <v>1721.9999313354492</v>
      </c>
      <c r="G641" s="112">
        <f t="shared" si="106"/>
        <v>14</v>
      </c>
      <c r="H641" s="112">
        <f t="shared" si="107"/>
        <v>345</v>
      </c>
      <c r="I641" s="111">
        <f t="shared" si="101"/>
        <v>8550</v>
      </c>
      <c r="J641" s="112">
        <f t="shared" si="108"/>
        <v>15</v>
      </c>
      <c r="K641" s="123">
        <f>[2]!RcCMaC(C641/10,D641/10,E641,G641*10,H641*10, I641/10, J641,3)</f>
        <v>180.00000498545322</v>
      </c>
      <c r="L641" s="47">
        <f>[2]!RcCMaC(C641/10,D641/10,E641,G641*10,H641*10,I641/10,J641,4)</f>
        <v>57.939743400844101</v>
      </c>
      <c r="M641" s="48">
        <f>[2]!RcCMaC(C641/10,D641/10,E641,G641*10,H641*10, I641/10, J641,0)*10</f>
        <v>0</v>
      </c>
      <c r="N641" s="119">
        <v>681</v>
      </c>
      <c r="O641" s="120" t="str">
        <f t="shared" si="109"/>
        <v>NG</v>
      </c>
    </row>
    <row r="642" spans="3:15" x14ac:dyDescent="0.15">
      <c r="C642" s="52">
        <f t="shared" si="102"/>
        <v>500</v>
      </c>
      <c r="D642" s="35">
        <f t="shared" si="103"/>
        <v>190</v>
      </c>
      <c r="E642" s="28" t="str">
        <f t="shared" si="104"/>
        <v>6-D19</v>
      </c>
      <c r="F642" s="112">
        <f t="shared" si="105"/>
        <v>1721.9999313354492</v>
      </c>
      <c r="G642" s="112">
        <f t="shared" si="106"/>
        <v>14</v>
      </c>
      <c r="H642" s="112">
        <f t="shared" si="107"/>
        <v>345</v>
      </c>
      <c r="I642" s="111">
        <f t="shared" si="101"/>
        <v>8560</v>
      </c>
      <c r="J642" s="112">
        <f t="shared" si="108"/>
        <v>15</v>
      </c>
      <c r="K642" s="123">
        <f>[2]!RcCMaC(C642/10,D642/10,E642,G642*10,H642*10, I642/10, J642,3)</f>
        <v>180.00000498545322</v>
      </c>
      <c r="L642" s="47">
        <f>[2]!RcCMaC(C642/10,D642/10,E642,G642*10,H642*10,I642/10,J642,4)</f>
        <v>57.939743400844101</v>
      </c>
      <c r="M642" s="48">
        <f>[2]!RcCMaC(C642/10,D642/10,E642,G642*10,H642*10, I642/10, J642,0)*10</f>
        <v>0</v>
      </c>
      <c r="N642" s="119">
        <v>682</v>
      </c>
      <c r="O642" s="120" t="str">
        <f t="shared" si="109"/>
        <v>NG</v>
      </c>
    </row>
    <row r="643" spans="3:15" x14ac:dyDescent="0.15">
      <c r="C643" s="52">
        <f t="shared" si="102"/>
        <v>500</v>
      </c>
      <c r="D643" s="35">
        <f t="shared" si="103"/>
        <v>190</v>
      </c>
      <c r="E643" s="28" t="str">
        <f t="shared" si="104"/>
        <v>6-D19</v>
      </c>
      <c r="F643" s="112">
        <f t="shared" si="105"/>
        <v>1721.9999313354492</v>
      </c>
      <c r="G643" s="112">
        <f t="shared" si="106"/>
        <v>14</v>
      </c>
      <c r="H643" s="112">
        <f t="shared" si="107"/>
        <v>345</v>
      </c>
      <c r="I643" s="111">
        <f t="shared" si="101"/>
        <v>8570</v>
      </c>
      <c r="J643" s="112">
        <f t="shared" si="108"/>
        <v>15</v>
      </c>
      <c r="K643" s="123">
        <f>[2]!RcCMaC(C643/10,D643/10,E643,G643*10,H643*10, I643/10, J643,3)</f>
        <v>180.00000498545322</v>
      </c>
      <c r="L643" s="47">
        <f>[2]!RcCMaC(C643/10,D643/10,E643,G643*10,H643*10,I643/10,J643,4)</f>
        <v>57.939743400844101</v>
      </c>
      <c r="M643" s="48">
        <f>[2]!RcCMaC(C643/10,D643/10,E643,G643*10,H643*10, I643/10, J643,0)*10</f>
        <v>0</v>
      </c>
      <c r="N643" s="119">
        <v>683</v>
      </c>
      <c r="O643" s="120" t="str">
        <f t="shared" si="109"/>
        <v>NG</v>
      </c>
    </row>
    <row r="644" spans="3:15" x14ac:dyDescent="0.15">
      <c r="C644" s="52">
        <f t="shared" si="102"/>
        <v>500</v>
      </c>
      <c r="D644" s="35">
        <f t="shared" si="103"/>
        <v>190</v>
      </c>
      <c r="E644" s="28" t="str">
        <f t="shared" si="104"/>
        <v>6-D19</v>
      </c>
      <c r="F644" s="112">
        <f t="shared" si="105"/>
        <v>1721.9999313354492</v>
      </c>
      <c r="G644" s="112">
        <f t="shared" si="106"/>
        <v>14</v>
      </c>
      <c r="H644" s="112">
        <f t="shared" si="107"/>
        <v>345</v>
      </c>
      <c r="I644" s="111">
        <f t="shared" si="101"/>
        <v>8580</v>
      </c>
      <c r="J644" s="112">
        <f t="shared" si="108"/>
        <v>15</v>
      </c>
      <c r="K644" s="123">
        <f>[2]!RcCMaC(C644/10,D644/10,E644,G644*10,H644*10, I644/10, J644,3)</f>
        <v>180.00000498545322</v>
      </c>
      <c r="L644" s="47">
        <f>[2]!RcCMaC(C644/10,D644/10,E644,G644*10,H644*10,I644/10,J644,4)</f>
        <v>57.939743400844101</v>
      </c>
      <c r="M644" s="48">
        <f>[2]!RcCMaC(C644/10,D644/10,E644,G644*10,H644*10, I644/10, J644,0)*10</f>
        <v>0</v>
      </c>
      <c r="N644" s="119">
        <v>684</v>
      </c>
      <c r="O644" s="120" t="str">
        <f t="shared" si="109"/>
        <v>NG</v>
      </c>
    </row>
    <row r="645" spans="3:15" x14ac:dyDescent="0.15">
      <c r="C645" s="52">
        <f t="shared" si="102"/>
        <v>500</v>
      </c>
      <c r="D645" s="35">
        <f t="shared" si="103"/>
        <v>190</v>
      </c>
      <c r="E645" s="28" t="str">
        <f t="shared" si="104"/>
        <v>6-D19</v>
      </c>
      <c r="F645" s="112">
        <f t="shared" si="105"/>
        <v>1721.9999313354492</v>
      </c>
      <c r="G645" s="112">
        <f t="shared" si="106"/>
        <v>14</v>
      </c>
      <c r="H645" s="112">
        <f t="shared" si="107"/>
        <v>345</v>
      </c>
      <c r="I645" s="111">
        <f t="shared" si="101"/>
        <v>8590</v>
      </c>
      <c r="J645" s="112">
        <f t="shared" si="108"/>
        <v>15</v>
      </c>
      <c r="K645" s="123">
        <f>[2]!RcCMaC(C645/10,D645/10,E645,G645*10,H645*10, I645/10, J645,3)</f>
        <v>180.00000498545322</v>
      </c>
      <c r="L645" s="47">
        <f>[2]!RcCMaC(C645/10,D645/10,E645,G645*10,H645*10,I645/10,J645,4)</f>
        <v>57.939743400844101</v>
      </c>
      <c r="M645" s="48">
        <f>[2]!RcCMaC(C645/10,D645/10,E645,G645*10,H645*10, I645/10, J645,0)*10</f>
        <v>0</v>
      </c>
      <c r="N645" s="119">
        <v>685</v>
      </c>
      <c r="O645" s="120" t="str">
        <f t="shared" si="109"/>
        <v>NG</v>
      </c>
    </row>
    <row r="646" spans="3:15" x14ac:dyDescent="0.15">
      <c r="C646" s="52">
        <f t="shared" si="102"/>
        <v>500</v>
      </c>
      <c r="D646" s="35">
        <f t="shared" si="103"/>
        <v>190</v>
      </c>
      <c r="E646" s="28" t="str">
        <f t="shared" si="104"/>
        <v>6-D19</v>
      </c>
      <c r="F646" s="112">
        <f t="shared" si="105"/>
        <v>1721.9999313354492</v>
      </c>
      <c r="G646" s="112">
        <f t="shared" si="106"/>
        <v>14</v>
      </c>
      <c r="H646" s="112">
        <f t="shared" si="107"/>
        <v>345</v>
      </c>
      <c r="I646" s="111">
        <f t="shared" si="101"/>
        <v>8600</v>
      </c>
      <c r="J646" s="112">
        <f t="shared" si="108"/>
        <v>15</v>
      </c>
      <c r="K646" s="123">
        <f>[2]!RcCMaC(C646/10,D646/10,E646,G646*10,H646*10, I646/10, J646,3)</f>
        <v>180.00000498545322</v>
      </c>
      <c r="L646" s="47">
        <f>[2]!RcCMaC(C646/10,D646/10,E646,G646*10,H646*10,I646/10,J646,4)</f>
        <v>57.939743400844101</v>
      </c>
      <c r="M646" s="48">
        <f>[2]!RcCMaC(C646/10,D646/10,E646,G646*10,H646*10, I646/10, J646,0)*10</f>
        <v>0</v>
      </c>
      <c r="N646" s="119">
        <v>686</v>
      </c>
      <c r="O646" s="120" t="str">
        <f t="shared" si="109"/>
        <v>NG</v>
      </c>
    </row>
    <row r="647" spans="3:15" x14ac:dyDescent="0.15">
      <c r="C647" s="52">
        <f t="shared" si="102"/>
        <v>500</v>
      </c>
      <c r="D647" s="35">
        <f t="shared" si="103"/>
        <v>190</v>
      </c>
      <c r="E647" s="28" t="str">
        <f t="shared" si="104"/>
        <v>6-D19</v>
      </c>
      <c r="F647" s="112">
        <f t="shared" si="105"/>
        <v>1721.9999313354492</v>
      </c>
      <c r="G647" s="112">
        <f t="shared" si="106"/>
        <v>14</v>
      </c>
      <c r="H647" s="112">
        <f t="shared" si="107"/>
        <v>345</v>
      </c>
      <c r="I647" s="111">
        <f t="shared" ref="I647:I652" si="110">+I646+10</f>
        <v>8610</v>
      </c>
      <c r="J647" s="112">
        <f t="shared" si="108"/>
        <v>15</v>
      </c>
      <c r="K647" s="123">
        <f>[2]!RcCMaC(C647/10,D647/10,E647,G647*10,H647*10, I647/10, J647,3)</f>
        <v>180.00000498545322</v>
      </c>
      <c r="L647" s="47">
        <f>[2]!RcCMaC(C647/10,D647/10,E647,G647*10,H647*10,I647/10,J647,4)</f>
        <v>57.939743400844101</v>
      </c>
      <c r="M647" s="48">
        <f>[2]!RcCMaC(C647/10,D647/10,E647,G647*10,H647*10, I647/10, J647,0)*10</f>
        <v>0</v>
      </c>
      <c r="N647" s="119">
        <v>687</v>
      </c>
      <c r="O647" s="120" t="str">
        <f t="shared" si="109"/>
        <v>NG</v>
      </c>
    </row>
    <row r="648" spans="3:15" x14ac:dyDescent="0.15">
      <c r="C648" s="52">
        <f t="shared" si="102"/>
        <v>500</v>
      </c>
      <c r="D648" s="35">
        <f t="shared" si="103"/>
        <v>190</v>
      </c>
      <c r="E648" s="28" t="str">
        <f t="shared" si="104"/>
        <v>6-D19</v>
      </c>
      <c r="F648" s="112">
        <f t="shared" si="105"/>
        <v>1721.9999313354492</v>
      </c>
      <c r="G648" s="112">
        <f t="shared" si="106"/>
        <v>14</v>
      </c>
      <c r="H648" s="112">
        <f t="shared" si="107"/>
        <v>345</v>
      </c>
      <c r="I648" s="111">
        <f t="shared" si="110"/>
        <v>8620</v>
      </c>
      <c r="J648" s="112">
        <f t="shared" si="108"/>
        <v>15</v>
      </c>
      <c r="K648" s="123">
        <f>[2]!RcCMaC(C648/10,D648/10,E648,G648*10,H648*10, I648/10, J648,3)</f>
        <v>180.00000498545322</v>
      </c>
      <c r="L648" s="47">
        <f>[2]!RcCMaC(C648/10,D648/10,E648,G648*10,H648*10,I648/10,J648,4)</f>
        <v>57.939743400844101</v>
      </c>
      <c r="M648" s="48">
        <f>[2]!RcCMaC(C648/10,D648/10,E648,G648*10,H648*10, I648/10, J648,0)*10</f>
        <v>0</v>
      </c>
      <c r="N648" s="119">
        <v>688</v>
      </c>
      <c r="O648" s="120" t="str">
        <f t="shared" si="109"/>
        <v>NG</v>
      </c>
    </row>
    <row r="649" spans="3:15" x14ac:dyDescent="0.15">
      <c r="C649" s="52">
        <f t="shared" si="102"/>
        <v>500</v>
      </c>
      <c r="D649" s="35">
        <f t="shared" si="103"/>
        <v>190</v>
      </c>
      <c r="E649" s="28" t="str">
        <f t="shared" si="104"/>
        <v>6-D19</v>
      </c>
      <c r="F649" s="112">
        <f t="shared" si="105"/>
        <v>1721.9999313354492</v>
      </c>
      <c r="G649" s="112">
        <f t="shared" si="106"/>
        <v>14</v>
      </c>
      <c r="H649" s="112">
        <f t="shared" si="107"/>
        <v>345</v>
      </c>
      <c r="I649" s="111">
        <f t="shared" si="110"/>
        <v>8630</v>
      </c>
      <c r="J649" s="112">
        <f t="shared" si="108"/>
        <v>15</v>
      </c>
      <c r="K649" s="123">
        <f>[2]!RcCMaC(C649/10,D649/10,E649,G649*10,H649*10, I649/10, J649,3)</f>
        <v>180.00000498545322</v>
      </c>
      <c r="L649" s="47">
        <f>[2]!RcCMaC(C649/10,D649/10,E649,G649*10,H649*10,I649/10,J649,4)</f>
        <v>57.939743400844101</v>
      </c>
      <c r="M649" s="48">
        <f>[2]!RcCMaC(C649/10,D649/10,E649,G649*10,H649*10, I649/10, J649,0)*10</f>
        <v>0</v>
      </c>
      <c r="N649" s="119">
        <v>689</v>
      </c>
      <c r="O649" s="120" t="str">
        <f t="shared" si="109"/>
        <v>NG</v>
      </c>
    </row>
    <row r="650" spans="3:15" x14ac:dyDescent="0.15">
      <c r="C650" s="52">
        <f t="shared" si="102"/>
        <v>500</v>
      </c>
      <c r="D650" s="35">
        <f t="shared" si="103"/>
        <v>190</v>
      </c>
      <c r="E650" s="28" t="str">
        <f t="shared" si="104"/>
        <v>6-D19</v>
      </c>
      <c r="F650" s="112">
        <f t="shared" si="105"/>
        <v>1721.9999313354492</v>
      </c>
      <c r="G650" s="112">
        <f t="shared" si="106"/>
        <v>14</v>
      </c>
      <c r="H650" s="112">
        <f t="shared" si="107"/>
        <v>345</v>
      </c>
      <c r="I650" s="111">
        <f t="shared" si="110"/>
        <v>8640</v>
      </c>
      <c r="J650" s="112">
        <f t="shared" si="108"/>
        <v>15</v>
      </c>
      <c r="K650" s="123">
        <f>[2]!RcCMaC(C650/10,D650/10,E650,G650*10,H650*10, I650/10, J650,3)</f>
        <v>180.00000498545322</v>
      </c>
      <c r="L650" s="47">
        <f>[2]!RcCMaC(C650/10,D650/10,E650,G650*10,H650*10,I650/10,J650,4)</f>
        <v>57.939743400844101</v>
      </c>
      <c r="M650" s="48">
        <f>[2]!RcCMaC(C650/10,D650/10,E650,G650*10,H650*10, I650/10, J650,0)*10</f>
        <v>0</v>
      </c>
      <c r="N650" s="119">
        <v>690</v>
      </c>
      <c r="O650" s="120" t="str">
        <f t="shared" si="109"/>
        <v>NG</v>
      </c>
    </row>
    <row r="651" spans="3:15" x14ac:dyDescent="0.15">
      <c r="C651" s="52">
        <f t="shared" si="102"/>
        <v>500</v>
      </c>
      <c r="D651" s="35">
        <f t="shared" si="103"/>
        <v>190</v>
      </c>
      <c r="E651" s="28" t="str">
        <f t="shared" si="104"/>
        <v>6-D19</v>
      </c>
      <c r="F651" s="112">
        <f t="shared" si="105"/>
        <v>1721.9999313354492</v>
      </c>
      <c r="G651" s="112">
        <f t="shared" si="106"/>
        <v>14</v>
      </c>
      <c r="H651" s="112">
        <f t="shared" si="107"/>
        <v>345</v>
      </c>
      <c r="I651" s="111">
        <f t="shared" si="110"/>
        <v>8650</v>
      </c>
      <c r="J651" s="112">
        <f t="shared" si="108"/>
        <v>15</v>
      </c>
      <c r="K651" s="123">
        <f>[2]!RcCMaC(C651/10,D651/10,E651,G651*10,H651*10, I651/10, J651,3)</f>
        <v>180.00000498545322</v>
      </c>
      <c r="L651" s="47">
        <f>[2]!RcCMaC(C651/10,D651/10,E651,G651*10,H651*10,I651/10,J651,4)</f>
        <v>57.939743400844101</v>
      </c>
      <c r="M651" s="48">
        <f>[2]!RcCMaC(C651/10,D651/10,E651,G651*10,H651*10, I651/10, J651,0)*10</f>
        <v>0</v>
      </c>
      <c r="N651" s="119">
        <v>691</v>
      </c>
      <c r="O651" s="120" t="str">
        <f t="shared" si="109"/>
        <v>NG</v>
      </c>
    </row>
    <row r="652" spans="3:15" x14ac:dyDescent="0.15">
      <c r="C652" s="52">
        <f t="shared" si="102"/>
        <v>500</v>
      </c>
      <c r="D652" s="35">
        <f t="shared" si="103"/>
        <v>190</v>
      </c>
      <c r="E652" s="28" t="str">
        <f t="shared" si="104"/>
        <v>6-D19</v>
      </c>
      <c r="F652" s="112">
        <f t="shared" si="105"/>
        <v>1721.9999313354492</v>
      </c>
      <c r="G652" s="112">
        <f t="shared" si="106"/>
        <v>14</v>
      </c>
      <c r="H652" s="112">
        <f t="shared" si="107"/>
        <v>345</v>
      </c>
      <c r="I652" s="111">
        <f t="shared" si="110"/>
        <v>8660</v>
      </c>
      <c r="J652" s="112">
        <f t="shared" si="108"/>
        <v>15</v>
      </c>
      <c r="K652" s="123">
        <f>[2]!RcCMaC(C652/10,D652/10,E652,G652*10,H652*10, I652/10, J652,3)</f>
        <v>180.00000498545322</v>
      </c>
      <c r="L652" s="47">
        <f>[2]!RcCMaC(C652/10,D652/10,E652,G652*10,H652*10,I652/10,J652,4)</f>
        <v>57.939743400844101</v>
      </c>
      <c r="M652" s="48">
        <f>[2]!RcCMaC(C652/10,D652/10,E652,G652*10,H652*10, I652/10, J652,0)*10</f>
        <v>0</v>
      </c>
      <c r="N652" s="119">
        <v>692</v>
      </c>
      <c r="O652" s="120" t="str">
        <f t="shared" si="109"/>
        <v>NG</v>
      </c>
    </row>
  </sheetData>
  <phoneticPr fontId="3"/>
  <pageMargins left="0.78740157480314965" right="0.53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2:V38"/>
  <sheetViews>
    <sheetView workbookViewId="0">
      <selection activeCell="M5" sqref="M5"/>
    </sheetView>
  </sheetViews>
  <sheetFormatPr defaultRowHeight="12" x14ac:dyDescent="0.1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5" x14ac:dyDescent="0.15">
      <c r="B2" t="s">
        <v>232</v>
      </c>
      <c r="M2" s="61" t="s">
        <v>233</v>
      </c>
    </row>
    <row r="4" spans="2:15" x14ac:dyDescent="0.15">
      <c r="B4" s="55" t="s">
        <v>174</v>
      </c>
      <c r="C4" s="51" t="s">
        <v>133</v>
      </c>
      <c r="D4" s="40" t="s">
        <v>127</v>
      </c>
      <c r="E4" s="40" t="s">
        <v>195</v>
      </c>
      <c r="F4" s="40" t="s">
        <v>196</v>
      </c>
      <c r="G4" s="40" t="s">
        <v>197</v>
      </c>
      <c r="H4" s="40" t="s">
        <v>198</v>
      </c>
      <c r="I4" s="40" t="s">
        <v>199</v>
      </c>
      <c r="J4" s="40" t="s">
        <v>200</v>
      </c>
      <c r="K4" s="40" t="s">
        <v>165</v>
      </c>
      <c r="L4" s="40" t="s">
        <v>167</v>
      </c>
      <c r="M4" s="40" t="s">
        <v>201</v>
      </c>
      <c r="N4" s="40" t="s">
        <v>202</v>
      </c>
      <c r="O4" s="41" t="s">
        <v>175</v>
      </c>
    </row>
    <row r="5" spans="2:15" x14ac:dyDescent="0.15">
      <c r="B5" s="56" t="s">
        <v>227</v>
      </c>
      <c r="C5" s="52">
        <v>500</v>
      </c>
      <c r="D5" s="35">
        <v>270</v>
      </c>
      <c r="E5" s="34" t="s">
        <v>228</v>
      </c>
      <c r="F5" s="34">
        <f>[2]!Bar(E5,11)*100</f>
        <v>761.9999885559082</v>
      </c>
      <c r="G5" s="36">
        <v>14</v>
      </c>
      <c r="H5" s="34">
        <v>295</v>
      </c>
      <c r="I5" s="36">
        <v>295</v>
      </c>
      <c r="J5" s="34">
        <v>15</v>
      </c>
      <c r="K5" s="37">
        <f>[2]!RcCMaC(C5/10,D5/10,E5,G5*10,H5*10, I5/10, J5,3)</f>
        <v>73.017809463407005</v>
      </c>
      <c r="L5" s="37">
        <f>[2]!RcCMaC(C5/10,D5/10,E5,G5*10,H5*10,I5/10,J5,4)</f>
        <v>51.871608682605761</v>
      </c>
      <c r="M5" s="38" t="str">
        <f>[2]!RcGMa(幅B, せいD, 鉄筋dt, 鉄筋dc, 鉄筋at, 鉄筋ac, コンfc, 鉄筋ft, ヤング比n, 計算値)</f>
        <v/>
      </c>
      <c r="N5" s="39">
        <v>60.4</v>
      </c>
      <c r="O5" s="42" t="str">
        <f t="shared" ref="O5:O20" si="0">IF(M5&gt;N5,"OK","NG")</f>
        <v>OK</v>
      </c>
    </row>
    <row r="6" spans="2:15" x14ac:dyDescent="0.15">
      <c r="B6" s="57" t="s">
        <v>177</v>
      </c>
      <c r="C6" s="53">
        <v>500</v>
      </c>
      <c r="D6" s="29">
        <v>270</v>
      </c>
      <c r="E6" s="28" t="s">
        <v>228</v>
      </c>
      <c r="F6" s="28">
        <f>[2]!Bar(E6,11)*100</f>
        <v>761.9999885559082</v>
      </c>
      <c r="G6" s="30">
        <v>14</v>
      </c>
      <c r="H6" s="28">
        <v>295</v>
      </c>
      <c r="I6" s="30">
        <v>552</v>
      </c>
      <c r="J6" s="28">
        <v>15</v>
      </c>
      <c r="K6" s="31">
        <f>[2]!RcCMaC(C6/10,D6/10,E6,G6*10,H6*10, I6/10, J6,3)</f>
        <v>88.157975605895558</v>
      </c>
      <c r="L6" s="31">
        <f>[2]!RcCMaC(C6/10,D6/10,E6,G6*10,H6*10,I6/10,J6,4)</f>
        <v>51.871608682605761</v>
      </c>
      <c r="M6" s="32">
        <f>[2]!RcCMaC(C6/10,D6/10,E6,G6*10,H6*10, I6/10, J6,0)*10</f>
        <v>84.041863679885864</v>
      </c>
      <c r="N6" s="33">
        <v>60.4</v>
      </c>
      <c r="O6" s="43" t="str">
        <f t="shared" si="0"/>
        <v>OK</v>
      </c>
    </row>
    <row r="7" spans="2:15" x14ac:dyDescent="0.15">
      <c r="B7" s="57" t="s">
        <v>178</v>
      </c>
      <c r="C7" s="53">
        <v>500</v>
      </c>
      <c r="D7" s="29">
        <v>270</v>
      </c>
      <c r="E7" s="28" t="s">
        <v>228</v>
      </c>
      <c r="F7" s="28">
        <f>[2]!Bar(E7,11)*100</f>
        <v>761.9999885559082</v>
      </c>
      <c r="G7" s="30">
        <v>14</v>
      </c>
      <c r="H7" s="28">
        <v>295</v>
      </c>
      <c r="I7" s="30">
        <v>575</v>
      </c>
      <c r="J7" s="28">
        <v>15</v>
      </c>
      <c r="K7" s="31">
        <f>[2]!RcCMaC(C7/10,D7/10,E7,G7*10,H7*10, I7/10, J7,3)</f>
        <v>89.534354346121788</v>
      </c>
      <c r="L7" s="31">
        <f>[2]!RcCMaC(C7/10,D7/10,E7,G7*10,H7*10,I7/10,J7,4)</f>
        <v>51.871608682605761</v>
      </c>
      <c r="M7" s="32">
        <f>[2]!RcCMaC(C7/10,D7/10,E7,G7*10,H7*10, I7/10, J7,0)*10</f>
        <v>85.539770126342773</v>
      </c>
      <c r="N7" s="33">
        <v>60</v>
      </c>
      <c r="O7" s="43" t="str">
        <f t="shared" si="0"/>
        <v>OK</v>
      </c>
    </row>
    <row r="8" spans="2:15" x14ac:dyDescent="0.15">
      <c r="B8" s="57" t="s">
        <v>179</v>
      </c>
      <c r="C8" s="53">
        <v>500</v>
      </c>
      <c r="D8" s="29">
        <v>270</v>
      </c>
      <c r="E8" s="28" t="s">
        <v>228</v>
      </c>
      <c r="F8" s="28">
        <f>[2]!Bar(E8,11)*100</f>
        <v>761.9999885559082</v>
      </c>
      <c r="G8" s="30">
        <v>14</v>
      </c>
      <c r="H8" s="28">
        <v>295</v>
      </c>
      <c r="I8" s="30">
        <v>520</v>
      </c>
      <c r="J8" s="28">
        <v>15</v>
      </c>
      <c r="K8" s="31">
        <f>[2]!RcCMaC(C8/10,D8/10,E8,G8*10,H8*10, I8/10, J8,3)</f>
        <v>86.155972028345346</v>
      </c>
      <c r="L8" s="31">
        <f>[2]!RcCMaC(C8/10,D8/10,E8,G8*10,H8*10,I8/10,J8,4)</f>
        <v>51.871608682605761</v>
      </c>
      <c r="M8" s="32">
        <f>[2]!RcCMaC(C8/10,D8/10,E8,G8*10,H8*10, I8/10, J8,0)*10</f>
        <v>81.770592927932739</v>
      </c>
      <c r="N8" s="33">
        <v>60</v>
      </c>
      <c r="O8" s="43" t="str">
        <f t="shared" si="0"/>
        <v>OK</v>
      </c>
    </row>
    <row r="9" spans="2:15" x14ac:dyDescent="0.15">
      <c r="B9" s="57" t="s">
        <v>180</v>
      </c>
      <c r="C9" s="53">
        <v>500</v>
      </c>
      <c r="D9" s="29">
        <v>270</v>
      </c>
      <c r="E9" s="28" t="s">
        <v>228</v>
      </c>
      <c r="F9" s="28">
        <f>[2]!Bar(E9,11)*100</f>
        <v>761.9999885559082</v>
      </c>
      <c r="G9" s="30">
        <v>14</v>
      </c>
      <c r="H9" s="28">
        <v>295</v>
      </c>
      <c r="I9" s="30">
        <v>563</v>
      </c>
      <c r="J9" s="28">
        <v>15</v>
      </c>
      <c r="K9" s="31">
        <f>[2]!RcCMaC(C9/10,D9/10,E9,G9*10,H9*10, I9/10, J9,3)</f>
        <v>88.783593613030348</v>
      </c>
      <c r="L9" s="31">
        <f>[2]!RcCMaC(C9/10,D9/10,E9,G9*10,H9*10,I9/10,J9,4)</f>
        <v>51.871608682605761</v>
      </c>
      <c r="M9" s="32">
        <f>[2]!RcCMaC(C9/10,D9/10,E9,G9*10,H9*10, I9/10, J9,0)*10</f>
        <v>84.734022617340088</v>
      </c>
      <c r="N9" s="33">
        <v>60</v>
      </c>
      <c r="O9" s="43" t="str">
        <f t="shared" si="0"/>
        <v>OK</v>
      </c>
    </row>
    <row r="10" spans="2:15" x14ac:dyDescent="0.15">
      <c r="B10" s="57" t="s">
        <v>229</v>
      </c>
      <c r="C10" s="53">
        <v>500</v>
      </c>
      <c r="D10" s="29">
        <v>270</v>
      </c>
      <c r="E10" s="28" t="s">
        <v>228</v>
      </c>
      <c r="F10" s="28">
        <f>[2]!Bar(E10,11)*100</f>
        <v>761.9999885559082</v>
      </c>
      <c r="G10" s="30">
        <v>14</v>
      </c>
      <c r="H10" s="28">
        <v>295</v>
      </c>
      <c r="I10" s="30">
        <v>562</v>
      </c>
      <c r="J10" s="28">
        <v>15</v>
      </c>
      <c r="K10" s="31">
        <f>[2]!RcCMaC(C10/10,D10/10,E10,G10*10,H10*10, I10/10, J10,3)</f>
        <v>88.65847137764122</v>
      </c>
      <c r="L10" s="31">
        <f>[2]!RcCMaC(C10/10,D10/10,E10,G10*10,H10*10,I10/10,J10,4)</f>
        <v>51.871608682605761</v>
      </c>
      <c r="M10" s="32">
        <f>[2]!RcCMaC(C10/10,D10/10,E10,G10*10,H10*10, I10/10, J10,0)*10</f>
        <v>84.603965282440186</v>
      </c>
      <c r="N10" s="33">
        <v>60</v>
      </c>
      <c r="O10" s="43" t="str">
        <f t="shared" si="0"/>
        <v>OK</v>
      </c>
    </row>
    <row r="11" spans="2:15" x14ac:dyDescent="0.15">
      <c r="B11" s="57" t="s">
        <v>182</v>
      </c>
      <c r="C11" s="53">
        <v>500</v>
      </c>
      <c r="D11" s="29">
        <v>270</v>
      </c>
      <c r="E11" s="28" t="s">
        <v>228</v>
      </c>
      <c r="F11" s="28">
        <f>[2]!Bar(E11,11)*100</f>
        <v>761.9999885559082</v>
      </c>
      <c r="G11" s="30">
        <v>14</v>
      </c>
      <c r="H11" s="28">
        <v>295</v>
      </c>
      <c r="I11" s="30">
        <v>542</v>
      </c>
      <c r="J11" s="28">
        <v>15</v>
      </c>
      <c r="K11" s="31">
        <f>[2]!RcCMaC(C11/10,D11/10,E11,G11*10,H11*10, I11/10, J11,3)</f>
        <v>87.53235076857159</v>
      </c>
      <c r="L11" s="31">
        <f>[2]!RcCMaC(C11/10,D11/10,E11,G11*10,H11*10,I11/10,J11,4)</f>
        <v>51.871608682605761</v>
      </c>
      <c r="M11" s="32">
        <f>[2]!RcCMaC(C11/10,D11/10,E11,G11*10,H11*10, I11/10, J11,0)*10</f>
        <v>83.343839645385742</v>
      </c>
      <c r="N11" s="33">
        <v>60</v>
      </c>
      <c r="O11" s="43" t="str">
        <f t="shared" si="0"/>
        <v>OK</v>
      </c>
    </row>
    <row r="12" spans="2:15" x14ac:dyDescent="0.15">
      <c r="B12" s="57" t="s">
        <v>183</v>
      </c>
      <c r="C12" s="53">
        <v>500</v>
      </c>
      <c r="D12" s="29">
        <v>270</v>
      </c>
      <c r="E12" s="28" t="s">
        <v>228</v>
      </c>
      <c r="F12" s="28">
        <f>[2]!Bar(E12,11)*100</f>
        <v>761.9999885559082</v>
      </c>
      <c r="G12" s="30">
        <v>14</v>
      </c>
      <c r="H12" s="28">
        <v>295</v>
      </c>
      <c r="I12" s="30">
        <v>185</v>
      </c>
      <c r="J12" s="28">
        <v>15</v>
      </c>
      <c r="K12" s="31">
        <f>[2]!RcCMaC(C12/10,D12/10,E12,G12*10,H12*10, I12/10, J12,3)</f>
        <v>66.761533769410647</v>
      </c>
      <c r="L12" s="31">
        <f>[2]!RcCMaC(C12/10,D12/10,E12,G12*10,H12*10,I12/10,J12,4)</f>
        <v>51.871608682605761</v>
      </c>
      <c r="M12" s="32">
        <f>[2]!RcCMaC(C12/10,D12/10,E12,G12*10,H12*10, I12/10, J12,0)*10</f>
        <v>54.229336977005005</v>
      </c>
      <c r="N12" s="33">
        <v>60</v>
      </c>
      <c r="O12" s="43" t="str">
        <f t="shared" si="0"/>
        <v>NG</v>
      </c>
    </row>
    <row r="13" spans="2:15" x14ac:dyDescent="0.15">
      <c r="B13" s="57" t="s">
        <v>184</v>
      </c>
      <c r="C13" s="53">
        <v>500</v>
      </c>
      <c r="D13" s="29">
        <v>270</v>
      </c>
      <c r="E13" s="28" t="s">
        <v>228</v>
      </c>
      <c r="F13" s="28">
        <f>[2]!Bar(E13,11)*100</f>
        <v>761.9999885559082</v>
      </c>
      <c r="G13" s="30">
        <v>14</v>
      </c>
      <c r="H13" s="28">
        <v>295</v>
      </c>
      <c r="I13" s="30">
        <v>297</v>
      </c>
      <c r="J13" s="28">
        <v>15</v>
      </c>
      <c r="K13" s="31">
        <f>[2]!RcCMaC(C13/10,D13/10,E13,G13*10,H13*10, I13/10, J13,3)</f>
        <v>73.142931698796133</v>
      </c>
      <c r="L13" s="31">
        <f>[2]!RcCMaC(C13/10,D13/10,E13,G13*10,H13*10,I13/10,J13,4)</f>
        <v>51.871608682605761</v>
      </c>
      <c r="M13" s="32">
        <f>[2]!RcCMaC(C13/10,D13/10,E13,G13*10,H13*10, I13/10, J13,0)*10</f>
        <v>64.022988080978394</v>
      </c>
      <c r="N13" s="33">
        <v>60</v>
      </c>
      <c r="O13" s="43" t="str">
        <f t="shared" si="0"/>
        <v>OK</v>
      </c>
    </row>
    <row r="14" spans="2:15" x14ac:dyDescent="0.15">
      <c r="B14" s="57" t="s">
        <v>185</v>
      </c>
      <c r="C14" s="53">
        <v>500</v>
      </c>
      <c r="D14" s="29">
        <v>270</v>
      </c>
      <c r="E14" s="28" t="s">
        <v>228</v>
      </c>
      <c r="F14" s="28">
        <f>[2]!Bar(E14,11)*100</f>
        <v>761.9999885559082</v>
      </c>
      <c r="G14" s="30">
        <v>14</v>
      </c>
      <c r="H14" s="28">
        <v>295</v>
      </c>
      <c r="I14" s="30">
        <v>554</v>
      </c>
      <c r="J14" s="28">
        <v>15</v>
      </c>
      <c r="K14" s="31">
        <f>[2]!RcCMaC(C14/10,D14/10,E14,G14*10,H14*10, I14/10, J14,3)</f>
        <v>88.283097841284672</v>
      </c>
      <c r="L14" s="31">
        <f>[2]!RcCMaC(C14/10,D14/10,E14,G14*10,H14*10,I14/10,J14,4)</f>
        <v>51.871608682605761</v>
      </c>
      <c r="M14" s="32">
        <f>[2]!RcCMaC(C14/10,D14/10,E14,G14*10,H14*10, I14/10, J14,0)*10</f>
        <v>84.180140495300293</v>
      </c>
      <c r="N14" s="33">
        <v>60</v>
      </c>
      <c r="O14" s="43" t="str">
        <f t="shared" si="0"/>
        <v>OK</v>
      </c>
    </row>
    <row r="15" spans="2:15" x14ac:dyDescent="0.15">
      <c r="B15" s="57" t="s">
        <v>230</v>
      </c>
      <c r="C15" s="53">
        <v>500</v>
      </c>
      <c r="D15" s="29">
        <v>270</v>
      </c>
      <c r="E15" s="28" t="s">
        <v>228</v>
      </c>
      <c r="F15" s="28">
        <f>[2]!Bar(E15,11)*100</f>
        <v>761.9999885559082</v>
      </c>
      <c r="G15" s="30">
        <v>14</v>
      </c>
      <c r="H15" s="28">
        <v>295</v>
      </c>
      <c r="I15" s="30">
        <v>577</v>
      </c>
      <c r="J15" s="28">
        <v>15</v>
      </c>
      <c r="K15" s="31">
        <f>[2]!RcCMaC(C15/10,D15/10,E15,G15*10,H15*10, I15/10, J15,3)</f>
        <v>89.659476581510916</v>
      </c>
      <c r="L15" s="31">
        <f>[2]!RcCMaC(C15/10,D15/10,E15,G15*10,H15*10,I15/10,J15,4)</f>
        <v>51.871608682605761</v>
      </c>
      <c r="M15" s="32">
        <f>[2]!RcCMaC(C15/10,D15/10,E15,G15*10,H15*10, I15/10, J15,0)*10</f>
        <v>85.672402381896973</v>
      </c>
      <c r="N15" s="33">
        <v>60</v>
      </c>
      <c r="O15" s="43" t="str">
        <f t="shared" si="0"/>
        <v>OK</v>
      </c>
    </row>
    <row r="16" spans="2:15" x14ac:dyDescent="0.15">
      <c r="B16" s="57" t="s">
        <v>187</v>
      </c>
      <c r="C16" s="53">
        <v>500</v>
      </c>
      <c r="D16" s="29">
        <v>270</v>
      </c>
      <c r="E16" s="28" t="s">
        <v>228</v>
      </c>
      <c r="F16" s="28">
        <f>[2]!Bar(E16,11)*100</f>
        <v>761.9999885559082</v>
      </c>
      <c r="G16" s="30">
        <v>14</v>
      </c>
      <c r="H16" s="28">
        <v>295</v>
      </c>
      <c r="I16" s="30">
        <v>563</v>
      </c>
      <c r="J16" s="28">
        <v>15</v>
      </c>
      <c r="K16" s="31">
        <f>[2]!RcCMaC(C16/10,D16/10,E16,G16*10,H16*10, I16/10, J16,3)</f>
        <v>88.783593613030348</v>
      </c>
      <c r="L16" s="31">
        <f>[2]!RcCMaC(C16/10,D16/10,E16,G16*10,H16*10,I16/10,J16,4)</f>
        <v>51.871608682605761</v>
      </c>
      <c r="M16" s="32">
        <f>[2]!RcCMaC(C16/10,D16/10,E16,G16*10,H16*10, I16/10, J16,0)*10</f>
        <v>84.734022617340088</v>
      </c>
      <c r="N16" s="33">
        <v>60</v>
      </c>
      <c r="O16" s="43" t="str">
        <f t="shared" si="0"/>
        <v>OK</v>
      </c>
    </row>
    <row r="17" spans="2:22" x14ac:dyDescent="0.15">
      <c r="B17" s="57" t="s">
        <v>188</v>
      </c>
      <c r="C17" s="53">
        <v>500</v>
      </c>
      <c r="D17" s="29">
        <v>270</v>
      </c>
      <c r="E17" s="28" t="s">
        <v>228</v>
      </c>
      <c r="F17" s="28">
        <f>[2]!Bar(E17,11)*100</f>
        <v>761.9999885559082</v>
      </c>
      <c r="G17" s="30">
        <v>14</v>
      </c>
      <c r="H17" s="28">
        <v>295</v>
      </c>
      <c r="I17" s="30">
        <v>577</v>
      </c>
      <c r="J17" s="28">
        <v>15</v>
      </c>
      <c r="K17" s="31">
        <f>[2]!RcCMaC(C17/10,D17/10,E17,G17*10,H17*10, I17/10, J17,3)</f>
        <v>89.659476581510916</v>
      </c>
      <c r="L17" s="31">
        <f>[2]!RcCMaC(C17/10,D17/10,E17,G17*10,H17*10,I17/10,J17,4)</f>
        <v>51.871608682605761</v>
      </c>
      <c r="M17" s="32">
        <f>[2]!RcCMaC(C17/10,D17/10,E17,G17*10,H17*10, I17/10, J17,0)*10</f>
        <v>85.672402381896973</v>
      </c>
      <c r="N17" s="33">
        <v>60</v>
      </c>
      <c r="O17" s="43" t="str">
        <f t="shared" si="0"/>
        <v>OK</v>
      </c>
    </row>
    <row r="18" spans="2:22" x14ac:dyDescent="0.15">
      <c r="B18" s="57" t="s">
        <v>189</v>
      </c>
      <c r="C18" s="53">
        <v>500</v>
      </c>
      <c r="D18" s="29">
        <v>270</v>
      </c>
      <c r="E18" s="28" t="s">
        <v>228</v>
      </c>
      <c r="F18" s="28">
        <f>[2]!Bar(E18,11)*100</f>
        <v>761.9999885559082</v>
      </c>
      <c r="G18" s="30">
        <v>14</v>
      </c>
      <c r="H18" s="28">
        <v>295</v>
      </c>
      <c r="I18" s="30">
        <v>563</v>
      </c>
      <c r="J18" s="28">
        <v>15</v>
      </c>
      <c r="K18" s="31">
        <f>[2]!RcCMaC(C18/10,D18/10,E18,G18*10,H18*10, I18/10, J18,3)</f>
        <v>88.783593613030348</v>
      </c>
      <c r="L18" s="31">
        <f>[2]!RcCMaC(C18/10,D18/10,E18,G18*10,H18*10,I18/10,J18,4)</f>
        <v>51.871608682605761</v>
      </c>
      <c r="M18" s="32">
        <f>[2]!RcCMaC(C18/10,D18/10,E18,G18*10,H18*10, I18/10, J18,0)*10</f>
        <v>84.734022617340088</v>
      </c>
      <c r="N18" s="33">
        <v>60</v>
      </c>
      <c r="O18" s="43" t="str">
        <f t="shared" si="0"/>
        <v>OK</v>
      </c>
    </row>
    <row r="19" spans="2:22" x14ac:dyDescent="0.15">
      <c r="B19" s="57" t="s">
        <v>190</v>
      </c>
      <c r="C19" s="53">
        <v>500</v>
      </c>
      <c r="D19" s="29">
        <v>270</v>
      </c>
      <c r="E19" s="28" t="s">
        <v>228</v>
      </c>
      <c r="F19" s="28">
        <f>[2]!Bar(E19,11)*100</f>
        <v>761.9999885559082</v>
      </c>
      <c r="G19" s="30">
        <v>14</v>
      </c>
      <c r="H19" s="28">
        <v>345</v>
      </c>
      <c r="I19" s="30">
        <v>780</v>
      </c>
      <c r="J19" s="28">
        <v>15</v>
      </c>
      <c r="K19" s="31">
        <f>[2]!RcCMaC(C19/10,D19/10,E19,G19*10,H19*10, I19/10, J19,3)</f>
        <v>102.15090219440354</v>
      </c>
      <c r="L19" s="31">
        <f>[2]!RcCMaC(C19/10,D19/10,E19,G19*10,H19*10,I19/10,J19,4)</f>
        <v>49.315605046453584</v>
      </c>
      <c r="M19" s="32">
        <f>[2]!RcCMaC(C19/10,D19/10,E19,G19*10,H19*10, I19/10, J19,0)*10</f>
        <v>95.90488076210022</v>
      </c>
      <c r="N19" s="33">
        <v>60</v>
      </c>
      <c r="O19" s="43" t="str">
        <f t="shared" si="0"/>
        <v>OK</v>
      </c>
    </row>
    <row r="20" spans="2:22" x14ac:dyDescent="0.15">
      <c r="B20" s="58" t="s">
        <v>190</v>
      </c>
      <c r="C20" s="54">
        <v>500</v>
      </c>
      <c r="D20" s="44">
        <v>270</v>
      </c>
      <c r="E20" s="45" t="s">
        <v>228</v>
      </c>
      <c r="F20" s="45">
        <f>[2]!Bar(E20,11)*100</f>
        <v>761.9999885559082</v>
      </c>
      <c r="G20" s="46">
        <v>14</v>
      </c>
      <c r="H20" s="45">
        <v>345</v>
      </c>
      <c r="I20" s="46">
        <v>170</v>
      </c>
      <c r="J20" s="45">
        <v>15</v>
      </c>
      <c r="K20" s="47">
        <f>[2]!RcCMaC(C20/10,D20/10,E20,G20*10,H20*10, I20/10, J20,3)</f>
        <v>65.906394085436702</v>
      </c>
      <c r="L20" s="47">
        <f>[2]!RcCMaC(C20/10,D20/10,E20,G20*10,H20*10,I20/10,J20,4)</f>
        <v>49.315605046453584</v>
      </c>
      <c r="M20" s="48">
        <f>[2]!RcCMaC(C20/10,D20/10,E20,G20*10,H20*10, I20/10, J20,0)*10</f>
        <v>52.932095527648926</v>
      </c>
      <c r="N20" s="49">
        <v>60</v>
      </c>
      <c r="O20" s="50" t="str">
        <f t="shared" si="0"/>
        <v>NG</v>
      </c>
    </row>
    <row r="22" spans="2:22" x14ac:dyDescent="0.15">
      <c r="L22" s="21"/>
    </row>
    <row r="23" spans="2:22" x14ac:dyDescent="0.15">
      <c r="L23" s="21"/>
      <c r="N23" s="287" t="s">
        <v>116</v>
      </c>
      <c r="O23" s="288"/>
      <c r="P23" s="288"/>
      <c r="Q23" s="288"/>
      <c r="R23" s="288"/>
      <c r="S23" s="288"/>
      <c r="T23" s="288"/>
      <c r="U23" s="288"/>
      <c r="V23" s="288"/>
    </row>
    <row r="24" spans="2:22" x14ac:dyDescent="0.15">
      <c r="K24" s="60"/>
      <c r="N24" s="286" t="s">
        <v>2</v>
      </c>
      <c r="O24" s="286"/>
      <c r="P24" s="286" t="s">
        <v>3</v>
      </c>
      <c r="Q24" s="286"/>
      <c r="R24" s="3" t="s">
        <v>68</v>
      </c>
      <c r="S24" s="3" t="s">
        <v>69</v>
      </c>
      <c r="T24" s="3" t="s">
        <v>55</v>
      </c>
      <c r="U24" s="3" t="s">
        <v>56</v>
      </c>
      <c r="V24" s="3" t="s">
        <v>115</v>
      </c>
    </row>
    <row r="25" spans="2:22" ht="12.6" x14ac:dyDescent="0.15">
      <c r="K25" s="23"/>
      <c r="N25" s="1" t="s">
        <v>70</v>
      </c>
      <c r="O25" s="1" t="s">
        <v>71</v>
      </c>
      <c r="P25" s="1" t="s">
        <v>70</v>
      </c>
      <c r="Q25" s="1" t="s">
        <v>72</v>
      </c>
      <c r="R25" s="18" t="s">
        <v>73</v>
      </c>
      <c r="S25" s="18" t="s">
        <v>74</v>
      </c>
      <c r="T25" s="18" t="s">
        <v>74</v>
      </c>
      <c r="U25" s="18" t="s">
        <v>74</v>
      </c>
      <c r="V25" s="18" t="s">
        <v>74</v>
      </c>
    </row>
    <row r="26" spans="2:22" x14ac:dyDescent="0.15">
      <c r="K26" s="23"/>
      <c r="N26" s="1" t="s">
        <v>126</v>
      </c>
      <c r="O26" s="7">
        <f>[2]!Bar(N26,11)*100</f>
        <v>2535.0000381469727</v>
      </c>
      <c r="P26" s="1" t="s">
        <v>125</v>
      </c>
      <c r="Q26" s="19">
        <f>[2]!Bar(P26,11)*100</f>
        <v>0</v>
      </c>
      <c r="R26" s="7">
        <f>+O26+Q26</f>
        <v>2535.0000381469727</v>
      </c>
      <c r="S26" s="1">
        <v>50</v>
      </c>
      <c r="T26" s="1">
        <v>10</v>
      </c>
      <c r="U26" s="7">
        <f>[2]!Bar(N26,1)*10/2</f>
        <v>12.5</v>
      </c>
      <c r="V26" s="7">
        <f>IF(Q26=0,0,MAX(25,[2]!Bar(N26,1)*10*1.5))+S26+T26+U26</f>
        <v>72.5</v>
      </c>
    </row>
    <row r="27" spans="2:22" x14ac:dyDescent="0.15">
      <c r="K27" s="59"/>
      <c r="N27" s="289" t="s">
        <v>117</v>
      </c>
      <c r="O27" s="290"/>
      <c r="P27" s="290"/>
      <c r="Q27" s="290"/>
      <c r="R27" s="290"/>
      <c r="S27" s="290"/>
      <c r="T27" s="290"/>
      <c r="U27" s="290"/>
      <c r="V27" s="291"/>
    </row>
    <row r="28" spans="2:22" x14ac:dyDescent="0.15">
      <c r="D28" s="21" t="s">
        <v>231</v>
      </c>
      <c r="E28" t="s">
        <v>150</v>
      </c>
      <c r="I28" t="s">
        <v>208</v>
      </c>
      <c r="K28" s="23"/>
      <c r="N28" s="286" t="s">
        <v>2</v>
      </c>
      <c r="O28" s="286"/>
      <c r="P28" s="286" t="s">
        <v>3</v>
      </c>
      <c r="Q28" s="286"/>
      <c r="R28" s="3" t="s">
        <v>68</v>
      </c>
      <c r="S28" s="3" t="s">
        <v>69</v>
      </c>
      <c r="T28" s="3" t="s">
        <v>55</v>
      </c>
      <c r="U28" s="3" t="s">
        <v>56</v>
      </c>
      <c r="V28" s="3" t="s">
        <v>118</v>
      </c>
    </row>
    <row r="29" spans="2:22" ht="12.6" x14ac:dyDescent="0.15">
      <c r="D29" s="21" t="s">
        <v>209</v>
      </c>
      <c r="E29" t="s">
        <v>151</v>
      </c>
      <c r="I29" t="s">
        <v>210</v>
      </c>
      <c r="K29" s="23"/>
      <c r="N29" s="1" t="s">
        <v>70</v>
      </c>
      <c r="O29" s="1" t="s">
        <v>71</v>
      </c>
      <c r="P29" s="1" t="s">
        <v>70</v>
      </c>
      <c r="Q29" s="1" t="s">
        <v>72</v>
      </c>
      <c r="R29" s="18" t="s">
        <v>73</v>
      </c>
      <c r="S29" s="18" t="s">
        <v>74</v>
      </c>
      <c r="T29" s="18" t="s">
        <v>74</v>
      </c>
      <c r="U29" s="18" t="s">
        <v>74</v>
      </c>
      <c r="V29" s="18" t="s">
        <v>74</v>
      </c>
    </row>
    <row r="30" spans="2:22" ht="13.2" x14ac:dyDescent="0.15">
      <c r="D30" s="21" t="s">
        <v>211</v>
      </c>
      <c r="E30" t="s">
        <v>152</v>
      </c>
      <c r="I30" t="s">
        <v>212</v>
      </c>
      <c r="K30" s="23"/>
      <c r="N30" s="1" t="s">
        <v>126</v>
      </c>
      <c r="O30" s="7">
        <f>[2]!Bar(N30,11)*100</f>
        <v>2535.0000381469727</v>
      </c>
      <c r="P30" s="1" t="s">
        <v>125</v>
      </c>
      <c r="Q30" s="19">
        <f>[2]!Bar(P30,11)*100</f>
        <v>0</v>
      </c>
      <c r="R30" s="7">
        <f>+O30+Q30</f>
        <v>2535.0000381469727</v>
      </c>
      <c r="S30" s="1">
        <v>56</v>
      </c>
      <c r="T30" s="1">
        <v>10</v>
      </c>
      <c r="U30" s="7">
        <f>[2]!Bar(N30,1)*10/2</f>
        <v>12.5</v>
      </c>
      <c r="V30" s="7">
        <f>IF(Q30=0,0,MAX(25,[2]!Bar(N30,1)*10*1.5))+S30+T30+U30</f>
        <v>78.5</v>
      </c>
    </row>
    <row r="31" spans="2:22" ht="13.2" x14ac:dyDescent="0.15">
      <c r="D31" s="21" t="s">
        <v>213</v>
      </c>
      <c r="E31" t="s">
        <v>153</v>
      </c>
      <c r="I31" t="s">
        <v>214</v>
      </c>
      <c r="K31" s="23"/>
    </row>
    <row r="32" spans="2:22" ht="13.2" x14ac:dyDescent="0.15">
      <c r="D32" s="21" t="s">
        <v>215</v>
      </c>
      <c r="E32" t="s">
        <v>154</v>
      </c>
      <c r="I32" t="s">
        <v>216</v>
      </c>
      <c r="K32" s="22"/>
    </row>
    <row r="33" spans="4:11" x14ac:dyDescent="0.15">
      <c r="D33" s="21" t="s">
        <v>217</v>
      </c>
      <c r="E33" t="s">
        <v>155</v>
      </c>
      <c r="I33" t="s">
        <v>218</v>
      </c>
      <c r="K33" s="22"/>
    </row>
    <row r="34" spans="4:11" x14ac:dyDescent="0.15">
      <c r="D34" s="21" t="s">
        <v>219</v>
      </c>
      <c r="E34" t="s">
        <v>156</v>
      </c>
    </row>
    <row r="35" spans="4:11" x14ac:dyDescent="0.15">
      <c r="D35" s="21" t="s">
        <v>220</v>
      </c>
      <c r="E35" t="s">
        <v>157</v>
      </c>
    </row>
    <row r="36" spans="4:11" x14ac:dyDescent="0.15">
      <c r="D36" s="21" t="s">
        <v>221</v>
      </c>
      <c r="E36" t="s">
        <v>158</v>
      </c>
    </row>
    <row r="37" spans="4:11" x14ac:dyDescent="0.15">
      <c r="D37" s="21" t="s">
        <v>222</v>
      </c>
      <c r="E37" t="s">
        <v>170</v>
      </c>
      <c r="I37" t="s">
        <v>223</v>
      </c>
    </row>
    <row r="38" spans="4:11" x14ac:dyDescent="0.15">
      <c r="D38" s="21" t="s">
        <v>224</v>
      </c>
      <c r="E38" t="s">
        <v>192</v>
      </c>
      <c r="I38" t="s">
        <v>223</v>
      </c>
    </row>
  </sheetData>
  <mergeCells count="6">
    <mergeCell ref="N28:O28"/>
    <mergeCell ref="P28:Q28"/>
    <mergeCell ref="N23:V23"/>
    <mergeCell ref="N24:O24"/>
    <mergeCell ref="P24:Q24"/>
    <mergeCell ref="N27:V27"/>
  </mergeCells>
  <phoneticPr fontId="3"/>
  <pageMargins left="0.78740157480314965" right="0.53" top="0.98425196850393704" bottom="0.98425196850393704" header="0.51181102362204722" footer="0.51181102362204722"/>
  <pageSetup paperSize="9" orientation="landscape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2:O38"/>
  <sheetViews>
    <sheetView topLeftCell="A25" workbookViewId="0">
      <selection activeCell="R63" sqref="R63"/>
    </sheetView>
  </sheetViews>
  <sheetFormatPr defaultRowHeight="12" x14ac:dyDescent="0.1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5" x14ac:dyDescent="0.15">
      <c r="B2" t="s">
        <v>170</v>
      </c>
    </row>
    <row r="4" spans="2:15" x14ac:dyDescent="0.15">
      <c r="B4" s="99" t="s">
        <v>174</v>
      </c>
      <c r="C4" s="100" t="s">
        <v>193</v>
      </c>
      <c r="D4" s="101" t="s">
        <v>194</v>
      </c>
      <c r="E4" s="101" t="s">
        <v>195</v>
      </c>
      <c r="F4" s="101" t="s">
        <v>196</v>
      </c>
      <c r="G4" s="101" t="s">
        <v>197</v>
      </c>
      <c r="H4" s="101" t="s">
        <v>198</v>
      </c>
      <c r="I4" s="101" t="s">
        <v>199</v>
      </c>
      <c r="J4" s="101" t="s">
        <v>200</v>
      </c>
      <c r="K4" s="101" t="s">
        <v>165</v>
      </c>
      <c r="L4" s="101" t="s">
        <v>167</v>
      </c>
      <c r="M4" s="101" t="s">
        <v>201</v>
      </c>
      <c r="N4" s="101" t="s">
        <v>202</v>
      </c>
      <c r="O4" s="102" t="s">
        <v>175</v>
      </c>
    </row>
    <row r="5" spans="2:15" x14ac:dyDescent="0.15">
      <c r="B5" s="103" t="s">
        <v>302</v>
      </c>
      <c r="C5" s="52">
        <v>400</v>
      </c>
      <c r="D5" s="35">
        <v>80</v>
      </c>
      <c r="E5" s="34" t="s">
        <v>306</v>
      </c>
      <c r="F5" s="106">
        <f>[2]!Bar(E5,11)*100</f>
        <v>761.9999885559082</v>
      </c>
      <c r="G5" s="106">
        <v>14</v>
      </c>
      <c r="H5" s="106">
        <v>295</v>
      </c>
      <c r="I5" s="105">
        <v>295</v>
      </c>
      <c r="J5" s="106">
        <v>15</v>
      </c>
      <c r="K5" s="121">
        <f>[2]!RcCMaC(C5/10,D5/10,E5,G5*10,H5*10, I5/10, J5,3)</f>
        <v>83.393577150975261</v>
      </c>
      <c r="L5" s="37">
        <f>[2]!RcCMaC(C5/10,D5/10,E5,G5*10,H5*10,I5/10,J5,4)</f>
        <v>70.44853135460464</v>
      </c>
      <c r="M5" s="38">
        <f>[2]!RcCMaC(C5/10,D5/10,E5,G5*10,H5*10, I5/10, J5,0)*10</f>
        <v>46.565240478515626</v>
      </c>
      <c r="N5" s="107">
        <v>60.4</v>
      </c>
      <c r="O5" s="108" t="str">
        <f t="shared" ref="O5:O20" si="0">IF(M5&gt;N5,"OK","NG")</f>
        <v>NG</v>
      </c>
    </row>
    <row r="6" spans="2:15" x14ac:dyDescent="0.15">
      <c r="B6" s="109" t="s">
        <v>177</v>
      </c>
      <c r="C6" s="53">
        <v>400</v>
      </c>
      <c r="D6" s="29">
        <v>80</v>
      </c>
      <c r="E6" s="28" t="s">
        <v>0</v>
      </c>
      <c r="F6" s="112">
        <f>[2]!Bar(E6,11)*100</f>
        <v>2321.9999313354492</v>
      </c>
      <c r="G6" s="112">
        <v>14</v>
      </c>
      <c r="H6" s="112">
        <v>345</v>
      </c>
      <c r="I6" s="111">
        <v>552</v>
      </c>
      <c r="J6" s="112">
        <v>15</v>
      </c>
      <c r="K6" s="122">
        <f>[2]!RcCMaC(C6/10,D6/10,E6,G6*10,H6*10, I6/10, J6,3)</f>
        <v>101.15174797179868</v>
      </c>
      <c r="L6" s="31">
        <f>[2]!RcCMaC(C6/10,D6/10,E6,G6*10,H6*10,I6/10,J6,4)</f>
        <v>66.759307127741508</v>
      </c>
      <c r="M6" s="32">
        <f>[2]!RcCMaC(C6/10,D6/10,E6,G6*10,H6*10, I6/10, J6,0)*10</f>
        <v>63.436059570312501</v>
      </c>
      <c r="N6" s="113">
        <v>60.4</v>
      </c>
      <c r="O6" s="114" t="str">
        <f t="shared" si="0"/>
        <v>OK</v>
      </c>
    </row>
    <row r="7" spans="2:15" x14ac:dyDescent="0.15">
      <c r="B7" s="109" t="s">
        <v>178</v>
      </c>
      <c r="C7" s="53">
        <v>400</v>
      </c>
      <c r="D7" s="29">
        <v>80</v>
      </c>
      <c r="E7" s="28" t="s">
        <v>0</v>
      </c>
      <c r="F7" s="112">
        <f>[2]!Bar(E7,11)*100</f>
        <v>2321.9999313354492</v>
      </c>
      <c r="G7" s="112">
        <v>14</v>
      </c>
      <c r="H7" s="112">
        <v>345</v>
      </c>
      <c r="I7" s="111">
        <v>575</v>
      </c>
      <c r="J7" s="112">
        <v>15</v>
      </c>
      <c r="K7" s="122">
        <f>[2]!RcCMaC(C7/10,D7/10,E7,G7*10,H7*10, I7/10, J7,3)</f>
        <v>102.69996061114166</v>
      </c>
      <c r="L7" s="31">
        <f>[2]!RcCMaC(C7/10,D7/10,E7,G7*10,H7*10,I7/10,J7,4)</f>
        <v>66.759307127741508</v>
      </c>
      <c r="M7" s="32">
        <f>[2]!RcCMaC(C7/10,D7/10,E7,G7*10,H7*10, I7/10, J7,0)*10</f>
        <v>63.560888671875006</v>
      </c>
      <c r="N7" s="113">
        <v>60</v>
      </c>
      <c r="O7" s="114" t="str">
        <f t="shared" si="0"/>
        <v>OK</v>
      </c>
    </row>
    <row r="8" spans="2:15" x14ac:dyDescent="0.15">
      <c r="B8" s="109" t="s">
        <v>179</v>
      </c>
      <c r="C8" s="53">
        <v>400</v>
      </c>
      <c r="D8" s="29">
        <v>80</v>
      </c>
      <c r="E8" s="28" t="s">
        <v>0</v>
      </c>
      <c r="F8" s="112">
        <f>[2]!Bar(E8,11)*100</f>
        <v>2321.9999313354492</v>
      </c>
      <c r="G8" s="112">
        <v>14</v>
      </c>
      <c r="H8" s="112">
        <v>345</v>
      </c>
      <c r="I8" s="111">
        <v>520</v>
      </c>
      <c r="J8" s="112">
        <v>15</v>
      </c>
      <c r="K8" s="122">
        <f>[2]!RcCMaC(C8/10,D8/10,E8,G8*10,H8*10, I8/10, J8,3)</f>
        <v>99.050611028647864</v>
      </c>
      <c r="L8" s="31">
        <f>[2]!RcCMaC(C8/10,D8/10,E8,G8*10,H8*10,I8/10,J8,4)</f>
        <v>66.759307127741508</v>
      </c>
      <c r="M8" s="32">
        <f>[2]!RcCMaC(C8/10,D8/10,E8,G8*10,H8*10, I8/10, J8,0)*10</f>
        <v>63.208251953125</v>
      </c>
      <c r="N8" s="113">
        <v>60</v>
      </c>
      <c r="O8" s="114" t="str">
        <f t="shared" si="0"/>
        <v>OK</v>
      </c>
    </row>
    <row r="9" spans="2:15" x14ac:dyDescent="0.15">
      <c r="B9" s="109" t="s">
        <v>180</v>
      </c>
      <c r="C9" s="53">
        <v>400</v>
      </c>
      <c r="D9" s="29">
        <v>80</v>
      </c>
      <c r="E9" s="28" t="s">
        <v>0</v>
      </c>
      <c r="F9" s="112">
        <f>[2]!Bar(E9,11)*100</f>
        <v>2321.9999313354492</v>
      </c>
      <c r="G9" s="112">
        <v>14</v>
      </c>
      <c r="H9" s="112">
        <v>345</v>
      </c>
      <c r="I9" s="111">
        <v>563</v>
      </c>
      <c r="J9" s="112">
        <v>15</v>
      </c>
      <c r="K9" s="122">
        <f>[2]!RcCMaC(C9/10,D9/10,E9,G9*10,H9*10, I9/10, J9,3)</f>
        <v>101.92586112165934</v>
      </c>
      <c r="L9" s="31">
        <f>[2]!RcCMaC(C9/10,D9/10,E9,G9*10,H9*10,I9/10,J9,4)</f>
        <v>66.759307127741508</v>
      </c>
      <c r="M9" s="32">
        <f>[2]!RcCMaC(C9/10,D9/10,E9,G9*10,H9*10, I9/10, J9,0)*10</f>
        <v>63.526269531250001</v>
      </c>
      <c r="N9" s="113">
        <v>60</v>
      </c>
      <c r="O9" s="114" t="str">
        <f t="shared" si="0"/>
        <v>OK</v>
      </c>
    </row>
    <row r="10" spans="2:15" x14ac:dyDescent="0.15">
      <c r="B10" s="109" t="s">
        <v>303</v>
      </c>
      <c r="C10" s="53">
        <v>400</v>
      </c>
      <c r="D10" s="29">
        <v>80</v>
      </c>
      <c r="E10" s="28" t="s">
        <v>0</v>
      </c>
      <c r="F10" s="112">
        <f>[2]!Bar(E10,11)*100</f>
        <v>2321.9999313354492</v>
      </c>
      <c r="G10" s="112">
        <v>14</v>
      </c>
      <c r="H10" s="112">
        <v>345</v>
      </c>
      <c r="I10" s="111">
        <v>562</v>
      </c>
      <c r="J10" s="112">
        <v>15</v>
      </c>
      <c r="K10" s="122">
        <f>[2]!RcCMaC(C10/10,D10/10,E10,G10*10,H10*10, I10/10, J10,3)</f>
        <v>101.8152735288221</v>
      </c>
      <c r="L10" s="31">
        <f>[2]!RcCMaC(C10/10,D10/10,E10,G10*10,H10*10,I10/10,J10,4)</f>
        <v>66.759307127741508</v>
      </c>
      <c r="M10" s="32">
        <f>[2]!RcCMaC(C10/10,D10/10,E10,G10*10,H10*10, I10/10, J10,0)*10</f>
        <v>63.490667724609374</v>
      </c>
      <c r="N10" s="113">
        <v>60</v>
      </c>
      <c r="O10" s="114" t="str">
        <f t="shared" si="0"/>
        <v>OK</v>
      </c>
    </row>
    <row r="11" spans="2:15" x14ac:dyDescent="0.15">
      <c r="B11" s="109" t="s">
        <v>182</v>
      </c>
      <c r="C11" s="53">
        <v>400</v>
      </c>
      <c r="D11" s="29">
        <v>80</v>
      </c>
      <c r="E11" s="28" t="s">
        <v>0</v>
      </c>
      <c r="F11" s="112">
        <f>[2]!Bar(E11,11)*100</f>
        <v>2321.9999313354492</v>
      </c>
      <c r="G11" s="112">
        <v>14</v>
      </c>
      <c r="H11" s="112">
        <v>345</v>
      </c>
      <c r="I11" s="111">
        <v>542</v>
      </c>
      <c r="J11" s="112">
        <v>15</v>
      </c>
      <c r="K11" s="122">
        <f>[2]!RcCMaC(C11/10,D11/10,E11,G11*10,H11*10, I11/10, J11,3)</f>
        <v>100.48823607515361</v>
      </c>
      <c r="L11" s="31">
        <f>[2]!RcCMaC(C11/10,D11/10,E11,G11*10,H11*10,I11/10,J11,4)</f>
        <v>66.759307127741508</v>
      </c>
      <c r="M11" s="32">
        <f>[2]!RcCMaC(C11/10,D11/10,E11,G11*10,H11*10, I11/10, J11,0)*10</f>
        <v>63.371069335937506</v>
      </c>
      <c r="N11" s="113">
        <v>60</v>
      </c>
      <c r="O11" s="114" t="str">
        <f t="shared" si="0"/>
        <v>OK</v>
      </c>
    </row>
    <row r="12" spans="2:15" x14ac:dyDescent="0.15">
      <c r="B12" s="109" t="s">
        <v>183</v>
      </c>
      <c r="C12" s="53">
        <v>400</v>
      </c>
      <c r="D12" s="29">
        <v>80</v>
      </c>
      <c r="E12" s="28" t="s">
        <v>0</v>
      </c>
      <c r="F12" s="112">
        <f>[2]!Bar(E12,11)*100</f>
        <v>2321.9999313354492</v>
      </c>
      <c r="G12" s="112">
        <v>14</v>
      </c>
      <c r="H12" s="112">
        <v>345</v>
      </c>
      <c r="I12" s="111">
        <v>185</v>
      </c>
      <c r="J12" s="112">
        <v>15</v>
      </c>
      <c r="K12" s="122">
        <f>[2]!RcCMaC(C12/10,D12/10,E12,G12*10,H12*10, I12/10, J12,3)</f>
        <v>80.029702154994041</v>
      </c>
      <c r="L12" s="31">
        <f>[2]!RcCMaC(C12/10,D12/10,E12,G12*10,H12*10,I12/10,J12,4)</f>
        <v>66.759307127741508</v>
      </c>
      <c r="M12" s="32">
        <f>[2]!RcCMaC(C12/10,D12/10,E12,G12*10,H12*10, I12/10, J12,0)*10</f>
        <v>59.004522705078124</v>
      </c>
      <c r="N12" s="113">
        <v>60</v>
      </c>
      <c r="O12" s="114" t="str">
        <f t="shared" si="0"/>
        <v>NG</v>
      </c>
    </row>
    <row r="13" spans="2:15" x14ac:dyDescent="0.15">
      <c r="B13" s="109" t="s">
        <v>184</v>
      </c>
      <c r="C13" s="53">
        <v>400</v>
      </c>
      <c r="D13" s="29">
        <v>80</v>
      </c>
      <c r="E13" s="28" t="s">
        <v>0</v>
      </c>
      <c r="F13" s="112">
        <f>[2]!Bar(E13,11)*100</f>
        <v>2321.9999313354492</v>
      </c>
      <c r="G13" s="112">
        <v>14</v>
      </c>
      <c r="H13" s="112">
        <v>345</v>
      </c>
      <c r="I13" s="111">
        <v>297</v>
      </c>
      <c r="J13" s="112">
        <v>15</v>
      </c>
      <c r="K13" s="122">
        <f>[2]!RcCMaC(C13/10,D13/10,E13,G13*10,H13*10, I13/10, J13,3)</f>
        <v>85.780209171206167</v>
      </c>
      <c r="L13" s="31">
        <f>[2]!RcCMaC(C13/10,D13/10,E13,G13*10,H13*10,I13/10,J13,4)</f>
        <v>66.759307127741508</v>
      </c>
      <c r="M13" s="32">
        <f>[2]!RcCMaC(C13/10,D13/10,E13,G13*10,H13*10, I13/10, J13,0)*10</f>
        <v>60.500073242187504</v>
      </c>
      <c r="N13" s="113">
        <v>60</v>
      </c>
      <c r="O13" s="114" t="str">
        <f t="shared" si="0"/>
        <v>OK</v>
      </c>
    </row>
    <row r="14" spans="2:15" x14ac:dyDescent="0.15">
      <c r="B14" s="109" t="s">
        <v>185</v>
      </c>
      <c r="C14" s="53">
        <v>400</v>
      </c>
      <c r="D14" s="29">
        <v>80</v>
      </c>
      <c r="E14" s="28" t="s">
        <v>0</v>
      </c>
      <c r="F14" s="112">
        <f>[2]!Bar(E14,11)*100</f>
        <v>2321.9999313354492</v>
      </c>
      <c r="G14" s="112">
        <v>14</v>
      </c>
      <c r="H14" s="112">
        <v>345</v>
      </c>
      <c r="I14" s="111">
        <v>554</v>
      </c>
      <c r="J14" s="112">
        <v>15</v>
      </c>
      <c r="K14" s="122">
        <f>[2]!RcCMaC(C14/10,D14/10,E14,G14*10,H14*10, I14/10, J14,3)</f>
        <v>101.26233556463592</v>
      </c>
      <c r="L14" s="31">
        <f>[2]!RcCMaC(C14/10,D14/10,E14,G14*10,H14*10,I14/10,J14,4)</f>
        <v>66.759307127741508</v>
      </c>
      <c r="M14" s="32">
        <f>[2]!RcCMaC(C14/10,D14/10,E14,G14*10,H14*10, I14/10, J14,0)*10</f>
        <v>63.432879638671871</v>
      </c>
      <c r="N14" s="113">
        <v>60</v>
      </c>
      <c r="O14" s="114" t="str">
        <f t="shared" si="0"/>
        <v>OK</v>
      </c>
    </row>
    <row r="15" spans="2:15" x14ac:dyDescent="0.15">
      <c r="B15" s="109" t="s">
        <v>304</v>
      </c>
      <c r="C15" s="53">
        <v>400</v>
      </c>
      <c r="D15" s="29">
        <v>80</v>
      </c>
      <c r="E15" s="28" t="s">
        <v>0</v>
      </c>
      <c r="F15" s="112">
        <f>[2]!Bar(E15,11)*100</f>
        <v>2321.9999313354492</v>
      </c>
      <c r="G15" s="112">
        <v>14</v>
      </c>
      <c r="H15" s="112">
        <v>345</v>
      </c>
      <c r="I15" s="111">
        <v>577</v>
      </c>
      <c r="J15" s="112">
        <v>15</v>
      </c>
      <c r="K15" s="122">
        <f>[2]!RcCMaC(C15/10,D15/10,E15,G15*10,H15*10, I15/10, J15,3)</f>
        <v>102.8105482039789</v>
      </c>
      <c r="L15" s="31">
        <f>[2]!RcCMaC(C15/10,D15/10,E15,G15*10,H15*10,I15/10,J15,4)</f>
        <v>66.759307127741508</v>
      </c>
      <c r="M15" s="32">
        <f>[2]!RcCMaC(C15/10,D15/10,E15,G15*10,H15*10, I15/10, J15,0)*10</f>
        <v>63.551733398437506</v>
      </c>
      <c r="N15" s="113">
        <v>60</v>
      </c>
      <c r="O15" s="114" t="str">
        <f t="shared" si="0"/>
        <v>OK</v>
      </c>
    </row>
    <row r="16" spans="2:15" x14ac:dyDescent="0.15">
      <c r="B16" s="109" t="s">
        <v>187</v>
      </c>
      <c r="C16" s="53">
        <v>400</v>
      </c>
      <c r="D16" s="29">
        <v>80</v>
      </c>
      <c r="E16" s="28" t="s">
        <v>0</v>
      </c>
      <c r="F16" s="112">
        <f>[2]!Bar(E16,11)*100</f>
        <v>2321.9999313354492</v>
      </c>
      <c r="G16" s="112">
        <v>14</v>
      </c>
      <c r="H16" s="112">
        <v>345</v>
      </c>
      <c r="I16" s="111">
        <v>563</v>
      </c>
      <c r="J16" s="112">
        <v>15</v>
      </c>
      <c r="K16" s="122">
        <f>[2]!RcCMaC(C16/10,D16/10,E16,G16*10,H16*10, I16/10, J16,3)</f>
        <v>101.92586112165934</v>
      </c>
      <c r="L16" s="31">
        <f>[2]!RcCMaC(C16/10,D16/10,E16,G16*10,H16*10,I16/10,J16,4)</f>
        <v>66.759307127741508</v>
      </c>
      <c r="M16" s="32">
        <f>[2]!RcCMaC(C16/10,D16/10,E16,G16*10,H16*10, I16/10, J16,0)*10</f>
        <v>63.526269531250001</v>
      </c>
      <c r="N16" s="113">
        <v>60</v>
      </c>
      <c r="O16" s="114" t="str">
        <f t="shared" si="0"/>
        <v>OK</v>
      </c>
    </row>
    <row r="17" spans="2:15" x14ac:dyDescent="0.15">
      <c r="B17" s="109" t="s">
        <v>188</v>
      </c>
      <c r="C17" s="53">
        <v>400</v>
      </c>
      <c r="D17" s="29">
        <v>80</v>
      </c>
      <c r="E17" s="28" t="s">
        <v>0</v>
      </c>
      <c r="F17" s="112">
        <f>[2]!Bar(E17,11)*100</f>
        <v>2321.9999313354492</v>
      </c>
      <c r="G17" s="112">
        <v>14</v>
      </c>
      <c r="H17" s="112">
        <v>345</v>
      </c>
      <c r="I17" s="111">
        <v>577</v>
      </c>
      <c r="J17" s="112">
        <v>15</v>
      </c>
      <c r="K17" s="122">
        <f>[2]!RcCMaC(C17/10,D17/10,E17,G17*10,H17*10, I17/10, J17,3)</f>
        <v>102.8105482039789</v>
      </c>
      <c r="L17" s="31">
        <f>[2]!RcCMaC(C17/10,D17/10,E17,G17*10,H17*10,I17/10,J17,4)</f>
        <v>66.759307127741508</v>
      </c>
      <c r="M17" s="32">
        <f>[2]!RcCMaC(C17/10,D17/10,E17,G17*10,H17*10, I17/10, J17,0)*10</f>
        <v>63.551733398437506</v>
      </c>
      <c r="N17" s="113">
        <v>60</v>
      </c>
      <c r="O17" s="114" t="str">
        <f t="shared" si="0"/>
        <v>OK</v>
      </c>
    </row>
    <row r="18" spans="2:15" x14ac:dyDescent="0.15">
      <c r="B18" s="109" t="s">
        <v>189</v>
      </c>
      <c r="C18" s="53">
        <v>400</v>
      </c>
      <c r="D18" s="29">
        <v>80</v>
      </c>
      <c r="E18" s="28" t="s">
        <v>0</v>
      </c>
      <c r="F18" s="112">
        <f>[2]!Bar(E18,11)*100</f>
        <v>2321.9999313354492</v>
      </c>
      <c r="G18" s="112">
        <v>14</v>
      </c>
      <c r="H18" s="112">
        <v>345</v>
      </c>
      <c r="I18" s="111">
        <v>563</v>
      </c>
      <c r="J18" s="112">
        <v>15</v>
      </c>
      <c r="K18" s="122">
        <f>[2]!RcCMaC(C18/10,D18/10,E18,G18*10,H18*10, I18/10, J18,3)</f>
        <v>101.92586112165934</v>
      </c>
      <c r="L18" s="31">
        <f>[2]!RcCMaC(C18/10,D18/10,E18,G18*10,H18*10,I18/10,J18,4)</f>
        <v>66.759307127741508</v>
      </c>
      <c r="M18" s="32">
        <f>[2]!RcCMaC(C18/10,D18/10,E18,G18*10,H18*10, I18/10, J18,0)*10</f>
        <v>63.526269531250001</v>
      </c>
      <c r="N18" s="113">
        <v>60</v>
      </c>
      <c r="O18" s="114" t="str">
        <f t="shared" si="0"/>
        <v>OK</v>
      </c>
    </row>
    <row r="19" spans="2:15" x14ac:dyDescent="0.15">
      <c r="B19" s="109" t="s">
        <v>190</v>
      </c>
      <c r="C19" s="53">
        <v>400</v>
      </c>
      <c r="D19" s="29">
        <v>80</v>
      </c>
      <c r="E19" s="28" t="s">
        <v>0</v>
      </c>
      <c r="F19" s="112">
        <f>[2]!Bar(E19,11)*100</f>
        <v>2321.9999313354492</v>
      </c>
      <c r="G19" s="112">
        <v>14</v>
      </c>
      <c r="H19" s="112">
        <v>345</v>
      </c>
      <c r="I19" s="111">
        <v>780</v>
      </c>
      <c r="J19" s="112">
        <v>15</v>
      </c>
      <c r="K19" s="122">
        <f>[2]!RcCMaC(C19/10,D19/10,E19,G19*10,H19*10, I19/10, J19,3)</f>
        <v>118.51383612270479</v>
      </c>
      <c r="L19" s="31">
        <f>[2]!RcCMaC(C19/10,D19/10,E19,G19*10,H19*10,I19/10,J19,4)</f>
        <v>66.759307127741508</v>
      </c>
      <c r="M19" s="32">
        <f>[2]!RcCMaC(C19/10,D19/10,E19,G19*10,H19*10, I19/10, J19,0)*10</f>
        <v>63.049969482421879</v>
      </c>
      <c r="N19" s="113">
        <v>60</v>
      </c>
      <c r="O19" s="114" t="str">
        <f t="shared" si="0"/>
        <v>OK</v>
      </c>
    </row>
    <row r="20" spans="2:15" x14ac:dyDescent="0.15">
      <c r="B20" s="115" t="s">
        <v>190</v>
      </c>
      <c r="C20" s="54">
        <v>400</v>
      </c>
      <c r="D20" s="44">
        <v>80</v>
      </c>
      <c r="E20" s="45" t="s">
        <v>141</v>
      </c>
      <c r="F20" s="118">
        <f>[2]!Bar(E20,11)*100</f>
        <v>3095.9999084472656</v>
      </c>
      <c r="G20" s="118">
        <v>14</v>
      </c>
      <c r="H20" s="118">
        <v>345</v>
      </c>
      <c r="I20" s="117">
        <v>170</v>
      </c>
      <c r="J20" s="118">
        <v>15</v>
      </c>
      <c r="K20" s="123">
        <f>[2]!RcCMaC(C20/10,D20/10,E20,G20*10,H20*10, I20/10, J20,3)</f>
        <v>80.80380847466553</v>
      </c>
      <c r="L20" s="47">
        <f>[2]!RcCMaC(C20/10,D20/10,E20,G20*10,H20*10,I20/10,J20,4)</f>
        <v>66.759307127741508</v>
      </c>
      <c r="M20" s="48">
        <f>[2]!RcCMaC(C20/10,D20/10,E20,G20*10,H20*10, I20/10, J20,0)*10</f>
        <v>66.173291015625011</v>
      </c>
      <c r="N20" s="119">
        <v>60</v>
      </c>
      <c r="O20" s="120" t="str">
        <f t="shared" si="0"/>
        <v>OK</v>
      </c>
    </row>
    <row r="21" spans="2:15" x14ac:dyDescent="0.15">
      <c r="I21">
        <f>MIN(I5:I20)</f>
        <v>170</v>
      </c>
    </row>
    <row r="22" spans="2:15" x14ac:dyDescent="0.15">
      <c r="L22" s="21"/>
    </row>
    <row r="23" spans="2:15" x14ac:dyDescent="0.15">
      <c r="L23" s="21"/>
    </row>
    <row r="24" spans="2:15" x14ac:dyDescent="0.15">
      <c r="K24" s="60"/>
    </row>
    <row r="25" spans="2:15" x14ac:dyDescent="0.15">
      <c r="K25" s="23"/>
    </row>
    <row r="26" spans="2:15" x14ac:dyDescent="0.15">
      <c r="K26" s="23"/>
    </row>
    <row r="27" spans="2:15" x14ac:dyDescent="0.15">
      <c r="K27" s="59"/>
    </row>
    <row r="28" spans="2:15" x14ac:dyDescent="0.15">
      <c r="D28" s="21" t="s">
        <v>305</v>
      </c>
      <c r="E28" t="s">
        <v>150</v>
      </c>
      <c r="I28" t="s">
        <v>208</v>
      </c>
      <c r="K28" s="23"/>
    </row>
    <row r="29" spans="2:15" x14ac:dyDescent="0.15">
      <c r="D29" s="21" t="s">
        <v>209</v>
      </c>
      <c r="E29" t="s">
        <v>151</v>
      </c>
      <c r="I29" t="s">
        <v>210</v>
      </c>
      <c r="K29" s="23"/>
    </row>
    <row r="30" spans="2:15" ht="13.2" x14ac:dyDescent="0.15">
      <c r="D30" s="21" t="s">
        <v>211</v>
      </c>
      <c r="E30" t="s">
        <v>152</v>
      </c>
      <c r="I30" t="s">
        <v>212</v>
      </c>
      <c r="K30" s="23"/>
    </row>
    <row r="31" spans="2:15" ht="13.2" x14ac:dyDescent="0.15">
      <c r="D31" s="21" t="s">
        <v>213</v>
      </c>
      <c r="E31" t="s">
        <v>153</v>
      </c>
      <c r="I31" t="s">
        <v>214</v>
      </c>
      <c r="K31" s="23"/>
    </row>
    <row r="32" spans="2:15" ht="13.2" x14ac:dyDescent="0.15">
      <c r="D32" s="21" t="s">
        <v>215</v>
      </c>
      <c r="E32" t="s">
        <v>154</v>
      </c>
      <c r="I32" t="s">
        <v>216</v>
      </c>
      <c r="K32" s="22"/>
    </row>
    <row r="33" spans="4:11" x14ac:dyDescent="0.15">
      <c r="D33" s="21" t="s">
        <v>217</v>
      </c>
      <c r="E33" t="s">
        <v>155</v>
      </c>
      <c r="I33" t="s">
        <v>218</v>
      </c>
      <c r="K33" s="22"/>
    </row>
    <row r="34" spans="4:11" x14ac:dyDescent="0.15">
      <c r="D34" s="21" t="s">
        <v>219</v>
      </c>
      <c r="E34" t="s">
        <v>156</v>
      </c>
    </row>
    <row r="35" spans="4:11" x14ac:dyDescent="0.15">
      <c r="D35" s="21" t="s">
        <v>220</v>
      </c>
      <c r="E35" t="s">
        <v>157</v>
      </c>
    </row>
    <row r="36" spans="4:11" x14ac:dyDescent="0.15">
      <c r="D36" s="21" t="s">
        <v>221</v>
      </c>
      <c r="E36" t="s">
        <v>158</v>
      </c>
    </row>
    <row r="37" spans="4:11" x14ac:dyDescent="0.15">
      <c r="D37" s="21" t="s">
        <v>222</v>
      </c>
      <c r="E37" t="s">
        <v>170</v>
      </c>
      <c r="I37" t="s">
        <v>223</v>
      </c>
    </row>
    <row r="38" spans="4:11" x14ac:dyDescent="0.15">
      <c r="D38" s="21" t="s">
        <v>224</v>
      </c>
      <c r="E38" t="s">
        <v>192</v>
      </c>
      <c r="I38" t="s">
        <v>223</v>
      </c>
    </row>
  </sheetData>
  <phoneticPr fontId="3"/>
  <pageMargins left="0.78740157480314965" right="0.5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B2:O38"/>
  <sheetViews>
    <sheetView workbookViewId="0">
      <selection activeCell="O30" sqref="O30"/>
    </sheetView>
  </sheetViews>
  <sheetFormatPr defaultRowHeight="12" x14ac:dyDescent="0.1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5" x14ac:dyDescent="0.15">
      <c r="B2" t="s">
        <v>170</v>
      </c>
    </row>
    <row r="4" spans="2:15" x14ac:dyDescent="0.15">
      <c r="B4" s="99" t="s">
        <v>174</v>
      </c>
      <c r="C4" s="100" t="s">
        <v>288</v>
      </c>
      <c r="D4" s="101" t="s">
        <v>289</v>
      </c>
      <c r="E4" s="101" t="s">
        <v>290</v>
      </c>
      <c r="F4" s="101" t="s">
        <v>291</v>
      </c>
      <c r="G4" s="101" t="s">
        <v>292</v>
      </c>
      <c r="H4" s="101" t="s">
        <v>293</v>
      </c>
      <c r="I4" s="101" t="s">
        <v>294</v>
      </c>
      <c r="J4" s="101" t="s">
        <v>295</v>
      </c>
      <c r="K4" s="101" t="s">
        <v>165</v>
      </c>
      <c r="L4" s="101" t="s">
        <v>167</v>
      </c>
      <c r="M4" s="101" t="s">
        <v>296</v>
      </c>
      <c r="N4" s="101" t="s">
        <v>297</v>
      </c>
      <c r="O4" s="102" t="s">
        <v>175</v>
      </c>
    </row>
    <row r="5" spans="2:15" x14ac:dyDescent="0.15">
      <c r="B5" s="103" t="s">
        <v>298</v>
      </c>
      <c r="C5" s="104">
        <v>500</v>
      </c>
      <c r="D5" s="105">
        <v>130</v>
      </c>
      <c r="E5" s="34" t="s">
        <v>301</v>
      </c>
      <c r="F5" s="106">
        <f>[2]!Bar(E5,11)*100</f>
        <v>1147.9999542236328</v>
      </c>
      <c r="G5" s="106">
        <v>14</v>
      </c>
      <c r="H5" s="106">
        <v>295</v>
      </c>
      <c r="I5" s="105">
        <v>295</v>
      </c>
      <c r="J5" s="106">
        <v>15</v>
      </c>
      <c r="K5" s="121">
        <f>[2]!RcCMaC(C5/10,D5/10,E5,G5*10,H5*10, I5/10, J5,3)</f>
        <v>74.642376787471576</v>
      </c>
      <c r="L5" s="37">
        <f>[2]!RcCMaC(C5/10,D5/10,E5,G5*10,H5*10,I5/10,J5,4)</f>
        <v>67.383914266879287</v>
      </c>
      <c r="M5" s="38">
        <f>[2]!RcCMaC(C5/10,D5/10,E5,G5*10,H5*10, I5/10, J5,0)*10</f>
        <v>75.61490535736084</v>
      </c>
      <c r="N5" s="107">
        <v>60.4</v>
      </c>
      <c r="O5" s="108" t="str">
        <f t="shared" ref="O5:O20" si="0">IF(M5&gt;N5,"OK","NG")</f>
        <v>OK</v>
      </c>
    </row>
    <row r="6" spans="2:15" x14ac:dyDescent="0.15">
      <c r="B6" s="109" t="s">
        <v>177</v>
      </c>
      <c r="C6" s="110">
        <v>500</v>
      </c>
      <c r="D6" s="111">
        <v>130</v>
      </c>
      <c r="E6" s="28" t="s">
        <v>301</v>
      </c>
      <c r="F6" s="112">
        <f>[2]!Bar(E6,11)*100</f>
        <v>1147.9999542236328</v>
      </c>
      <c r="G6" s="112">
        <v>14</v>
      </c>
      <c r="H6" s="112">
        <v>295</v>
      </c>
      <c r="I6" s="111">
        <v>552</v>
      </c>
      <c r="J6" s="112">
        <v>15</v>
      </c>
      <c r="K6" s="122">
        <f>[2]!RcCMaC(C6/10,D6/10,E6,G6*10,H6*10, I6/10, J6,3)</f>
        <v>88.279477841025042</v>
      </c>
      <c r="L6" s="31">
        <f>[2]!RcCMaC(C6/10,D6/10,E6,G6*10,H6*10,I6/10,J6,4)</f>
        <v>67.383914266879287</v>
      </c>
      <c r="M6" s="32">
        <f>[2]!RcCMaC(C6/10,D6/10,E6,G6*10,H6*10, I6/10, J6,0)*10</f>
        <v>91.206437349319458</v>
      </c>
      <c r="N6" s="113">
        <v>60.4</v>
      </c>
      <c r="O6" s="114" t="str">
        <f t="shared" si="0"/>
        <v>OK</v>
      </c>
    </row>
    <row r="7" spans="2:15" x14ac:dyDescent="0.15">
      <c r="B7" s="109" t="s">
        <v>178</v>
      </c>
      <c r="C7" s="110">
        <v>500</v>
      </c>
      <c r="D7" s="111">
        <v>130</v>
      </c>
      <c r="E7" s="28" t="s">
        <v>301</v>
      </c>
      <c r="F7" s="112">
        <f>[2]!Bar(E7,11)*100</f>
        <v>1147.9999542236328</v>
      </c>
      <c r="G7" s="112">
        <v>14</v>
      </c>
      <c r="H7" s="112">
        <v>295</v>
      </c>
      <c r="I7" s="111">
        <v>575</v>
      </c>
      <c r="J7" s="112">
        <v>15</v>
      </c>
      <c r="K7" s="122">
        <f>[2]!RcCMaC(C7/10,D7/10,E7,G7*10,H7*10, I7/10, J7,3)</f>
        <v>89.489220456092227</v>
      </c>
      <c r="L7" s="31">
        <f>[2]!RcCMaC(C7/10,D7/10,E7,G7*10,H7*10,I7/10,J7,4)</f>
        <v>67.383914266879287</v>
      </c>
      <c r="M7" s="32">
        <f>[2]!RcCMaC(C7/10,D7/10,E7,G7*10,H7*10, I7/10, J7,0)*10</f>
        <v>92.3714280128479</v>
      </c>
      <c r="N7" s="113">
        <v>60</v>
      </c>
      <c r="O7" s="114" t="str">
        <f t="shared" si="0"/>
        <v>OK</v>
      </c>
    </row>
    <row r="8" spans="2:15" x14ac:dyDescent="0.15">
      <c r="B8" s="109" t="s">
        <v>179</v>
      </c>
      <c r="C8" s="110">
        <v>500</v>
      </c>
      <c r="D8" s="111">
        <v>130</v>
      </c>
      <c r="E8" s="28" t="s">
        <v>301</v>
      </c>
      <c r="F8" s="112">
        <f>[2]!Bar(E8,11)*100</f>
        <v>1147.9999542236328</v>
      </c>
      <c r="G8" s="112">
        <v>14</v>
      </c>
      <c r="H8" s="112">
        <v>295</v>
      </c>
      <c r="I8" s="111">
        <v>520</v>
      </c>
      <c r="J8" s="112">
        <v>15</v>
      </c>
      <c r="K8" s="122">
        <f>[2]!RcCMaC(C8/10,D8/10,E8,G8*10,H8*10, I8/10, J8,3)</f>
        <v>86.519850356330267</v>
      </c>
      <c r="L8" s="31">
        <f>[2]!RcCMaC(C8/10,D8/10,E8,G8*10,H8*10,I8/10,J8,4)</f>
        <v>67.383914266879287</v>
      </c>
      <c r="M8" s="32">
        <f>[2]!RcCMaC(C8/10,D8/10,E8,G8*10,H8*10, I8/10, J8,0)*10</f>
        <v>89.438152313232422</v>
      </c>
      <c r="N8" s="113">
        <v>60</v>
      </c>
      <c r="O8" s="114" t="str">
        <f t="shared" si="0"/>
        <v>OK</v>
      </c>
    </row>
    <row r="9" spans="2:15" x14ac:dyDescent="0.15">
      <c r="B9" s="109" t="s">
        <v>180</v>
      </c>
      <c r="C9" s="110">
        <v>500</v>
      </c>
      <c r="D9" s="111">
        <v>130</v>
      </c>
      <c r="E9" s="28" t="s">
        <v>301</v>
      </c>
      <c r="F9" s="112">
        <f>[2]!Bar(E9,11)*100</f>
        <v>1147.9999542236328</v>
      </c>
      <c r="G9" s="112">
        <v>14</v>
      </c>
      <c r="H9" s="112">
        <v>295</v>
      </c>
      <c r="I9" s="111">
        <v>563</v>
      </c>
      <c r="J9" s="112">
        <v>15</v>
      </c>
      <c r="K9" s="122">
        <f>[2]!RcCMaC(C9/10,D9/10,E9,G9*10,H9*10, I9/10, J9,3)</f>
        <v>88.829355880463467</v>
      </c>
      <c r="L9" s="31">
        <f>[2]!RcCMaC(C9/10,D9/10,E9,G9*10,H9*10,I9/10,J9,4)</f>
        <v>67.383914266879287</v>
      </c>
      <c r="M9" s="32">
        <f>[2]!RcCMaC(C9/10,D9/10,E9,G9*10,H9*10, I9/10, J9,0)*10</f>
        <v>91.745740175247192</v>
      </c>
      <c r="N9" s="113">
        <v>60</v>
      </c>
      <c r="O9" s="114" t="str">
        <f t="shared" si="0"/>
        <v>OK</v>
      </c>
    </row>
    <row r="10" spans="2:15" x14ac:dyDescent="0.15">
      <c r="B10" s="109" t="s">
        <v>299</v>
      </c>
      <c r="C10" s="110">
        <v>500</v>
      </c>
      <c r="D10" s="111">
        <v>130</v>
      </c>
      <c r="E10" s="28" t="s">
        <v>301</v>
      </c>
      <c r="F10" s="112">
        <f>[2]!Bar(E10,11)*100</f>
        <v>1147.9999542236328</v>
      </c>
      <c r="G10" s="112">
        <v>14</v>
      </c>
      <c r="H10" s="112">
        <v>295</v>
      </c>
      <c r="I10" s="111">
        <v>562</v>
      </c>
      <c r="J10" s="112">
        <v>15</v>
      </c>
      <c r="K10" s="122">
        <f>[2]!RcCMaC(C10/10,D10/10,E10,G10*10,H10*10, I10/10, J10,3)</f>
        <v>88.829355880463467</v>
      </c>
      <c r="L10" s="31">
        <f>[2]!RcCMaC(C10/10,D10/10,E10,G10*10,H10*10,I10/10,J10,4)</f>
        <v>67.383914266879287</v>
      </c>
      <c r="M10" s="32">
        <f>[2]!RcCMaC(C10/10,D10/10,E10,G10*10,H10*10, I10/10, J10,0)*10</f>
        <v>91.740632057189941</v>
      </c>
      <c r="N10" s="113">
        <v>60</v>
      </c>
      <c r="O10" s="114" t="str">
        <f t="shared" si="0"/>
        <v>OK</v>
      </c>
    </row>
    <row r="11" spans="2:15" x14ac:dyDescent="0.15">
      <c r="B11" s="109" t="s">
        <v>182</v>
      </c>
      <c r="C11" s="110">
        <v>500</v>
      </c>
      <c r="D11" s="111">
        <v>130</v>
      </c>
      <c r="E11" s="28" t="s">
        <v>301</v>
      </c>
      <c r="F11" s="112">
        <f>[2]!Bar(E11,11)*100</f>
        <v>1147.9999542236328</v>
      </c>
      <c r="G11" s="112">
        <v>14</v>
      </c>
      <c r="H11" s="112">
        <v>295</v>
      </c>
      <c r="I11" s="111">
        <v>542</v>
      </c>
      <c r="J11" s="112">
        <v>15</v>
      </c>
      <c r="K11" s="122">
        <f>[2]!RcCMaC(C11/10,D11/10,E11,G11*10,H11*10, I11/10, J11,3)</f>
        <v>87.72959980158663</v>
      </c>
      <c r="L11" s="31">
        <f>[2]!RcCMaC(C11/10,D11/10,E11,G11*10,H11*10,I11/10,J11,4)</f>
        <v>67.383914266879287</v>
      </c>
      <c r="M11" s="32">
        <f>[2]!RcCMaC(C11/10,D11/10,E11,G11*10,H11*10, I11/10, J11,0)*10</f>
        <v>90.663200616836548</v>
      </c>
      <c r="N11" s="113">
        <v>60</v>
      </c>
      <c r="O11" s="114" t="str">
        <f t="shared" si="0"/>
        <v>OK</v>
      </c>
    </row>
    <row r="12" spans="2:15" x14ac:dyDescent="0.15">
      <c r="B12" s="109" t="s">
        <v>183</v>
      </c>
      <c r="C12" s="110">
        <v>500</v>
      </c>
      <c r="D12" s="111">
        <v>130</v>
      </c>
      <c r="E12" s="28" t="s">
        <v>301</v>
      </c>
      <c r="F12" s="112">
        <f>[2]!Bar(E12,11)*100</f>
        <v>1147.9999542236328</v>
      </c>
      <c r="G12" s="112">
        <v>14</v>
      </c>
      <c r="H12" s="112">
        <v>295</v>
      </c>
      <c r="I12" s="111">
        <v>185</v>
      </c>
      <c r="J12" s="112">
        <v>15</v>
      </c>
      <c r="K12" s="122">
        <f>[2]!RcCMaC(C12/10,D12/10,E12,G12*10,H12*10, I12/10, J12,3)</f>
        <v>69.253514627386068</v>
      </c>
      <c r="L12" s="31">
        <f>[2]!RcCMaC(C12/10,D12/10,E12,G12*10,H12*10,I12/10,J12,4)</f>
        <v>67.383914266879287</v>
      </c>
      <c r="M12" s="32">
        <f>[2]!RcCMaC(C12/10,D12/10,E12,G12*10,H12*10, I12/10, J12,0)*10</f>
        <v>68.672096729278564</v>
      </c>
      <c r="N12" s="113">
        <v>60</v>
      </c>
      <c r="O12" s="114" t="str">
        <f t="shared" si="0"/>
        <v>OK</v>
      </c>
    </row>
    <row r="13" spans="2:15" x14ac:dyDescent="0.15">
      <c r="B13" s="109" t="s">
        <v>184</v>
      </c>
      <c r="C13" s="110">
        <v>500</v>
      </c>
      <c r="D13" s="111">
        <v>130</v>
      </c>
      <c r="E13" s="28" t="s">
        <v>301</v>
      </c>
      <c r="F13" s="112">
        <f>[2]!Bar(E13,11)*100</f>
        <v>1147.9999542236328</v>
      </c>
      <c r="G13" s="112">
        <v>14</v>
      </c>
      <c r="H13" s="112">
        <v>295</v>
      </c>
      <c r="I13" s="111">
        <v>297</v>
      </c>
      <c r="J13" s="112">
        <v>15</v>
      </c>
      <c r="K13" s="122">
        <f>[2]!RcCMaC(C13/10,D13/10,E13,G13*10,H13*10, I13/10, J13,3)</f>
        <v>74.752349663283596</v>
      </c>
      <c r="L13" s="31">
        <f>[2]!RcCMaC(C13/10,D13/10,E13,G13*10,H13*10,I13/10,J13,4)</f>
        <v>67.383914266879287</v>
      </c>
      <c r="M13" s="32">
        <f>[2]!RcCMaC(C13/10,D13/10,E13,G13*10,H13*10, I13/10, J13,0)*10</f>
        <v>75.742232799530029</v>
      </c>
      <c r="N13" s="113">
        <v>60</v>
      </c>
      <c r="O13" s="114" t="str">
        <f t="shared" si="0"/>
        <v>OK</v>
      </c>
    </row>
    <row r="14" spans="2:15" x14ac:dyDescent="0.15">
      <c r="B14" s="109" t="s">
        <v>185</v>
      </c>
      <c r="C14" s="110">
        <v>500</v>
      </c>
      <c r="D14" s="111">
        <v>130</v>
      </c>
      <c r="E14" s="28" t="s">
        <v>301</v>
      </c>
      <c r="F14" s="112">
        <f>[2]!Bar(E14,11)*100</f>
        <v>1147.9999542236328</v>
      </c>
      <c r="G14" s="112">
        <v>14</v>
      </c>
      <c r="H14" s="112">
        <v>295</v>
      </c>
      <c r="I14" s="111">
        <v>554</v>
      </c>
      <c r="J14" s="112">
        <v>15</v>
      </c>
      <c r="K14" s="122">
        <f>[2]!RcCMaC(C14/10,D14/10,E14,G14*10,H14*10, I14/10, J14,3)</f>
        <v>88.389450716837061</v>
      </c>
      <c r="L14" s="31">
        <f>[2]!RcCMaC(C14/10,D14/10,E14,G14*10,H14*10,I14/10,J14,4)</f>
        <v>67.383914266879287</v>
      </c>
      <c r="M14" s="32">
        <f>[2]!RcCMaC(C14/10,D14/10,E14,G14*10,H14*10, I14/10, J14,0)*10</f>
        <v>91.314011812210083</v>
      </c>
      <c r="N14" s="113">
        <v>60</v>
      </c>
      <c r="O14" s="114" t="str">
        <f t="shared" si="0"/>
        <v>OK</v>
      </c>
    </row>
    <row r="15" spans="2:15" x14ac:dyDescent="0.15">
      <c r="B15" s="109" t="s">
        <v>300</v>
      </c>
      <c r="C15" s="110">
        <v>500</v>
      </c>
      <c r="D15" s="111">
        <v>130</v>
      </c>
      <c r="E15" s="28" t="s">
        <v>301</v>
      </c>
      <c r="F15" s="112">
        <f>[2]!Bar(E15,11)*100</f>
        <v>1147.9999542236328</v>
      </c>
      <c r="G15" s="112">
        <v>14</v>
      </c>
      <c r="H15" s="112">
        <v>295</v>
      </c>
      <c r="I15" s="111">
        <v>577</v>
      </c>
      <c r="J15" s="112">
        <v>15</v>
      </c>
      <c r="K15" s="122">
        <f>[2]!RcCMaC(C15/10,D15/10,E15,G15*10,H15*10, I15/10, J15,3)</f>
        <v>89.599193331904246</v>
      </c>
      <c r="L15" s="31">
        <f>[2]!RcCMaC(C15/10,D15/10,E15,G15*10,H15*10,I15/10,J15,4)</f>
        <v>67.383914266879287</v>
      </c>
      <c r="M15" s="32">
        <f>[2]!RcCMaC(C15/10,D15/10,E15,G15*10,H15*10, I15/10, J15,0)*10</f>
        <v>92.47434139251709</v>
      </c>
      <c r="N15" s="113">
        <v>60</v>
      </c>
      <c r="O15" s="114" t="str">
        <f t="shared" si="0"/>
        <v>OK</v>
      </c>
    </row>
    <row r="16" spans="2:15" x14ac:dyDescent="0.15">
      <c r="B16" s="109" t="s">
        <v>187</v>
      </c>
      <c r="C16" s="110">
        <v>500</v>
      </c>
      <c r="D16" s="111">
        <v>130</v>
      </c>
      <c r="E16" s="28" t="s">
        <v>301</v>
      </c>
      <c r="F16" s="112">
        <f>[2]!Bar(E16,11)*100</f>
        <v>1147.9999542236328</v>
      </c>
      <c r="G16" s="112">
        <v>14</v>
      </c>
      <c r="H16" s="112">
        <v>295</v>
      </c>
      <c r="I16" s="111">
        <v>563</v>
      </c>
      <c r="J16" s="112">
        <v>15</v>
      </c>
      <c r="K16" s="122">
        <f>[2]!RcCMaC(C16/10,D16/10,E16,G16*10,H16*10, I16/10, J16,3)</f>
        <v>88.829355880463467</v>
      </c>
      <c r="L16" s="31">
        <f>[2]!RcCMaC(C16/10,D16/10,E16,G16*10,H16*10,I16/10,J16,4)</f>
        <v>67.383914266879287</v>
      </c>
      <c r="M16" s="32">
        <f>[2]!RcCMaC(C16/10,D16/10,E16,G16*10,H16*10, I16/10, J16,0)*10</f>
        <v>91.745740175247192</v>
      </c>
      <c r="N16" s="113">
        <v>60</v>
      </c>
      <c r="O16" s="114" t="str">
        <f t="shared" si="0"/>
        <v>OK</v>
      </c>
    </row>
    <row r="17" spans="2:15" x14ac:dyDescent="0.15">
      <c r="B17" s="109" t="s">
        <v>188</v>
      </c>
      <c r="C17" s="110">
        <v>500</v>
      </c>
      <c r="D17" s="111">
        <v>130</v>
      </c>
      <c r="E17" s="28" t="s">
        <v>301</v>
      </c>
      <c r="F17" s="112">
        <f>[2]!Bar(E17,11)*100</f>
        <v>1147.9999542236328</v>
      </c>
      <c r="G17" s="112">
        <v>14</v>
      </c>
      <c r="H17" s="112">
        <v>295</v>
      </c>
      <c r="I17" s="111">
        <v>577</v>
      </c>
      <c r="J17" s="112">
        <v>15</v>
      </c>
      <c r="K17" s="122">
        <f>[2]!RcCMaC(C17/10,D17/10,E17,G17*10,H17*10, I17/10, J17,3)</f>
        <v>89.599193331904246</v>
      </c>
      <c r="L17" s="31">
        <f>[2]!RcCMaC(C17/10,D17/10,E17,G17*10,H17*10,I17/10,J17,4)</f>
        <v>67.383914266879287</v>
      </c>
      <c r="M17" s="32">
        <f>[2]!RcCMaC(C17/10,D17/10,E17,G17*10,H17*10, I17/10, J17,0)*10</f>
        <v>92.47434139251709</v>
      </c>
      <c r="N17" s="113">
        <v>60</v>
      </c>
      <c r="O17" s="114" t="str">
        <f t="shared" si="0"/>
        <v>OK</v>
      </c>
    </row>
    <row r="18" spans="2:15" x14ac:dyDescent="0.15">
      <c r="B18" s="109" t="s">
        <v>189</v>
      </c>
      <c r="C18" s="110">
        <v>500</v>
      </c>
      <c r="D18" s="111">
        <v>130</v>
      </c>
      <c r="E18" s="28" t="s">
        <v>301</v>
      </c>
      <c r="F18" s="112">
        <f>[2]!Bar(E18,11)*100</f>
        <v>1147.9999542236328</v>
      </c>
      <c r="G18" s="112">
        <v>14</v>
      </c>
      <c r="H18" s="112">
        <v>295</v>
      </c>
      <c r="I18" s="111">
        <v>563</v>
      </c>
      <c r="J18" s="112">
        <v>15</v>
      </c>
      <c r="K18" s="122">
        <f>[2]!RcCMaC(C18/10,D18/10,E18,G18*10,H18*10, I18/10, J18,3)</f>
        <v>88.829355880463467</v>
      </c>
      <c r="L18" s="31">
        <f>[2]!RcCMaC(C18/10,D18/10,E18,G18*10,H18*10,I18/10,J18,4)</f>
        <v>67.383914266879287</v>
      </c>
      <c r="M18" s="32">
        <f>[2]!RcCMaC(C18/10,D18/10,E18,G18*10,H18*10, I18/10, J18,0)*10</f>
        <v>91.745740175247192</v>
      </c>
      <c r="N18" s="113">
        <v>60</v>
      </c>
      <c r="O18" s="114" t="str">
        <f t="shared" si="0"/>
        <v>OK</v>
      </c>
    </row>
    <row r="19" spans="2:15" x14ac:dyDescent="0.15">
      <c r="B19" s="109" t="s">
        <v>190</v>
      </c>
      <c r="C19" s="110">
        <v>500</v>
      </c>
      <c r="D19" s="111">
        <v>130</v>
      </c>
      <c r="E19" s="28" t="s">
        <v>301</v>
      </c>
      <c r="F19" s="112">
        <f>[2]!Bar(E19,11)*100</f>
        <v>1147.9999542236328</v>
      </c>
      <c r="G19" s="112">
        <v>14</v>
      </c>
      <c r="H19" s="112">
        <v>295</v>
      </c>
      <c r="I19" s="111">
        <v>780</v>
      </c>
      <c r="J19" s="112">
        <v>15</v>
      </c>
      <c r="K19" s="122">
        <f>[2]!RcCMaC(C19/10,D19/10,E19,G19*10,H19*10, I19/10, J19,3)</f>
        <v>101.25673480951724</v>
      </c>
      <c r="L19" s="31">
        <f>[2]!RcCMaC(C19/10,D19/10,E19,G19*10,H19*10,I19/10,J19,4)</f>
        <v>67.383914266879287</v>
      </c>
      <c r="M19" s="32">
        <f>[2]!RcCMaC(C19/10,D19/10,E19,G19*10,H19*10, I19/10, J19,0)*10</f>
        <v>101.03540420532227</v>
      </c>
      <c r="N19" s="113">
        <v>60</v>
      </c>
      <c r="O19" s="114" t="str">
        <f t="shared" si="0"/>
        <v>OK</v>
      </c>
    </row>
    <row r="20" spans="2:15" x14ac:dyDescent="0.15">
      <c r="B20" s="115" t="s">
        <v>190</v>
      </c>
      <c r="C20" s="116">
        <v>500</v>
      </c>
      <c r="D20" s="117">
        <v>130</v>
      </c>
      <c r="E20" s="45" t="s">
        <v>301</v>
      </c>
      <c r="F20" s="118">
        <f>[2]!Bar(E20,11)*100</f>
        <v>1147.9999542236328</v>
      </c>
      <c r="G20" s="118">
        <v>14</v>
      </c>
      <c r="H20" s="118">
        <v>295</v>
      </c>
      <c r="I20" s="117">
        <v>170</v>
      </c>
      <c r="J20" s="118">
        <v>15</v>
      </c>
      <c r="K20" s="123">
        <f>[2]!RcCMaC(C20/10,D20/10,E20,G20*10,H20*10, I20/10, J20,3)</f>
        <v>68.483677175945289</v>
      </c>
      <c r="L20" s="47">
        <f>[2]!RcCMaC(C20/10,D20/10,E20,G20*10,H20*10,I20/10,J20,4)</f>
        <v>67.383914266879287</v>
      </c>
      <c r="M20" s="48">
        <f>[2]!RcCMaC(C20/10,D20/10,E20,G20*10,H20*10, I20/10, J20,0)*10</f>
        <v>67.788916826248169</v>
      </c>
      <c r="N20" s="119">
        <v>60</v>
      </c>
      <c r="O20" s="120" t="str">
        <f t="shared" si="0"/>
        <v>OK</v>
      </c>
    </row>
    <row r="21" spans="2:15" x14ac:dyDescent="0.15">
      <c r="I21">
        <f>MIN(I5:I20)</f>
        <v>170</v>
      </c>
    </row>
    <row r="22" spans="2:15" x14ac:dyDescent="0.15">
      <c r="L22" s="21"/>
    </row>
    <row r="23" spans="2:15" x14ac:dyDescent="0.15">
      <c r="L23" s="21"/>
    </row>
    <row r="24" spans="2:15" x14ac:dyDescent="0.15">
      <c r="K24" s="60"/>
    </row>
    <row r="25" spans="2:15" x14ac:dyDescent="0.15">
      <c r="K25" s="23"/>
    </row>
    <row r="26" spans="2:15" x14ac:dyDescent="0.15">
      <c r="K26" s="23"/>
    </row>
    <row r="27" spans="2:15" x14ac:dyDescent="0.15">
      <c r="K27" s="59"/>
    </row>
    <row r="28" spans="2:15" x14ac:dyDescent="0.15">
      <c r="D28" s="21" t="s">
        <v>226</v>
      </c>
      <c r="E28" t="s">
        <v>150</v>
      </c>
      <c r="I28" t="s">
        <v>208</v>
      </c>
      <c r="K28" s="23"/>
    </row>
    <row r="29" spans="2:15" x14ac:dyDescent="0.15">
      <c r="D29" s="21" t="s">
        <v>209</v>
      </c>
      <c r="E29" t="s">
        <v>151</v>
      </c>
      <c r="I29" t="s">
        <v>210</v>
      </c>
      <c r="K29" s="23"/>
    </row>
    <row r="30" spans="2:15" ht="13.2" x14ac:dyDescent="0.15">
      <c r="D30" s="21" t="s">
        <v>211</v>
      </c>
      <c r="E30" t="s">
        <v>152</v>
      </c>
      <c r="I30" t="s">
        <v>212</v>
      </c>
      <c r="K30" s="23"/>
    </row>
    <row r="31" spans="2:15" ht="13.2" x14ac:dyDescent="0.15">
      <c r="D31" s="21" t="s">
        <v>213</v>
      </c>
      <c r="E31" t="s">
        <v>153</v>
      </c>
      <c r="I31" t="s">
        <v>214</v>
      </c>
      <c r="K31" s="23"/>
    </row>
    <row r="32" spans="2:15" ht="13.2" x14ac:dyDescent="0.15">
      <c r="D32" s="21" t="s">
        <v>215</v>
      </c>
      <c r="E32" t="s">
        <v>154</v>
      </c>
      <c r="I32" t="s">
        <v>216</v>
      </c>
      <c r="K32" s="22"/>
    </row>
    <row r="33" spans="4:11" x14ac:dyDescent="0.15">
      <c r="D33" s="21" t="s">
        <v>217</v>
      </c>
      <c r="E33" t="s">
        <v>155</v>
      </c>
      <c r="I33" t="s">
        <v>218</v>
      </c>
      <c r="K33" s="22"/>
    </row>
    <row r="34" spans="4:11" x14ac:dyDescent="0.15">
      <c r="D34" s="21" t="s">
        <v>219</v>
      </c>
      <c r="E34" t="s">
        <v>156</v>
      </c>
    </row>
    <row r="35" spans="4:11" x14ac:dyDescent="0.15">
      <c r="D35" s="21" t="s">
        <v>220</v>
      </c>
      <c r="E35" t="s">
        <v>157</v>
      </c>
    </row>
    <row r="36" spans="4:11" x14ac:dyDescent="0.15">
      <c r="D36" s="21" t="s">
        <v>221</v>
      </c>
      <c r="E36" t="s">
        <v>158</v>
      </c>
    </row>
    <row r="37" spans="4:11" x14ac:dyDescent="0.15">
      <c r="D37" s="21" t="s">
        <v>222</v>
      </c>
      <c r="E37" t="s">
        <v>170</v>
      </c>
      <c r="I37" t="s">
        <v>223</v>
      </c>
    </row>
    <row r="38" spans="4:11" x14ac:dyDescent="0.15">
      <c r="D38" s="21" t="s">
        <v>224</v>
      </c>
      <c r="E38" t="s">
        <v>192</v>
      </c>
      <c r="I38" t="s">
        <v>223</v>
      </c>
    </row>
  </sheetData>
  <phoneticPr fontId="3"/>
  <pageMargins left="0.78740157480314965" right="0.5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B2:O38"/>
  <sheetViews>
    <sheetView workbookViewId="0">
      <selection activeCell="E5" sqref="E5:E20"/>
    </sheetView>
  </sheetViews>
  <sheetFormatPr defaultRowHeight="12" x14ac:dyDescent="0.1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5" x14ac:dyDescent="0.15">
      <c r="B2" t="s">
        <v>170</v>
      </c>
    </row>
    <row r="4" spans="2:15" x14ac:dyDescent="0.15">
      <c r="B4" s="55" t="s">
        <v>174</v>
      </c>
      <c r="C4" s="51" t="s">
        <v>193</v>
      </c>
      <c r="D4" s="40" t="s">
        <v>194</v>
      </c>
      <c r="E4" s="40" t="s">
        <v>195</v>
      </c>
      <c r="F4" s="40" t="s">
        <v>196</v>
      </c>
      <c r="G4" s="40" t="s">
        <v>197</v>
      </c>
      <c r="H4" s="40" t="s">
        <v>198</v>
      </c>
      <c r="I4" s="40" t="s">
        <v>199</v>
      </c>
      <c r="J4" s="40" t="s">
        <v>200</v>
      </c>
      <c r="K4" s="40" t="s">
        <v>165</v>
      </c>
      <c r="L4" s="40" t="s">
        <v>167</v>
      </c>
      <c r="M4" s="40" t="s">
        <v>201</v>
      </c>
      <c r="N4" s="40" t="s">
        <v>202</v>
      </c>
      <c r="O4" s="41" t="s">
        <v>175</v>
      </c>
    </row>
    <row r="5" spans="2:15" x14ac:dyDescent="0.15">
      <c r="B5" s="56" t="s">
        <v>203</v>
      </c>
      <c r="C5" s="52">
        <v>400</v>
      </c>
      <c r="D5" s="35">
        <v>80</v>
      </c>
      <c r="E5" s="34" t="s">
        <v>0</v>
      </c>
      <c r="F5" s="34">
        <f>[2]!Bar(E5,11)*100</f>
        <v>2321.9999313354492</v>
      </c>
      <c r="G5" s="36">
        <v>14</v>
      </c>
      <c r="H5" s="34">
        <v>345</v>
      </c>
      <c r="I5" s="36">
        <v>467</v>
      </c>
      <c r="J5" s="34">
        <v>15</v>
      </c>
      <c r="K5" s="37">
        <f>[2]!RcCMaC(C5/10,D5/10,E5,G5*10,H5*10, I5/10, J5,3)</f>
        <v>95.622422971450206</v>
      </c>
      <c r="L5" s="37">
        <f>[2]!RcCMaC(C5/10,D5/10,E5,G5*10,H5*10,I5/10,J5,4)</f>
        <v>66.759307127741508</v>
      </c>
      <c r="M5" s="38">
        <f>[2]!RcCMaC(C5/10,D5/10,E5,G5*10,H5*10, I5/10, J5,0)*10</f>
        <v>62.674597167968749</v>
      </c>
      <c r="N5" s="39">
        <v>60.4</v>
      </c>
      <c r="O5" s="42" t="str">
        <f t="shared" ref="O5:O20" si="0">IF(M5&gt;N5,"OK","NG")</f>
        <v>OK</v>
      </c>
    </row>
    <row r="6" spans="2:15" x14ac:dyDescent="0.15">
      <c r="B6" s="57" t="s">
        <v>177</v>
      </c>
      <c r="C6" s="53">
        <v>400</v>
      </c>
      <c r="D6" s="29">
        <v>80</v>
      </c>
      <c r="E6" s="28" t="s">
        <v>0</v>
      </c>
      <c r="F6" s="28">
        <f>[2]!Bar(E6,11)*100</f>
        <v>2321.9999313354492</v>
      </c>
      <c r="G6" s="30">
        <v>14</v>
      </c>
      <c r="H6" s="28">
        <v>295</v>
      </c>
      <c r="I6" s="30">
        <v>741</v>
      </c>
      <c r="J6" s="28">
        <v>15</v>
      </c>
      <c r="K6" s="31">
        <f>[2]!RcCMaC(C6/10,D6/10,E6,G6*10,H6*10, I6/10, J6,3)</f>
        <v>115.27476917341092</v>
      </c>
      <c r="L6" s="31">
        <f>[2]!RcCMaC(C6/10,D6/10,E6,G6*10,H6*10,I6/10,J6,4)</f>
        <v>70.44853135460464</v>
      </c>
      <c r="M6" s="32">
        <f>[2]!RcCMaC(C6/10,D6/10,E6,G6*10,H6*10, I6/10, J6,0)*10</f>
        <v>63.499536132812501</v>
      </c>
      <c r="N6" s="33">
        <v>60.4</v>
      </c>
      <c r="O6" s="43" t="str">
        <f t="shared" si="0"/>
        <v>OK</v>
      </c>
    </row>
    <row r="7" spans="2:15" x14ac:dyDescent="0.15">
      <c r="B7" s="57" t="s">
        <v>178</v>
      </c>
      <c r="C7" s="53">
        <v>400</v>
      </c>
      <c r="D7" s="29">
        <v>80</v>
      </c>
      <c r="E7" s="28" t="s">
        <v>0</v>
      </c>
      <c r="F7" s="28">
        <f>[2]!Bar(E7,11)*100</f>
        <v>2321.9999313354492</v>
      </c>
      <c r="G7" s="30">
        <v>14</v>
      </c>
      <c r="H7" s="28">
        <v>295</v>
      </c>
      <c r="I7" s="30">
        <v>760</v>
      </c>
      <c r="J7" s="28">
        <v>15</v>
      </c>
      <c r="K7" s="31">
        <f>[2]!RcCMaC(C7/10,D7/10,E7,G7*10,H7*10, I7/10, J7,3)</f>
        <v>116.87953577907422</v>
      </c>
      <c r="L7" s="31">
        <f>[2]!RcCMaC(C7/10,D7/10,E7,G7*10,H7*10,I7/10,J7,4)</f>
        <v>70.44853135460464</v>
      </c>
      <c r="M7" s="32">
        <f>[2]!RcCMaC(C7/10,D7/10,E7,G7*10,H7*10, I7/10, J7,0)*10</f>
        <v>63.34613037109375</v>
      </c>
      <c r="N7" s="33">
        <v>60</v>
      </c>
      <c r="O7" s="43" t="str">
        <f t="shared" si="0"/>
        <v>OK</v>
      </c>
    </row>
    <row r="8" spans="2:15" x14ac:dyDescent="0.15">
      <c r="B8" s="57" t="s">
        <v>179</v>
      </c>
      <c r="C8" s="53">
        <v>400</v>
      </c>
      <c r="D8" s="29">
        <v>80</v>
      </c>
      <c r="E8" s="28" t="s">
        <v>0</v>
      </c>
      <c r="F8" s="28">
        <f>[2]!Bar(E8,11)*100</f>
        <v>2321.9999313354492</v>
      </c>
      <c r="G8" s="30">
        <v>14</v>
      </c>
      <c r="H8" s="28">
        <v>295</v>
      </c>
      <c r="I8" s="30">
        <v>709</v>
      </c>
      <c r="J8" s="28">
        <v>15</v>
      </c>
      <c r="K8" s="31">
        <f>[2]!RcCMaC(C8/10,D8/10,E8,G8*10,H8*10, I8/10, J8,3)</f>
        <v>112.60016954762071</v>
      </c>
      <c r="L8" s="31">
        <f>[2]!RcCMaC(C8/10,D8/10,E8,G8*10,H8*10,I8/10,J8,4)</f>
        <v>70.44853135460464</v>
      </c>
      <c r="M8" s="32">
        <f>[2]!RcCMaC(C8/10,D8/10,E8,G8*10,H8*10, I8/10, J8,0)*10</f>
        <v>63.628594970703119</v>
      </c>
      <c r="N8" s="33">
        <v>60</v>
      </c>
      <c r="O8" s="43" t="str">
        <f t="shared" si="0"/>
        <v>OK</v>
      </c>
    </row>
    <row r="9" spans="2:15" x14ac:dyDescent="0.15">
      <c r="B9" s="57" t="s">
        <v>180</v>
      </c>
      <c r="C9" s="53">
        <v>400</v>
      </c>
      <c r="D9" s="29">
        <v>80</v>
      </c>
      <c r="E9" s="28" t="s">
        <v>0</v>
      </c>
      <c r="F9" s="28">
        <f>[2]!Bar(E9,11)*100</f>
        <v>2321.9999313354492</v>
      </c>
      <c r="G9" s="30">
        <v>14</v>
      </c>
      <c r="H9" s="28">
        <v>295</v>
      </c>
      <c r="I9" s="30">
        <v>747</v>
      </c>
      <c r="J9" s="28">
        <v>15</v>
      </c>
      <c r="K9" s="31">
        <f>[2]!RcCMaC(C9/10,D9/10,E9,G9*10,H9*10, I9/10, J9,3)</f>
        <v>115.80968226837979</v>
      </c>
      <c r="L9" s="31">
        <f>[2]!RcCMaC(C9/10,D9/10,E9,G9*10,H9*10,I9/10,J9,4)</f>
        <v>70.44853135460464</v>
      </c>
      <c r="M9" s="32">
        <f>[2]!RcCMaC(C9/10,D9/10,E9,G9*10,H9*10, I9/10, J9,0)*10</f>
        <v>63.485479736328124</v>
      </c>
      <c r="N9" s="33">
        <v>60</v>
      </c>
      <c r="O9" s="43" t="str">
        <f t="shared" si="0"/>
        <v>OK</v>
      </c>
    </row>
    <row r="10" spans="2:15" x14ac:dyDescent="0.15">
      <c r="B10" s="57" t="s">
        <v>205</v>
      </c>
      <c r="C10" s="53">
        <v>400</v>
      </c>
      <c r="D10" s="29">
        <v>80</v>
      </c>
      <c r="E10" s="28" t="s">
        <v>0</v>
      </c>
      <c r="F10" s="28">
        <f>[2]!Bar(E10,11)*100</f>
        <v>2321.9999313354492</v>
      </c>
      <c r="G10" s="30">
        <v>14</v>
      </c>
      <c r="H10" s="28">
        <v>295</v>
      </c>
      <c r="I10" s="30">
        <v>737</v>
      </c>
      <c r="J10" s="28">
        <v>15</v>
      </c>
      <c r="K10" s="31">
        <f>[2]!RcCMaC(C10/10,D10/10,E10,G10*10,H10*10, I10/10, J10,3)</f>
        <v>114.95381858435393</v>
      </c>
      <c r="L10" s="31">
        <f>[2]!RcCMaC(C10/10,D10/10,E10,G10*10,H10*10,I10/10,J10,4)</f>
        <v>70.44853135460464</v>
      </c>
      <c r="M10" s="32">
        <f>[2]!RcCMaC(C10/10,D10/10,E10,G10*10,H10*10, I10/10, J10,0)*10</f>
        <v>63.538525390625004</v>
      </c>
      <c r="N10" s="33">
        <v>60</v>
      </c>
      <c r="O10" s="43" t="str">
        <f t="shared" si="0"/>
        <v>OK</v>
      </c>
    </row>
    <row r="11" spans="2:15" x14ac:dyDescent="0.15">
      <c r="B11" s="57" t="s">
        <v>182</v>
      </c>
      <c r="C11" s="53">
        <v>400</v>
      </c>
      <c r="D11" s="29">
        <v>80</v>
      </c>
      <c r="E11" s="28" t="s">
        <v>0</v>
      </c>
      <c r="F11" s="28">
        <f>[2]!Bar(E11,11)*100</f>
        <v>2321.9999313354492</v>
      </c>
      <c r="G11" s="30">
        <v>14</v>
      </c>
      <c r="H11" s="28">
        <v>295</v>
      </c>
      <c r="I11" s="30">
        <v>709</v>
      </c>
      <c r="J11" s="28">
        <v>15</v>
      </c>
      <c r="K11" s="31">
        <f>[2]!RcCMaC(C11/10,D11/10,E11,G11*10,H11*10, I11/10, J11,3)</f>
        <v>112.60016954762071</v>
      </c>
      <c r="L11" s="31">
        <f>[2]!RcCMaC(C11/10,D11/10,E11,G11*10,H11*10,I11/10,J11,4)</f>
        <v>70.44853135460464</v>
      </c>
      <c r="M11" s="32">
        <f>[2]!RcCMaC(C11/10,D11/10,E11,G11*10,H11*10, I11/10, J11,0)*10</f>
        <v>63.628594970703119</v>
      </c>
      <c r="N11" s="33">
        <v>60</v>
      </c>
      <c r="O11" s="43" t="str">
        <f t="shared" si="0"/>
        <v>OK</v>
      </c>
    </row>
    <row r="12" spans="2:15" x14ac:dyDescent="0.15">
      <c r="B12" s="57" t="s">
        <v>183</v>
      </c>
      <c r="C12" s="53">
        <v>400</v>
      </c>
      <c r="D12" s="29">
        <v>80</v>
      </c>
      <c r="E12" s="28" t="s">
        <v>0</v>
      </c>
      <c r="F12" s="28">
        <f>[2]!Bar(E12,11)*100</f>
        <v>2321.9999313354492</v>
      </c>
      <c r="G12" s="30">
        <v>14</v>
      </c>
      <c r="H12" s="28">
        <v>295</v>
      </c>
      <c r="I12" s="30">
        <v>447</v>
      </c>
      <c r="J12" s="28">
        <v>15</v>
      </c>
      <c r="K12" s="31">
        <f>[2]!RcCMaC(C12/10,D12/10,E12,G12*10,H12*10, I12/10, J12,3)</f>
        <v>94.412912582814769</v>
      </c>
      <c r="L12" s="31">
        <f>[2]!RcCMaC(C12/10,D12/10,E12,G12*10,H12*10,I12/10,J12,4)</f>
        <v>70.44853135460464</v>
      </c>
      <c r="M12" s="32">
        <f>[2]!RcCMaC(C12/10,D12/10,E12,G12*10,H12*10, I12/10, J12,0)*10</f>
        <v>62.465447998046876</v>
      </c>
      <c r="N12" s="33">
        <v>60</v>
      </c>
      <c r="O12" s="43" t="str">
        <f t="shared" si="0"/>
        <v>OK</v>
      </c>
    </row>
    <row r="13" spans="2:15" x14ac:dyDescent="0.15">
      <c r="B13" s="57" t="s">
        <v>184</v>
      </c>
      <c r="C13" s="53">
        <v>400</v>
      </c>
      <c r="D13" s="29">
        <v>80</v>
      </c>
      <c r="E13" s="28" t="s">
        <v>0</v>
      </c>
      <c r="F13" s="28">
        <f>[2]!Bar(E13,11)*100</f>
        <v>2321.9999313354492</v>
      </c>
      <c r="G13" s="30">
        <v>14</v>
      </c>
      <c r="H13" s="28">
        <v>295</v>
      </c>
      <c r="I13" s="30">
        <v>469</v>
      </c>
      <c r="J13" s="28">
        <v>15</v>
      </c>
      <c r="K13" s="31">
        <f>[2]!RcCMaC(C13/10,D13/10,E13,G13*10,H13*10, I13/10, J13,3)</f>
        <v>95.696714939042735</v>
      </c>
      <c r="L13" s="31">
        <f>[2]!RcCMaC(C13/10,D13/10,E13,G13*10,H13*10,I13/10,J13,4)</f>
        <v>70.44853135460464</v>
      </c>
      <c r="M13" s="32">
        <f>[2]!RcCMaC(C13/10,D13/10,E13,G13*10,H13*10, I13/10, J13,0)*10</f>
        <v>62.671221923828128</v>
      </c>
      <c r="N13" s="33">
        <v>60</v>
      </c>
      <c r="O13" s="43" t="str">
        <f t="shared" si="0"/>
        <v>OK</v>
      </c>
    </row>
    <row r="14" spans="2:15" x14ac:dyDescent="0.15">
      <c r="B14" s="57" t="s">
        <v>185</v>
      </c>
      <c r="C14" s="53">
        <v>400</v>
      </c>
      <c r="D14" s="29">
        <v>80</v>
      </c>
      <c r="E14" s="28" t="s">
        <v>0</v>
      </c>
      <c r="F14" s="28">
        <f>[2]!Bar(E14,11)*100</f>
        <v>2321.9999313354492</v>
      </c>
      <c r="G14" s="30">
        <v>14</v>
      </c>
      <c r="H14" s="28">
        <v>295</v>
      </c>
      <c r="I14" s="30">
        <v>744</v>
      </c>
      <c r="J14" s="28">
        <v>15</v>
      </c>
      <c r="K14" s="31">
        <f>[2]!RcCMaC(C14/10,D14/10,E14,G14*10,H14*10, I14/10, J14,3)</f>
        <v>115.48874533970114</v>
      </c>
      <c r="L14" s="31">
        <f>[2]!RcCMaC(C14/10,D14/10,E14,G14*10,H14*10,I14/10,J14,4)</f>
        <v>70.44853135460464</v>
      </c>
      <c r="M14" s="32">
        <f>[2]!RcCMaC(C14/10,D14/10,E14,G14*10,H14*10, I14/10, J14,0)*10</f>
        <v>63.443096923828122</v>
      </c>
      <c r="N14" s="33">
        <v>60</v>
      </c>
      <c r="O14" s="43" t="str">
        <f t="shared" si="0"/>
        <v>OK</v>
      </c>
    </row>
    <row r="15" spans="2:15" x14ac:dyDescent="0.15">
      <c r="B15" s="57" t="s">
        <v>206</v>
      </c>
      <c r="C15" s="53">
        <v>400</v>
      </c>
      <c r="D15" s="29">
        <v>80</v>
      </c>
      <c r="E15" s="28" t="s">
        <v>0</v>
      </c>
      <c r="F15" s="28">
        <f>[2]!Bar(E15,11)*100</f>
        <v>2321.9999313354492</v>
      </c>
      <c r="G15" s="30">
        <v>14</v>
      </c>
      <c r="H15" s="28">
        <v>295</v>
      </c>
      <c r="I15" s="30">
        <v>762</v>
      </c>
      <c r="J15" s="28">
        <v>15</v>
      </c>
      <c r="K15" s="31">
        <f>[2]!RcCMaC(C15/10,D15/10,E15,G15*10,H15*10, I15/10, J15,3)</f>
        <v>117.0934982849861</v>
      </c>
      <c r="L15" s="31">
        <f>[2]!RcCMaC(C15/10,D15/10,E15,G15*10,H15*10,I15/10,J15,4)</f>
        <v>70.44853135460464</v>
      </c>
      <c r="M15" s="32">
        <f>[2]!RcCMaC(C15/10,D15/10,E15,G15*10,H15*10, I15/10, J15,0)*10</f>
        <v>63.36865234375</v>
      </c>
      <c r="N15" s="33">
        <v>60</v>
      </c>
      <c r="O15" s="43" t="str">
        <f t="shared" si="0"/>
        <v>OK</v>
      </c>
    </row>
    <row r="16" spans="2:15" x14ac:dyDescent="0.15">
      <c r="B16" s="57" t="s">
        <v>187</v>
      </c>
      <c r="C16" s="53">
        <v>400</v>
      </c>
      <c r="D16" s="29">
        <v>80</v>
      </c>
      <c r="E16" s="28" t="s">
        <v>0</v>
      </c>
      <c r="F16" s="28">
        <f>[2]!Bar(E16,11)*100</f>
        <v>2321.9999313354492</v>
      </c>
      <c r="G16" s="30">
        <v>14</v>
      </c>
      <c r="H16" s="28">
        <v>295</v>
      </c>
      <c r="I16" s="30">
        <v>752</v>
      </c>
      <c r="J16" s="28">
        <v>15</v>
      </c>
      <c r="K16" s="31">
        <f>[2]!RcCMaC(C16/10,D16/10,E16,G16*10,H16*10, I16/10, J16,3)</f>
        <v>116.23762094058189</v>
      </c>
      <c r="L16" s="31">
        <f>[2]!RcCMaC(C16/10,D16/10,E16,G16*10,H16*10,I16/10,J16,4)</f>
        <v>70.44853135460464</v>
      </c>
      <c r="M16" s="32">
        <f>[2]!RcCMaC(C16/10,D16/10,E16,G16*10,H16*10, I16/10, J16,0)*10</f>
        <v>63.451617431640628</v>
      </c>
      <c r="N16" s="33">
        <v>60</v>
      </c>
      <c r="O16" s="43" t="str">
        <f t="shared" si="0"/>
        <v>OK</v>
      </c>
    </row>
    <row r="17" spans="2:15" x14ac:dyDescent="0.15">
      <c r="B17" s="57" t="s">
        <v>188</v>
      </c>
      <c r="C17" s="53">
        <v>400</v>
      </c>
      <c r="D17" s="29">
        <v>80</v>
      </c>
      <c r="E17" s="28" t="s">
        <v>0</v>
      </c>
      <c r="F17" s="28">
        <f>[2]!Bar(E17,11)*100</f>
        <v>2321.9999313354492</v>
      </c>
      <c r="G17" s="30">
        <v>14</v>
      </c>
      <c r="H17" s="28">
        <v>295</v>
      </c>
      <c r="I17" s="30">
        <v>761</v>
      </c>
      <c r="J17" s="28">
        <v>15</v>
      </c>
      <c r="K17" s="31">
        <f>[2]!RcCMaC(C17/10,D17/10,E17,G17*10,H17*10, I17/10, J17,3)</f>
        <v>116.87953577907422</v>
      </c>
      <c r="L17" s="31">
        <f>[2]!RcCMaC(C17/10,D17/10,E17,G17*10,H17*10,I17/10,J17,4)</f>
        <v>70.44853135460464</v>
      </c>
      <c r="M17" s="32">
        <f>[2]!RcCMaC(C17/10,D17/10,E17,G17*10,H17*10, I17/10, J17,0)*10</f>
        <v>63.255706787109375</v>
      </c>
      <c r="N17" s="33">
        <v>60</v>
      </c>
      <c r="O17" s="43" t="str">
        <f t="shared" si="0"/>
        <v>OK</v>
      </c>
    </row>
    <row r="18" spans="2:15" x14ac:dyDescent="0.15">
      <c r="B18" s="57" t="s">
        <v>189</v>
      </c>
      <c r="C18" s="53">
        <v>400</v>
      </c>
      <c r="D18" s="29">
        <v>80</v>
      </c>
      <c r="E18" s="28" t="s">
        <v>0</v>
      </c>
      <c r="F18" s="28">
        <f>[2]!Bar(E18,11)*100</f>
        <v>2321.9999313354492</v>
      </c>
      <c r="G18" s="30">
        <v>14</v>
      </c>
      <c r="H18" s="28">
        <v>295</v>
      </c>
      <c r="I18" s="30">
        <v>739</v>
      </c>
      <c r="J18" s="28">
        <v>15</v>
      </c>
      <c r="K18" s="31">
        <f>[2]!RcCMaC(C18/10,D18/10,E18,G18*10,H18*10, I18/10, J18,3)</f>
        <v>115.16778109026581</v>
      </c>
      <c r="L18" s="31">
        <f>[2]!RcCMaC(C18/10,D18/10,E18,G18*10,H18*10,I18/10,J18,4)</f>
        <v>70.44853135460464</v>
      </c>
      <c r="M18" s="32">
        <f>[2]!RcCMaC(C18/10,D18/10,E18,G18*10,H18*10, I18/10, J18,0)*10</f>
        <v>63.569586181640631</v>
      </c>
      <c r="N18" s="33">
        <v>60</v>
      </c>
      <c r="O18" s="43" t="str">
        <f t="shared" si="0"/>
        <v>OK</v>
      </c>
    </row>
    <row r="19" spans="2:15" x14ac:dyDescent="0.15">
      <c r="B19" s="57" t="s">
        <v>190</v>
      </c>
      <c r="C19" s="53">
        <v>400</v>
      </c>
      <c r="D19" s="29">
        <v>80</v>
      </c>
      <c r="E19" s="28" t="s">
        <v>0</v>
      </c>
      <c r="F19" s="28">
        <f>[2]!Bar(E19,11)*100</f>
        <v>2321.9999313354492</v>
      </c>
      <c r="G19" s="30">
        <v>14</v>
      </c>
      <c r="H19" s="28">
        <v>295</v>
      </c>
      <c r="I19" s="30">
        <v>710</v>
      </c>
      <c r="J19" s="28">
        <v>15</v>
      </c>
      <c r="K19" s="31">
        <f>[2]!RcCMaC(C19/10,D19/10,E19,G19*10,H19*10, I19/10, J19,3)</f>
        <v>112.81413888372175</v>
      </c>
      <c r="L19" s="31">
        <f>[2]!RcCMaC(C19/10,D19/10,E19,G19*10,H19*10,I19/10,J19,4)</f>
        <v>70.44853135460464</v>
      </c>
      <c r="M19" s="32">
        <f>[2]!RcCMaC(C19/10,D19/10,E19,G19*10,H19*10, I19/10, J19,0)*10</f>
        <v>63.745928955078128</v>
      </c>
      <c r="N19" s="33">
        <v>60</v>
      </c>
      <c r="O19" s="43" t="str">
        <f t="shared" si="0"/>
        <v>OK</v>
      </c>
    </row>
    <row r="20" spans="2:15" x14ac:dyDescent="0.15">
      <c r="B20" s="58" t="s">
        <v>190</v>
      </c>
      <c r="C20" s="54">
        <v>400</v>
      </c>
      <c r="D20" s="44">
        <v>80</v>
      </c>
      <c r="E20" s="45" t="s">
        <v>0</v>
      </c>
      <c r="F20" s="45">
        <f>[2]!Bar(E20,11)*100</f>
        <v>2321.9999313354492</v>
      </c>
      <c r="G20" s="46">
        <v>14</v>
      </c>
      <c r="H20" s="45">
        <v>295</v>
      </c>
      <c r="I20" s="46">
        <v>472</v>
      </c>
      <c r="J20" s="45">
        <v>15</v>
      </c>
      <c r="K20" s="47">
        <f>[2]!RcCMaC(C20/10,D20/10,E20,G20*10,H20*10, I20/10, J20,3)</f>
        <v>95.91068427514378</v>
      </c>
      <c r="L20" s="47">
        <f>[2]!RcCMaC(C20/10,D20/10,E20,G20*10,H20*10,I20/10,J20,4)</f>
        <v>70.44853135460464</v>
      </c>
      <c r="M20" s="48">
        <f>[2]!RcCMaC(C20/10,D20/10,E20,G20*10,H20*10, I20/10, J20,0)*10</f>
        <v>62.715484619140625</v>
      </c>
      <c r="N20" s="49">
        <v>60</v>
      </c>
      <c r="O20" s="50" t="str">
        <f t="shared" si="0"/>
        <v>OK</v>
      </c>
    </row>
    <row r="21" spans="2:15" x14ac:dyDescent="0.15">
      <c r="I21">
        <f>MAX(I5:I20)</f>
        <v>762</v>
      </c>
    </row>
    <row r="24" spans="2:15" x14ac:dyDescent="0.15">
      <c r="K24" s="23"/>
    </row>
    <row r="25" spans="2:15" x14ac:dyDescent="0.15">
      <c r="K25" s="23"/>
    </row>
    <row r="26" spans="2:15" x14ac:dyDescent="0.15">
      <c r="K26" s="23"/>
    </row>
    <row r="27" spans="2:15" x14ac:dyDescent="0.15">
      <c r="K27" s="23"/>
    </row>
    <row r="28" spans="2:15" x14ac:dyDescent="0.15">
      <c r="D28" s="21" t="s">
        <v>207</v>
      </c>
      <c r="E28" t="s">
        <v>150</v>
      </c>
      <c r="I28" t="s">
        <v>208</v>
      </c>
      <c r="K28" s="23"/>
    </row>
    <row r="29" spans="2:15" x14ac:dyDescent="0.15">
      <c r="D29" s="21" t="s">
        <v>209</v>
      </c>
      <c r="E29" t="s">
        <v>151</v>
      </c>
      <c r="I29" t="s">
        <v>210</v>
      </c>
      <c r="K29" s="23"/>
    </row>
    <row r="30" spans="2:15" ht="13.2" x14ac:dyDescent="0.15">
      <c r="D30" s="21" t="s">
        <v>211</v>
      </c>
      <c r="E30" t="s">
        <v>152</v>
      </c>
      <c r="I30" t="s">
        <v>212</v>
      </c>
      <c r="K30" s="23"/>
    </row>
    <row r="31" spans="2:15" ht="13.2" x14ac:dyDescent="0.15">
      <c r="D31" s="21" t="s">
        <v>213</v>
      </c>
      <c r="E31" t="s">
        <v>153</v>
      </c>
      <c r="I31" t="s">
        <v>214</v>
      </c>
      <c r="K31" s="23"/>
    </row>
    <row r="32" spans="2:15" ht="13.2" x14ac:dyDescent="0.15">
      <c r="D32" s="21" t="s">
        <v>215</v>
      </c>
      <c r="E32" t="s">
        <v>154</v>
      </c>
      <c r="I32" t="s">
        <v>216</v>
      </c>
      <c r="K32" s="22"/>
    </row>
    <row r="33" spans="4:11" x14ac:dyDescent="0.15">
      <c r="D33" s="21" t="s">
        <v>217</v>
      </c>
      <c r="E33" t="s">
        <v>155</v>
      </c>
      <c r="I33" t="s">
        <v>218</v>
      </c>
      <c r="K33" s="22"/>
    </row>
    <row r="34" spans="4:11" x14ac:dyDescent="0.15">
      <c r="D34" s="21" t="s">
        <v>219</v>
      </c>
      <c r="E34" t="s">
        <v>156</v>
      </c>
    </row>
    <row r="35" spans="4:11" x14ac:dyDescent="0.15">
      <c r="D35" s="21" t="s">
        <v>220</v>
      </c>
      <c r="E35" t="s">
        <v>157</v>
      </c>
    </row>
    <row r="36" spans="4:11" x14ac:dyDescent="0.15">
      <c r="D36" s="21" t="s">
        <v>221</v>
      </c>
      <c r="E36" t="s">
        <v>158</v>
      </c>
    </row>
    <row r="37" spans="4:11" x14ac:dyDescent="0.15">
      <c r="D37" s="21" t="s">
        <v>222</v>
      </c>
      <c r="E37" t="s">
        <v>170</v>
      </c>
      <c r="I37" t="s">
        <v>223</v>
      </c>
    </row>
    <row r="38" spans="4:11" x14ac:dyDescent="0.15">
      <c r="D38" s="21" t="s">
        <v>224</v>
      </c>
      <c r="E38" t="s">
        <v>192</v>
      </c>
      <c r="I38" t="s">
        <v>223</v>
      </c>
    </row>
  </sheetData>
  <phoneticPr fontId="3"/>
  <pageMargins left="0.78740157480314965" right="0.5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B2:O38"/>
  <sheetViews>
    <sheetView workbookViewId="0">
      <selection activeCell="C5" sqref="C5"/>
    </sheetView>
  </sheetViews>
  <sheetFormatPr defaultRowHeight="12" x14ac:dyDescent="0.1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5" x14ac:dyDescent="0.15">
      <c r="B2" t="s">
        <v>170</v>
      </c>
    </row>
    <row r="4" spans="2:15" x14ac:dyDescent="0.15">
      <c r="B4" s="55" t="s">
        <v>174</v>
      </c>
      <c r="C4" s="51" t="s">
        <v>193</v>
      </c>
      <c r="D4" s="40" t="s">
        <v>194</v>
      </c>
      <c r="E4" s="40" t="s">
        <v>195</v>
      </c>
      <c r="F4" s="40" t="s">
        <v>196</v>
      </c>
      <c r="G4" s="40" t="s">
        <v>197</v>
      </c>
      <c r="H4" s="40" t="s">
        <v>198</v>
      </c>
      <c r="I4" s="40" t="s">
        <v>199</v>
      </c>
      <c r="J4" s="40" t="s">
        <v>200</v>
      </c>
      <c r="K4" s="40" t="s">
        <v>165</v>
      </c>
      <c r="L4" s="40" t="s">
        <v>167</v>
      </c>
      <c r="M4" s="40" t="s">
        <v>201</v>
      </c>
      <c r="N4" s="40" t="s">
        <v>202</v>
      </c>
      <c r="O4" s="41" t="s">
        <v>175</v>
      </c>
    </row>
    <row r="5" spans="2:15" x14ac:dyDescent="0.15">
      <c r="B5" s="56" t="s">
        <v>203</v>
      </c>
      <c r="C5" s="52">
        <v>500</v>
      </c>
      <c r="D5" s="35">
        <v>270</v>
      </c>
      <c r="E5" s="34" t="s">
        <v>204</v>
      </c>
      <c r="F5" s="34">
        <f>[2]!Bar(E5,11)*100</f>
        <v>761.9999885559082</v>
      </c>
      <c r="G5" s="36">
        <v>14</v>
      </c>
      <c r="H5" s="34">
        <v>295</v>
      </c>
      <c r="I5" s="36">
        <v>467</v>
      </c>
      <c r="J5" s="34">
        <v>15</v>
      </c>
      <c r="K5" s="37">
        <f>[2]!RcCMaC(C5/10,D5/10,E5,G5*10,H5*10, I5/10, J5,3)</f>
        <v>83.027834181347174</v>
      </c>
      <c r="L5" s="37">
        <f>[2]!RcCMaC(C5/10,D5/10,E5,G5*10,H5*10,I5/10,J5,4)</f>
        <v>51.871608682605761</v>
      </c>
      <c r="M5" s="38">
        <f>[2]!RcCMaC(C5/10,D5/10,E5,G5*10,H5*10, I5/10, J5,0)*10</f>
        <v>77.929538488388062</v>
      </c>
      <c r="N5" s="39">
        <v>60.4</v>
      </c>
      <c r="O5" s="42" t="str">
        <f t="shared" ref="O5:O20" si="0">IF(M5&gt;N5,"OK","NG")</f>
        <v>OK</v>
      </c>
    </row>
    <row r="6" spans="2:15" x14ac:dyDescent="0.15">
      <c r="B6" s="57" t="s">
        <v>177</v>
      </c>
      <c r="C6" s="53">
        <v>500</v>
      </c>
      <c r="D6" s="29">
        <v>270</v>
      </c>
      <c r="E6" s="28" t="s">
        <v>204</v>
      </c>
      <c r="F6" s="28">
        <f>[2]!Bar(E6,11)*100</f>
        <v>761.9999885559082</v>
      </c>
      <c r="G6" s="30">
        <v>14</v>
      </c>
      <c r="H6" s="28">
        <v>295</v>
      </c>
      <c r="I6" s="30">
        <v>741</v>
      </c>
      <c r="J6" s="28">
        <v>15</v>
      </c>
      <c r="K6" s="31">
        <f>[2]!RcCMaC(C6/10,D6/10,E6,G6*10,H6*10, I6/10, J6,3)</f>
        <v>99.669508129640249</v>
      </c>
      <c r="L6" s="31">
        <f>[2]!RcCMaC(C6/10,D6/10,E6,G6*10,H6*10,I6/10,J6,4)</f>
        <v>51.871608682605761</v>
      </c>
      <c r="M6" s="32">
        <f>[2]!RcCMaC(C6/10,D6/10,E6,G6*10,H6*10, I6/10, J6,0)*10</f>
        <v>94.344991445541382</v>
      </c>
      <c r="N6" s="33">
        <v>60.4</v>
      </c>
      <c r="O6" s="43" t="str">
        <f t="shared" si="0"/>
        <v>OK</v>
      </c>
    </row>
    <row r="7" spans="2:15" x14ac:dyDescent="0.15">
      <c r="B7" s="57" t="s">
        <v>178</v>
      </c>
      <c r="C7" s="53">
        <v>500</v>
      </c>
      <c r="D7" s="29">
        <v>270</v>
      </c>
      <c r="E7" s="28" t="s">
        <v>204</v>
      </c>
      <c r="F7" s="28">
        <f>[2]!Bar(E7,11)*100</f>
        <v>761.9999885559082</v>
      </c>
      <c r="G7" s="30">
        <v>14</v>
      </c>
      <c r="H7" s="28">
        <v>295</v>
      </c>
      <c r="I7" s="30">
        <v>760</v>
      </c>
      <c r="J7" s="28">
        <v>15</v>
      </c>
      <c r="K7" s="31">
        <f>[2]!RcCMaC(C7/10,D7/10,E7,G7*10,H7*10, I7/10, J7,3)</f>
        <v>100.79562873870989</v>
      </c>
      <c r="L7" s="31">
        <f>[2]!RcCMaC(C7/10,D7/10,E7,G7*10,H7*10,I7/10,J7,4)</f>
        <v>51.871608682605761</v>
      </c>
      <c r="M7" s="32">
        <f>[2]!RcCMaC(C7/10,D7/10,E7,G7*10,H7*10, I7/10, J7,0)*10</f>
        <v>95.024490356445313</v>
      </c>
      <c r="N7" s="33">
        <v>60</v>
      </c>
      <c r="O7" s="43" t="str">
        <f t="shared" si="0"/>
        <v>OK</v>
      </c>
    </row>
    <row r="8" spans="2:15" x14ac:dyDescent="0.15">
      <c r="B8" s="57" t="s">
        <v>179</v>
      </c>
      <c r="C8" s="53">
        <v>500</v>
      </c>
      <c r="D8" s="29">
        <v>270</v>
      </c>
      <c r="E8" s="28" t="s">
        <v>204</v>
      </c>
      <c r="F8" s="28">
        <f>[2]!Bar(E8,11)*100</f>
        <v>761.9999885559082</v>
      </c>
      <c r="G8" s="30">
        <v>14</v>
      </c>
      <c r="H8" s="28">
        <v>295</v>
      </c>
      <c r="I8" s="30">
        <v>709</v>
      </c>
      <c r="J8" s="28">
        <v>15</v>
      </c>
      <c r="K8" s="31">
        <f>[2]!RcCMaC(C8/10,D8/10,E8,G8*10,H8*10, I8/10, J8,3)</f>
        <v>97.667504552090051</v>
      </c>
      <c r="L8" s="31">
        <f>[2]!RcCMaC(C8/10,D8/10,E8,G8*10,H8*10,I8/10,J8,4)</f>
        <v>51.871608682605761</v>
      </c>
      <c r="M8" s="32">
        <f>[2]!RcCMaC(C8/10,D8/10,E8,G8*10,H8*10, I8/10, J8,0)*10</f>
        <v>92.919057607650757</v>
      </c>
      <c r="N8" s="33">
        <v>60</v>
      </c>
      <c r="O8" s="43" t="str">
        <f t="shared" si="0"/>
        <v>OK</v>
      </c>
    </row>
    <row r="9" spans="2:15" x14ac:dyDescent="0.15">
      <c r="B9" s="57" t="s">
        <v>180</v>
      </c>
      <c r="C9" s="53">
        <v>500</v>
      </c>
      <c r="D9" s="29">
        <v>270</v>
      </c>
      <c r="E9" s="28" t="s">
        <v>204</v>
      </c>
      <c r="F9" s="28">
        <f>[2]!Bar(E9,11)*100</f>
        <v>761.9999885559082</v>
      </c>
      <c r="G9" s="30">
        <v>14</v>
      </c>
      <c r="H9" s="28">
        <v>295</v>
      </c>
      <c r="I9" s="30">
        <v>747</v>
      </c>
      <c r="J9" s="28">
        <v>15</v>
      </c>
      <c r="K9" s="31">
        <f>[2]!RcCMaC(C9/10,D9/10,E9,G9*10,H9*10, I9/10, J9,3)</f>
        <v>100.0448816659968</v>
      </c>
      <c r="L9" s="31">
        <f>[2]!RcCMaC(C9/10,D9/10,E9,G9*10,H9*10,I9/10,J9,4)</f>
        <v>51.871608682605761</v>
      </c>
      <c r="M9" s="32">
        <f>[2]!RcCMaC(C9/10,D9/10,E9,G9*10,H9*10, I9/10, J9,0)*10</f>
        <v>94.593298435211182</v>
      </c>
      <c r="N9" s="33">
        <v>60</v>
      </c>
      <c r="O9" s="43" t="str">
        <f t="shared" si="0"/>
        <v>OK</v>
      </c>
    </row>
    <row r="10" spans="2:15" x14ac:dyDescent="0.15">
      <c r="B10" s="57" t="s">
        <v>205</v>
      </c>
      <c r="C10" s="53">
        <v>500</v>
      </c>
      <c r="D10" s="29">
        <v>270</v>
      </c>
      <c r="E10" s="28" t="s">
        <v>204</v>
      </c>
      <c r="F10" s="28">
        <f>[2]!Bar(E10,11)*100</f>
        <v>761.9999885559082</v>
      </c>
      <c r="G10" s="30">
        <v>14</v>
      </c>
      <c r="H10" s="28">
        <v>295</v>
      </c>
      <c r="I10" s="30">
        <v>737</v>
      </c>
      <c r="J10" s="28">
        <v>15</v>
      </c>
      <c r="K10" s="31">
        <f>[2]!RcCMaC(C10/10,D10/10,E10,G10*10,H10*10, I10/10, J10,3)</f>
        <v>99.419263658861993</v>
      </c>
      <c r="L10" s="31">
        <f>[2]!RcCMaC(C10/10,D10/10,E10,G10*10,H10*10,I10/10,J10,4)</f>
        <v>51.871608682605761</v>
      </c>
      <c r="M10" s="32">
        <f>[2]!RcCMaC(C10/10,D10/10,E10,G10*10,H10*10, I10/10, J10,0)*10</f>
        <v>94.176054000854492</v>
      </c>
      <c r="N10" s="33">
        <v>60</v>
      </c>
      <c r="O10" s="43" t="str">
        <f t="shared" si="0"/>
        <v>OK</v>
      </c>
    </row>
    <row r="11" spans="2:15" x14ac:dyDescent="0.15">
      <c r="B11" s="57" t="s">
        <v>182</v>
      </c>
      <c r="C11" s="53">
        <v>500</v>
      </c>
      <c r="D11" s="29">
        <v>270</v>
      </c>
      <c r="E11" s="28" t="s">
        <v>204</v>
      </c>
      <c r="F11" s="28">
        <f>[2]!Bar(E11,11)*100</f>
        <v>761.9999885559082</v>
      </c>
      <c r="G11" s="30">
        <v>14</v>
      </c>
      <c r="H11" s="28">
        <v>295</v>
      </c>
      <c r="I11" s="30">
        <v>709</v>
      </c>
      <c r="J11" s="28">
        <v>15</v>
      </c>
      <c r="K11" s="31">
        <f>[2]!RcCMaC(C11/10,D11/10,E11,G11*10,H11*10, I11/10, J11,3)</f>
        <v>97.667504552090051</v>
      </c>
      <c r="L11" s="31">
        <f>[2]!RcCMaC(C11/10,D11/10,E11,G11*10,H11*10,I11/10,J11,4)</f>
        <v>51.871608682605761</v>
      </c>
      <c r="M11" s="32">
        <f>[2]!RcCMaC(C11/10,D11/10,E11,G11*10,H11*10, I11/10, J11,0)*10</f>
        <v>92.919057607650757</v>
      </c>
      <c r="N11" s="33">
        <v>60</v>
      </c>
      <c r="O11" s="43" t="str">
        <f t="shared" si="0"/>
        <v>OK</v>
      </c>
    </row>
    <row r="12" spans="2:15" x14ac:dyDescent="0.15">
      <c r="B12" s="57" t="s">
        <v>183</v>
      </c>
      <c r="C12" s="53">
        <v>500</v>
      </c>
      <c r="D12" s="29">
        <v>270</v>
      </c>
      <c r="E12" s="28" t="s">
        <v>204</v>
      </c>
      <c r="F12" s="28">
        <f>[2]!Bar(E12,11)*100</f>
        <v>761.9999885559082</v>
      </c>
      <c r="G12" s="30">
        <v>14</v>
      </c>
      <c r="H12" s="28">
        <v>295</v>
      </c>
      <c r="I12" s="30">
        <v>447</v>
      </c>
      <c r="J12" s="28">
        <v>15</v>
      </c>
      <c r="K12" s="31">
        <f>[2]!RcCMaC(C12/10,D12/10,E12,G12*10,H12*10, I12/10, J12,3)</f>
        <v>81.9016999118992</v>
      </c>
      <c r="L12" s="31">
        <f>[2]!RcCMaC(C12/10,D12/10,E12,G12*10,H12*10,I12/10,J12,4)</f>
        <v>51.871608682605761</v>
      </c>
      <c r="M12" s="32">
        <f>[2]!RcCMaC(C12/10,D12/10,E12,G12*10,H12*10, I12/10, J12,0)*10</f>
        <v>76.442170143127441</v>
      </c>
      <c r="N12" s="33">
        <v>60</v>
      </c>
      <c r="O12" s="43" t="str">
        <f t="shared" si="0"/>
        <v>OK</v>
      </c>
    </row>
    <row r="13" spans="2:15" x14ac:dyDescent="0.15">
      <c r="B13" s="57" t="s">
        <v>184</v>
      </c>
      <c r="C13" s="53">
        <v>500</v>
      </c>
      <c r="D13" s="29">
        <v>270</v>
      </c>
      <c r="E13" s="28" t="s">
        <v>204</v>
      </c>
      <c r="F13" s="28">
        <f>[2]!Bar(E13,11)*100</f>
        <v>761.9999885559082</v>
      </c>
      <c r="G13" s="30">
        <v>14</v>
      </c>
      <c r="H13" s="28">
        <v>295</v>
      </c>
      <c r="I13" s="30">
        <v>469</v>
      </c>
      <c r="J13" s="28">
        <v>15</v>
      </c>
      <c r="K13" s="31">
        <f>[2]!RcCMaC(C13/10,D13/10,E13,G13*10,H13*10, I13/10, J13,3)</f>
        <v>83.152956416736302</v>
      </c>
      <c r="L13" s="31">
        <f>[2]!RcCMaC(C13/10,D13/10,E13,G13*10,H13*10,I13/10,J13,4)</f>
        <v>51.871608682605761</v>
      </c>
      <c r="M13" s="32">
        <f>[2]!RcCMaC(C13/10,D13/10,E13,G13*10,H13*10, I13/10, J13,0)*10</f>
        <v>78.085392713546753</v>
      </c>
      <c r="N13" s="33">
        <v>60</v>
      </c>
      <c r="O13" s="43" t="str">
        <f t="shared" si="0"/>
        <v>OK</v>
      </c>
    </row>
    <row r="14" spans="2:15" x14ac:dyDescent="0.15">
      <c r="B14" s="57" t="s">
        <v>185</v>
      </c>
      <c r="C14" s="53">
        <v>500</v>
      </c>
      <c r="D14" s="29">
        <v>270</v>
      </c>
      <c r="E14" s="28" t="s">
        <v>204</v>
      </c>
      <c r="F14" s="28">
        <f>[2]!Bar(E14,11)*100</f>
        <v>761.9999885559082</v>
      </c>
      <c r="G14" s="30">
        <v>14</v>
      </c>
      <c r="H14" s="28">
        <v>295</v>
      </c>
      <c r="I14" s="30">
        <v>744</v>
      </c>
      <c r="J14" s="28">
        <v>15</v>
      </c>
      <c r="K14" s="31">
        <f>[2]!RcCMaC(C14/10,D14/10,E14,G14*10,H14*10, I14/10, J14,3)</f>
        <v>99.794637195218542</v>
      </c>
      <c r="L14" s="31">
        <f>[2]!RcCMaC(C14/10,D14/10,E14,G14*10,H14*10,I14/10,J14,4)</f>
        <v>51.871608682605761</v>
      </c>
      <c r="M14" s="32">
        <f>[2]!RcCMaC(C14/10,D14/10,E14,G14*10,H14*10, I14/10, J14,0)*10</f>
        <v>94.385915994644165</v>
      </c>
      <c r="N14" s="33">
        <v>60</v>
      </c>
      <c r="O14" s="43" t="str">
        <f t="shared" si="0"/>
        <v>OK</v>
      </c>
    </row>
    <row r="15" spans="2:15" x14ac:dyDescent="0.15">
      <c r="B15" s="57" t="s">
        <v>206</v>
      </c>
      <c r="C15" s="53">
        <v>500</v>
      </c>
      <c r="D15" s="29">
        <v>270</v>
      </c>
      <c r="E15" s="28" t="s">
        <v>204</v>
      </c>
      <c r="F15" s="28">
        <f>[2]!Bar(E15,11)*100</f>
        <v>761.9999885559082</v>
      </c>
      <c r="G15" s="30">
        <v>14</v>
      </c>
      <c r="H15" s="28">
        <v>295</v>
      </c>
      <c r="I15" s="30">
        <v>762</v>
      </c>
      <c r="J15" s="28">
        <v>15</v>
      </c>
      <c r="K15" s="31">
        <f>[2]!RcCMaC(C15/10,D15/10,E15,G15*10,H15*10, I15/10, J15,3)</f>
        <v>100.92075780428819</v>
      </c>
      <c r="L15" s="31">
        <f>[2]!RcCMaC(C15/10,D15/10,E15,G15*10,H15*10,I15/10,J15,4)</f>
        <v>51.871608682605761</v>
      </c>
      <c r="M15" s="32">
        <f>[2]!RcCMaC(C15/10,D15/10,E15,G15*10,H15*10, I15/10, J15,0)*10</f>
        <v>95.101189613342285</v>
      </c>
      <c r="N15" s="33">
        <v>60</v>
      </c>
      <c r="O15" s="43" t="str">
        <f t="shared" si="0"/>
        <v>OK</v>
      </c>
    </row>
    <row r="16" spans="2:15" x14ac:dyDescent="0.15">
      <c r="B16" s="57" t="s">
        <v>187</v>
      </c>
      <c r="C16" s="53">
        <v>500</v>
      </c>
      <c r="D16" s="29">
        <v>270</v>
      </c>
      <c r="E16" s="28" t="s">
        <v>204</v>
      </c>
      <c r="F16" s="28">
        <f>[2]!Bar(E16,11)*100</f>
        <v>761.9999885559082</v>
      </c>
      <c r="G16" s="30">
        <v>14</v>
      </c>
      <c r="H16" s="28">
        <v>295</v>
      </c>
      <c r="I16" s="30">
        <v>752</v>
      </c>
      <c r="J16" s="28">
        <v>15</v>
      </c>
      <c r="K16" s="31">
        <f>[2]!RcCMaC(C16/10,D16/10,E16,G16*10,H16*10, I16/10, J16,3)</f>
        <v>100.29513296696422</v>
      </c>
      <c r="L16" s="31">
        <f>[2]!RcCMaC(C16/10,D16/10,E16,G16*10,H16*10,I16/10,J16,4)</f>
        <v>51.871608682605761</v>
      </c>
      <c r="M16" s="32">
        <f>[2]!RcCMaC(C16/10,D16/10,E16,G16*10,H16*10, I16/10, J16,0)*10</f>
        <v>94.710731506347656</v>
      </c>
      <c r="N16" s="33">
        <v>60</v>
      </c>
      <c r="O16" s="43" t="str">
        <f t="shared" si="0"/>
        <v>OK</v>
      </c>
    </row>
    <row r="17" spans="2:15" x14ac:dyDescent="0.15">
      <c r="B17" s="57" t="s">
        <v>188</v>
      </c>
      <c r="C17" s="53">
        <v>500</v>
      </c>
      <c r="D17" s="29">
        <v>270</v>
      </c>
      <c r="E17" s="28" t="s">
        <v>204</v>
      </c>
      <c r="F17" s="28">
        <f>[2]!Bar(E17,11)*100</f>
        <v>761.9999885559082</v>
      </c>
      <c r="G17" s="30">
        <v>14</v>
      </c>
      <c r="H17" s="28">
        <v>295</v>
      </c>
      <c r="I17" s="30">
        <v>761</v>
      </c>
      <c r="J17" s="28">
        <v>15</v>
      </c>
      <c r="K17" s="31">
        <f>[2]!RcCMaC(C17/10,D17/10,E17,G17*10,H17*10, I17/10, J17,3)</f>
        <v>100.92075780428819</v>
      </c>
      <c r="L17" s="31">
        <f>[2]!RcCMaC(C17/10,D17/10,E17,G17*10,H17*10,I17/10,J17,4)</f>
        <v>51.871608682605761</v>
      </c>
      <c r="M17" s="32">
        <f>[2]!RcCMaC(C17/10,D17/10,E17,G17*10,H17*10, I17/10, J17,0)*10</f>
        <v>95.148551464080811</v>
      </c>
      <c r="N17" s="33">
        <v>60</v>
      </c>
      <c r="O17" s="43" t="str">
        <f t="shared" si="0"/>
        <v>OK</v>
      </c>
    </row>
    <row r="18" spans="2:15" x14ac:dyDescent="0.15">
      <c r="B18" s="57" t="s">
        <v>189</v>
      </c>
      <c r="C18" s="53">
        <v>500</v>
      </c>
      <c r="D18" s="29">
        <v>270</v>
      </c>
      <c r="E18" s="28" t="s">
        <v>204</v>
      </c>
      <c r="F18" s="28">
        <f>[2]!Bar(E18,11)*100</f>
        <v>761.9999885559082</v>
      </c>
      <c r="G18" s="30">
        <v>14</v>
      </c>
      <c r="H18" s="28">
        <v>295</v>
      </c>
      <c r="I18" s="30">
        <v>739</v>
      </c>
      <c r="J18" s="28">
        <v>15</v>
      </c>
      <c r="K18" s="31">
        <f>[2]!RcCMaC(C18/10,D18/10,E18,G18*10,H18*10, I18/10, J18,3)</f>
        <v>99.544385894251121</v>
      </c>
      <c r="L18" s="31">
        <f>[2]!RcCMaC(C18/10,D18/10,E18,G18*10,H18*10,I18/10,J18,4)</f>
        <v>51.871608682605761</v>
      </c>
      <c r="M18" s="32">
        <f>[2]!RcCMaC(C18/10,D18/10,E18,G18*10,H18*10, I18/10, J18,0)*10</f>
        <v>94.260859489440918</v>
      </c>
      <c r="N18" s="33">
        <v>60</v>
      </c>
      <c r="O18" s="43" t="str">
        <f t="shared" si="0"/>
        <v>OK</v>
      </c>
    </row>
    <row r="19" spans="2:15" x14ac:dyDescent="0.15">
      <c r="B19" s="57" t="s">
        <v>190</v>
      </c>
      <c r="C19" s="53">
        <v>500</v>
      </c>
      <c r="D19" s="29">
        <v>270</v>
      </c>
      <c r="E19" s="28" t="s">
        <v>225</v>
      </c>
      <c r="F19" s="28">
        <f>[2]!Bar(E19,11)*100</f>
        <v>761.9999885559082</v>
      </c>
      <c r="G19" s="30">
        <v>14</v>
      </c>
      <c r="H19" s="28">
        <v>295</v>
      </c>
      <c r="I19" s="30">
        <v>710</v>
      </c>
      <c r="J19" s="28">
        <v>15</v>
      </c>
      <c r="K19" s="31">
        <f>[2]!RcCMaC(C19/10,D19/10,E19,G19*10,H19*10, I19/10, J19,3)</f>
        <v>97.667504552090051</v>
      </c>
      <c r="L19" s="31">
        <f>[2]!RcCMaC(C19/10,D19/10,E19,G19*10,H19*10,I19/10,J19,4)</f>
        <v>51.871608682605761</v>
      </c>
      <c r="M19" s="32">
        <f>[2]!RcCMaC(C19/10,D19/10,E19,G19*10,H19*10, I19/10, J19,0)*10</f>
        <v>92.885696887969971</v>
      </c>
      <c r="N19" s="33">
        <v>60</v>
      </c>
      <c r="O19" s="43" t="str">
        <f>IF(M19&gt;N19,"OK","NG")</f>
        <v>OK</v>
      </c>
    </row>
    <row r="20" spans="2:15" x14ac:dyDescent="0.15">
      <c r="B20" s="58" t="s">
        <v>190</v>
      </c>
      <c r="C20" s="54">
        <v>500</v>
      </c>
      <c r="D20" s="44">
        <v>270</v>
      </c>
      <c r="E20" s="45" t="s">
        <v>204</v>
      </c>
      <c r="F20" s="45">
        <f>[2]!Bar(E20,11)*100</f>
        <v>761.9999885559082</v>
      </c>
      <c r="G20" s="46">
        <v>14</v>
      </c>
      <c r="H20" s="45">
        <v>295</v>
      </c>
      <c r="I20" s="46">
        <v>472</v>
      </c>
      <c r="J20" s="45">
        <v>15</v>
      </c>
      <c r="K20" s="47">
        <f>[2]!RcCMaC(C20/10,D20/10,E20,G20*10,H20*10, I20/10, J20,3)</f>
        <v>83.403207717703722</v>
      </c>
      <c r="L20" s="47">
        <f>[2]!RcCMaC(C20/10,D20/10,E20,G20*10,H20*10,I20/10,J20,4)</f>
        <v>51.871608682605761</v>
      </c>
      <c r="M20" s="48">
        <f>[2]!RcCMaC(C20/10,D20/10,E20,G20*10,H20*10, I20/10, J20,0)*10</f>
        <v>78.367400169372559</v>
      </c>
      <c r="N20" s="49">
        <v>60</v>
      </c>
      <c r="O20" s="50" t="str">
        <f t="shared" si="0"/>
        <v>OK</v>
      </c>
    </row>
    <row r="21" spans="2:15" x14ac:dyDescent="0.15">
      <c r="I21">
        <f>MAX(I5:I20)</f>
        <v>762</v>
      </c>
    </row>
    <row r="24" spans="2:15" x14ac:dyDescent="0.15">
      <c r="K24" s="23"/>
    </row>
    <row r="25" spans="2:15" x14ac:dyDescent="0.15">
      <c r="K25" s="23"/>
    </row>
    <row r="26" spans="2:15" x14ac:dyDescent="0.15">
      <c r="K26" s="23"/>
    </row>
    <row r="27" spans="2:15" x14ac:dyDescent="0.15">
      <c r="K27" s="23"/>
    </row>
    <row r="28" spans="2:15" x14ac:dyDescent="0.15">
      <c r="D28" s="21" t="s">
        <v>207</v>
      </c>
      <c r="E28" t="s">
        <v>150</v>
      </c>
      <c r="I28" t="s">
        <v>208</v>
      </c>
      <c r="K28" s="23"/>
    </row>
    <row r="29" spans="2:15" x14ac:dyDescent="0.15">
      <c r="D29" s="21" t="s">
        <v>209</v>
      </c>
      <c r="E29" t="s">
        <v>151</v>
      </c>
      <c r="I29" t="s">
        <v>210</v>
      </c>
      <c r="K29" s="23"/>
    </row>
    <row r="30" spans="2:15" ht="13.2" x14ac:dyDescent="0.15">
      <c r="D30" s="21" t="s">
        <v>211</v>
      </c>
      <c r="E30" t="s">
        <v>152</v>
      </c>
      <c r="I30" t="s">
        <v>212</v>
      </c>
      <c r="K30" s="23"/>
    </row>
    <row r="31" spans="2:15" ht="13.2" x14ac:dyDescent="0.15">
      <c r="D31" s="21" t="s">
        <v>213</v>
      </c>
      <c r="E31" t="s">
        <v>153</v>
      </c>
      <c r="I31" t="s">
        <v>214</v>
      </c>
      <c r="K31" s="23"/>
    </row>
    <row r="32" spans="2:15" ht="13.2" x14ac:dyDescent="0.15">
      <c r="D32" s="21" t="s">
        <v>215</v>
      </c>
      <c r="E32" t="s">
        <v>154</v>
      </c>
      <c r="I32" t="s">
        <v>216</v>
      </c>
      <c r="K32" s="22"/>
    </row>
    <row r="33" spans="4:11" x14ac:dyDescent="0.15">
      <c r="D33" s="21" t="s">
        <v>217</v>
      </c>
      <c r="E33" t="s">
        <v>155</v>
      </c>
      <c r="I33" t="s">
        <v>218</v>
      </c>
      <c r="K33" s="22"/>
    </row>
    <row r="34" spans="4:11" x14ac:dyDescent="0.15">
      <c r="D34" s="21" t="s">
        <v>219</v>
      </c>
      <c r="E34" t="s">
        <v>156</v>
      </c>
    </row>
    <row r="35" spans="4:11" x14ac:dyDescent="0.15">
      <c r="D35" s="21" t="s">
        <v>220</v>
      </c>
      <c r="E35" t="s">
        <v>157</v>
      </c>
    </row>
    <row r="36" spans="4:11" x14ac:dyDescent="0.15">
      <c r="D36" s="21" t="s">
        <v>221</v>
      </c>
      <c r="E36" t="s">
        <v>158</v>
      </c>
    </row>
    <row r="37" spans="4:11" x14ac:dyDescent="0.15">
      <c r="D37" s="21" t="s">
        <v>222</v>
      </c>
      <c r="E37" t="s">
        <v>170</v>
      </c>
      <c r="I37" t="s">
        <v>223</v>
      </c>
    </row>
    <row r="38" spans="4:11" x14ac:dyDescent="0.15">
      <c r="D38" s="21" t="s">
        <v>224</v>
      </c>
      <c r="E38" t="s">
        <v>192</v>
      </c>
      <c r="I38" t="s">
        <v>223</v>
      </c>
    </row>
  </sheetData>
  <phoneticPr fontId="3"/>
  <pageMargins left="0.78740157480314965" right="0.5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B2:P42"/>
  <sheetViews>
    <sheetView workbookViewId="0">
      <selection activeCell="D10" sqref="D10"/>
    </sheetView>
  </sheetViews>
  <sheetFormatPr defaultColWidth="9.109375" defaultRowHeight="10.8" x14ac:dyDescent="0.15"/>
  <cols>
    <col min="1" max="1" width="2.6640625" style="4" customWidth="1"/>
    <col min="2" max="10" width="9.6640625" style="4" customWidth="1"/>
    <col min="11" max="16384" width="9.109375" style="4"/>
  </cols>
  <sheetData>
    <row r="2" spans="2:16" x14ac:dyDescent="0.15">
      <c r="B2" s="4" t="s">
        <v>53</v>
      </c>
    </row>
    <row r="4" spans="2:16" x14ac:dyDescent="0.15">
      <c r="B4" s="286" t="s">
        <v>2</v>
      </c>
      <c r="C4" s="286"/>
      <c r="D4" s="286" t="s">
        <v>3</v>
      </c>
      <c r="E4" s="286"/>
      <c r="F4" s="3" t="s">
        <v>12</v>
      </c>
      <c r="G4" s="3" t="s">
        <v>54</v>
      </c>
      <c r="H4" s="3" t="s">
        <v>55</v>
      </c>
      <c r="I4" s="3" t="s">
        <v>56</v>
      </c>
      <c r="J4" s="3" t="s">
        <v>57</v>
      </c>
      <c r="N4" s="5"/>
      <c r="P4" s="5"/>
    </row>
    <row r="5" spans="2:16" ht="12" customHeight="1" x14ac:dyDescent="0.15">
      <c r="B5" s="1" t="s">
        <v>13</v>
      </c>
      <c r="C5" s="1" t="s">
        <v>14</v>
      </c>
      <c r="D5" s="1" t="s">
        <v>13</v>
      </c>
      <c r="E5" s="1" t="s">
        <v>15</v>
      </c>
      <c r="F5" s="18" t="s">
        <v>16</v>
      </c>
      <c r="G5" s="18" t="s">
        <v>17</v>
      </c>
      <c r="H5" s="18" t="s">
        <v>17</v>
      </c>
      <c r="I5" s="18" t="s">
        <v>17</v>
      </c>
      <c r="J5" s="18" t="s">
        <v>17</v>
      </c>
      <c r="N5" s="5"/>
      <c r="P5" s="5"/>
    </row>
    <row r="6" spans="2:16" ht="12" x14ac:dyDescent="0.15">
      <c r="B6" s="1" t="s">
        <v>123</v>
      </c>
      <c r="C6" s="7">
        <f>[2]!Bar(B6,11)*100</f>
        <v>1547.9999542236328</v>
      </c>
      <c r="D6" s="1" t="s">
        <v>339</v>
      </c>
      <c r="E6" s="19">
        <f>[2]!Bar(D6,11)*100</f>
        <v>773.99997711181641</v>
      </c>
      <c r="F6" s="7">
        <f>+C6+E6</f>
        <v>2321.9999313354492</v>
      </c>
      <c r="G6" s="1">
        <v>50</v>
      </c>
      <c r="H6" s="1">
        <v>13</v>
      </c>
      <c r="I6" s="7">
        <f>[2]!Bar(B6,1)*10/2</f>
        <v>11.000000238418579</v>
      </c>
      <c r="J6" s="7">
        <f>IF(E6=0,0,MAX(25,[2]!Bar(B6,1)*10*1.5))</f>
        <v>33.000000715255737</v>
      </c>
      <c r="N6" s="5"/>
      <c r="P6" s="5"/>
    </row>
    <row r="7" spans="2:16" x14ac:dyDescent="0.15">
      <c r="B7" s="2" t="s">
        <v>41</v>
      </c>
      <c r="C7" s="2" t="s">
        <v>18</v>
      </c>
      <c r="D7" s="2" t="s">
        <v>19</v>
      </c>
      <c r="E7" s="2" t="s">
        <v>20</v>
      </c>
      <c r="F7" s="2" t="s">
        <v>21</v>
      </c>
      <c r="G7" s="2" t="s">
        <v>22</v>
      </c>
      <c r="H7" s="2" t="s">
        <v>23</v>
      </c>
      <c r="I7" s="8"/>
      <c r="J7" s="8"/>
      <c r="N7" s="5"/>
      <c r="P7" s="5"/>
    </row>
    <row r="8" spans="2:16" ht="12.6" x14ac:dyDescent="0.15">
      <c r="B8" s="6" t="s">
        <v>24</v>
      </c>
      <c r="C8" s="6" t="s">
        <v>17</v>
      </c>
      <c r="D8" s="6" t="s">
        <v>17</v>
      </c>
      <c r="E8" s="6" t="s">
        <v>17</v>
      </c>
      <c r="F8" s="6" t="s">
        <v>17</v>
      </c>
      <c r="G8" s="6" t="s">
        <v>24</v>
      </c>
      <c r="H8" s="6" t="s">
        <v>25</v>
      </c>
      <c r="I8" s="9"/>
      <c r="J8" s="9"/>
      <c r="N8" s="5"/>
      <c r="P8" s="5"/>
    </row>
    <row r="9" spans="2:16" x14ac:dyDescent="0.15">
      <c r="B9" s="1">
        <v>7</v>
      </c>
      <c r="C9" s="7">
        <f>SUM(G6:J6)</f>
        <v>107.00000095367432</v>
      </c>
      <c r="D9" s="1">
        <v>600</v>
      </c>
      <c r="E9" s="7">
        <f>D9-C9</f>
        <v>492.99999904632568</v>
      </c>
      <c r="F9" s="7">
        <f>E9*7/8</f>
        <v>431.37499916553497</v>
      </c>
      <c r="G9" s="1">
        <v>220</v>
      </c>
      <c r="H9" s="7">
        <f>F6*G9*F9/1000/1000</f>
        <v>220.36359805728438</v>
      </c>
      <c r="I9" s="10"/>
      <c r="J9" s="10"/>
      <c r="N9" s="5"/>
      <c r="P9" s="5"/>
    </row>
    <row r="10" spans="2:16" x14ac:dyDescent="0.15">
      <c r="N10" s="5"/>
      <c r="P10" s="5"/>
    </row>
    <row r="11" spans="2:16" x14ac:dyDescent="0.15">
      <c r="B11" s="12" t="s">
        <v>58</v>
      </c>
      <c r="C11" s="4" t="s">
        <v>59</v>
      </c>
      <c r="H11" s="4" t="s">
        <v>60</v>
      </c>
      <c r="N11" s="5"/>
      <c r="P11" s="5"/>
    </row>
    <row r="12" spans="2:16" x14ac:dyDescent="0.15">
      <c r="B12" s="12" t="s">
        <v>61</v>
      </c>
      <c r="C12" s="4" t="s">
        <v>62</v>
      </c>
      <c r="N12" s="5"/>
      <c r="P12" s="5"/>
    </row>
    <row r="13" spans="2:16" x14ac:dyDescent="0.15">
      <c r="B13" s="12" t="s">
        <v>9</v>
      </c>
      <c r="C13" s="4" t="s">
        <v>63</v>
      </c>
      <c r="H13" s="4" t="s">
        <v>64</v>
      </c>
      <c r="N13" s="5"/>
      <c r="P13" s="5"/>
    </row>
    <row r="14" spans="2:16" x14ac:dyDescent="0.15">
      <c r="B14" s="12" t="s">
        <v>65</v>
      </c>
      <c r="C14" s="4" t="s">
        <v>67</v>
      </c>
      <c r="N14" s="5"/>
      <c r="P14" s="5"/>
    </row>
    <row r="15" spans="2:16" x14ac:dyDescent="0.15">
      <c r="N15" s="5"/>
      <c r="P15" s="5"/>
    </row>
    <row r="16" spans="2:16" x14ac:dyDescent="0.15">
      <c r="B16" s="4" t="s">
        <v>5</v>
      </c>
      <c r="N16" s="5"/>
      <c r="P16" s="5"/>
    </row>
    <row r="17" spans="2:16" x14ac:dyDescent="0.15">
      <c r="N17" s="5"/>
      <c r="P17" s="5"/>
    </row>
    <row r="18" spans="2:16" x14ac:dyDescent="0.15">
      <c r="B18" s="2" t="s">
        <v>26</v>
      </c>
      <c r="C18" s="2" t="s">
        <v>27</v>
      </c>
      <c r="D18" s="2" t="s">
        <v>28</v>
      </c>
      <c r="E18" s="2" t="s">
        <v>29</v>
      </c>
      <c r="F18" s="2" t="s">
        <v>30</v>
      </c>
      <c r="G18" s="274" t="s">
        <v>31</v>
      </c>
      <c r="H18" s="292" t="s">
        <v>32</v>
      </c>
      <c r="I18" s="2" t="s">
        <v>42</v>
      </c>
      <c r="J18" s="2" t="s">
        <v>43</v>
      </c>
      <c r="N18" s="5"/>
      <c r="P18" s="5"/>
    </row>
    <row r="19" spans="2:16" ht="12.6" x14ac:dyDescent="0.15">
      <c r="B19" s="6" t="s">
        <v>33</v>
      </c>
      <c r="C19" s="6" t="s">
        <v>33</v>
      </c>
      <c r="D19" s="6" t="s">
        <v>33</v>
      </c>
      <c r="E19" s="6" t="s">
        <v>34</v>
      </c>
      <c r="F19" s="6" t="s">
        <v>49</v>
      </c>
      <c r="G19" s="275"/>
      <c r="H19" s="275"/>
      <c r="I19" s="6" t="s">
        <v>49</v>
      </c>
      <c r="J19" s="6" t="s">
        <v>49</v>
      </c>
      <c r="N19" s="5"/>
      <c r="P19" s="5"/>
    </row>
    <row r="20" spans="2:16" x14ac:dyDescent="0.15">
      <c r="B20" s="1">
        <v>1800</v>
      </c>
      <c r="C20" s="7">
        <f>E9</f>
        <v>492.99999904632568</v>
      </c>
      <c r="D20" s="1">
        <v>250</v>
      </c>
      <c r="E20" s="7">
        <f>F6</f>
        <v>2321.9999313354492</v>
      </c>
      <c r="F20" s="11">
        <f>E20/B20/C20*100</f>
        <v>0.26166327877250362</v>
      </c>
      <c r="G20" s="1">
        <v>15</v>
      </c>
      <c r="H20" s="11">
        <f>D20/C20</f>
        <v>0.50709939246167879</v>
      </c>
      <c r="I20" s="11">
        <f>H20^2/(2*G20*(1-H20))*100</f>
        <v>1.7390239864603352</v>
      </c>
      <c r="J20" s="11">
        <f>0.5*(H20*(2-H20)*B9/G9-H20^2/G20)*100</f>
        <v>0.34723014273600489</v>
      </c>
      <c r="N20" s="5"/>
      <c r="P20" s="5"/>
    </row>
    <row r="21" spans="2:16" x14ac:dyDescent="0.15">
      <c r="N21" s="5"/>
      <c r="P21" s="5"/>
    </row>
    <row r="22" spans="2:16" x14ac:dyDescent="0.15">
      <c r="C22" s="12" t="s">
        <v>4</v>
      </c>
      <c r="D22" s="16" t="str">
        <f>IF(F20&lt;I20,"&lt;","-")</f>
        <v>&lt;</v>
      </c>
      <c r="E22" s="17" t="s">
        <v>50</v>
      </c>
      <c r="F22" s="4" t="s">
        <v>51</v>
      </c>
      <c r="N22" s="5"/>
      <c r="P22" s="5"/>
    </row>
    <row r="23" spans="2:16" x14ac:dyDescent="0.15">
      <c r="C23" s="12" t="s">
        <v>4</v>
      </c>
      <c r="D23" s="16" t="str">
        <f>IF(F20&lt;I20,"&lt;","-")</f>
        <v>&lt;</v>
      </c>
      <c r="E23" s="17" t="s">
        <v>52</v>
      </c>
      <c r="F23" s="4" t="s">
        <v>51</v>
      </c>
      <c r="N23" s="5"/>
      <c r="P23" s="5"/>
    </row>
    <row r="24" spans="2:16" x14ac:dyDescent="0.15">
      <c r="N24" s="5"/>
      <c r="P24" s="5"/>
    </row>
    <row r="25" spans="2:16" x14ac:dyDescent="0.15">
      <c r="B25" s="12" t="s">
        <v>35</v>
      </c>
      <c r="C25" s="4" t="s">
        <v>6</v>
      </c>
      <c r="N25" s="5"/>
      <c r="P25" s="5"/>
    </row>
    <row r="26" spans="2:16" x14ac:dyDescent="0.15">
      <c r="B26" s="12" t="s">
        <v>36</v>
      </c>
      <c r="C26" s="4" t="s">
        <v>10</v>
      </c>
      <c r="N26" s="5"/>
      <c r="P26" s="5"/>
    </row>
    <row r="27" spans="2:16" x14ac:dyDescent="0.15">
      <c r="B27" s="12" t="s">
        <v>37</v>
      </c>
      <c r="C27" s="4" t="s">
        <v>7</v>
      </c>
      <c r="N27" s="5"/>
      <c r="P27" s="5"/>
    </row>
    <row r="28" spans="2:16" x14ac:dyDescent="0.15">
      <c r="B28" s="12" t="s">
        <v>38</v>
      </c>
      <c r="C28" s="4" t="s">
        <v>8</v>
      </c>
      <c r="N28" s="5"/>
      <c r="P28" s="5"/>
    </row>
    <row r="29" spans="2:16" x14ac:dyDescent="0.15">
      <c r="B29" s="12" t="s">
        <v>39</v>
      </c>
      <c r="C29" s="4" t="s">
        <v>11</v>
      </c>
      <c r="E29" s="13" t="s">
        <v>40</v>
      </c>
      <c r="N29" s="5"/>
      <c r="P29" s="5"/>
    </row>
    <row r="30" spans="2:16" x14ac:dyDescent="0.15">
      <c r="B30" s="12" t="s">
        <v>44</v>
      </c>
      <c r="C30" s="4" t="s">
        <v>47</v>
      </c>
      <c r="H30" s="4" t="s">
        <v>66</v>
      </c>
      <c r="N30" s="5"/>
      <c r="P30" s="5"/>
    </row>
    <row r="31" spans="2:16" x14ac:dyDescent="0.15">
      <c r="B31" s="12" t="s">
        <v>45</v>
      </c>
      <c r="C31" s="4" t="s">
        <v>46</v>
      </c>
      <c r="H31" s="4" t="s">
        <v>48</v>
      </c>
      <c r="N31" s="5"/>
      <c r="P31" s="5"/>
    </row>
    <row r="32" spans="2:16" x14ac:dyDescent="0.15">
      <c r="N32" s="5"/>
      <c r="P32" s="5"/>
    </row>
    <row r="33" spans="5:16" x14ac:dyDescent="0.15">
      <c r="N33" s="5"/>
      <c r="P33" s="5"/>
    </row>
    <row r="34" spans="5:16" x14ac:dyDescent="0.15">
      <c r="N34" s="5"/>
      <c r="P34" s="5"/>
    </row>
    <row r="35" spans="5:16" x14ac:dyDescent="0.15">
      <c r="E35" s="5"/>
      <c r="F35" s="14"/>
      <c r="H35" s="15"/>
      <c r="I35" s="15"/>
      <c r="N35" s="5"/>
      <c r="P35" s="5"/>
    </row>
    <row r="36" spans="5:16" x14ac:dyDescent="0.15">
      <c r="E36" s="5"/>
      <c r="F36" s="14"/>
      <c r="H36" s="15"/>
      <c r="I36" s="15"/>
      <c r="N36" s="5"/>
      <c r="P36" s="5"/>
    </row>
    <row r="37" spans="5:16" x14ac:dyDescent="0.15">
      <c r="E37" s="5"/>
      <c r="F37" s="14"/>
      <c r="H37" s="15"/>
      <c r="I37" s="15"/>
      <c r="N37" s="5"/>
      <c r="P37" s="5"/>
    </row>
    <row r="38" spans="5:16" x14ac:dyDescent="0.15">
      <c r="E38" s="5"/>
      <c r="F38" s="14"/>
      <c r="H38" s="15"/>
      <c r="I38" s="15"/>
      <c r="N38" s="5"/>
      <c r="P38" s="5"/>
    </row>
    <row r="39" spans="5:16" x14ac:dyDescent="0.15">
      <c r="E39" s="5"/>
      <c r="F39" s="14"/>
      <c r="H39" s="15"/>
      <c r="I39" s="15"/>
      <c r="N39" s="5"/>
      <c r="P39" s="5"/>
    </row>
    <row r="40" spans="5:16" x14ac:dyDescent="0.15">
      <c r="E40" s="5"/>
      <c r="F40" s="14"/>
      <c r="H40" s="15"/>
      <c r="I40" s="15"/>
    </row>
    <row r="42" spans="5:16" x14ac:dyDescent="0.15">
      <c r="N42" s="5"/>
      <c r="P42" s="5"/>
    </row>
  </sheetData>
  <mergeCells count="4">
    <mergeCell ref="G18:G19"/>
    <mergeCell ref="H18:H19"/>
    <mergeCell ref="B4:C4"/>
    <mergeCell ref="D4:E4"/>
  </mergeCells>
  <phoneticPr fontId="3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B2:P92"/>
  <sheetViews>
    <sheetView topLeftCell="A61" workbookViewId="0">
      <selection activeCell="D7" sqref="D7"/>
    </sheetView>
  </sheetViews>
  <sheetFormatPr defaultColWidth="9.109375" defaultRowHeight="10.8" x14ac:dyDescent="0.15"/>
  <cols>
    <col min="1" max="1" width="2.6640625" style="4" customWidth="1"/>
    <col min="2" max="10" width="9.6640625" style="4" customWidth="1"/>
    <col min="11" max="16384" width="9.109375" style="4"/>
  </cols>
  <sheetData>
    <row r="2" spans="2:16" x14ac:dyDescent="0.15">
      <c r="B2" s="4" t="s">
        <v>53</v>
      </c>
    </row>
    <row r="4" spans="2:16" x14ac:dyDescent="0.15">
      <c r="B4" s="286" t="s">
        <v>2</v>
      </c>
      <c r="C4" s="286"/>
      <c r="D4" s="286" t="s">
        <v>3</v>
      </c>
      <c r="E4" s="286"/>
      <c r="F4" s="3" t="s">
        <v>68</v>
      </c>
      <c r="G4" s="3" t="s">
        <v>69</v>
      </c>
      <c r="H4" s="3" t="s">
        <v>55</v>
      </c>
      <c r="I4" s="3" t="s">
        <v>56</v>
      </c>
      <c r="J4" s="3" t="s">
        <v>57</v>
      </c>
      <c r="N4" s="5"/>
      <c r="P4" s="5"/>
    </row>
    <row r="5" spans="2:16" ht="12" customHeight="1" x14ac:dyDescent="0.15">
      <c r="B5" s="1" t="s">
        <v>70</v>
      </c>
      <c r="C5" s="1" t="s">
        <v>71</v>
      </c>
      <c r="D5" s="1" t="s">
        <v>70</v>
      </c>
      <c r="E5" s="1" t="s">
        <v>72</v>
      </c>
      <c r="F5" s="18" t="s">
        <v>73</v>
      </c>
      <c r="G5" s="18" t="s">
        <v>74</v>
      </c>
      <c r="H5" s="18" t="s">
        <v>74</v>
      </c>
      <c r="I5" s="18" t="s">
        <v>74</v>
      </c>
      <c r="J5" s="18" t="s">
        <v>74</v>
      </c>
      <c r="N5" s="5"/>
      <c r="P5" s="5"/>
    </row>
    <row r="6" spans="2:16" ht="12" x14ac:dyDescent="0.15">
      <c r="B6" s="1" t="s">
        <v>123</v>
      </c>
      <c r="C6" s="7">
        <f>[2]!Bar(B6,11)*100</f>
        <v>1547.9999542236328</v>
      </c>
      <c r="D6" s="1" t="s">
        <v>339</v>
      </c>
      <c r="E6" s="19">
        <f>[2]!Bar(D6,11)*100</f>
        <v>773.99997711181641</v>
      </c>
      <c r="F6" s="7">
        <f>+C6+E6</f>
        <v>2321.9999313354492</v>
      </c>
      <c r="G6" s="1">
        <v>50</v>
      </c>
      <c r="H6" s="1">
        <v>13</v>
      </c>
      <c r="I6" s="7">
        <f>[2]!Bar(B6,1)*10/2</f>
        <v>11.000000238418579</v>
      </c>
      <c r="J6" s="7">
        <f>IF(E6=0,0,MAX(25,[2]!Bar(B6,1)*10*1.5))</f>
        <v>33.000000715255737</v>
      </c>
      <c r="N6" s="5"/>
      <c r="P6" s="5"/>
    </row>
    <row r="7" spans="2:16" x14ac:dyDescent="0.15">
      <c r="B7" s="2" t="s">
        <v>75</v>
      </c>
      <c r="C7" s="2" t="s">
        <v>76</v>
      </c>
      <c r="D7" s="2" t="s">
        <v>113</v>
      </c>
      <c r="E7" s="2" t="s">
        <v>77</v>
      </c>
      <c r="F7" s="2" t="s">
        <v>78</v>
      </c>
      <c r="G7" s="2" t="s">
        <v>79</v>
      </c>
      <c r="H7" s="2" t="s">
        <v>80</v>
      </c>
      <c r="I7" s="8"/>
      <c r="J7" s="8"/>
      <c r="N7" s="5"/>
      <c r="P7" s="5"/>
    </row>
    <row r="8" spans="2:16" ht="12.6" x14ac:dyDescent="0.15">
      <c r="B8" s="6" t="s">
        <v>81</v>
      </c>
      <c r="C8" s="6" t="s">
        <v>74</v>
      </c>
      <c r="D8" s="6" t="s">
        <v>74</v>
      </c>
      <c r="E8" s="6" t="s">
        <v>74</v>
      </c>
      <c r="F8" s="6" t="s">
        <v>74</v>
      </c>
      <c r="G8" s="6" t="s">
        <v>81</v>
      </c>
      <c r="H8" s="6" t="s">
        <v>82</v>
      </c>
      <c r="I8" s="9"/>
      <c r="J8" s="9"/>
      <c r="N8" s="5"/>
      <c r="P8" s="5"/>
    </row>
    <row r="9" spans="2:16" x14ac:dyDescent="0.15">
      <c r="B9" s="1">
        <v>7</v>
      </c>
      <c r="C9" s="7">
        <f>SUM(G6:J6)</f>
        <v>107.00000095367432</v>
      </c>
      <c r="D9" s="1">
        <v>600</v>
      </c>
      <c r="E9" s="7">
        <f>D9-C9</f>
        <v>492.99999904632568</v>
      </c>
      <c r="F9" s="7">
        <f>E9*7/8</f>
        <v>431.37499916553497</v>
      </c>
      <c r="G9" s="1">
        <v>220</v>
      </c>
      <c r="H9" s="7">
        <f>F6*G9*F9/1000/1000</f>
        <v>220.36359805728438</v>
      </c>
      <c r="I9" s="10"/>
      <c r="J9" s="10"/>
      <c r="N9" s="5"/>
      <c r="P9" s="5"/>
    </row>
    <row r="10" spans="2:16" x14ac:dyDescent="0.15">
      <c r="N10" s="5"/>
      <c r="P10" s="5"/>
    </row>
    <row r="11" spans="2:16" x14ac:dyDescent="0.15">
      <c r="B11" s="12" t="s">
        <v>83</v>
      </c>
      <c r="C11" s="4" t="s">
        <v>59</v>
      </c>
      <c r="H11" s="4" t="s">
        <v>84</v>
      </c>
      <c r="N11" s="5"/>
      <c r="P11" s="5"/>
    </row>
    <row r="12" spans="2:16" x14ac:dyDescent="0.15">
      <c r="B12" s="12" t="s">
        <v>85</v>
      </c>
      <c r="C12" s="4" t="s">
        <v>62</v>
      </c>
      <c r="N12" s="5"/>
      <c r="P12" s="5"/>
    </row>
    <row r="13" spans="2:16" x14ac:dyDescent="0.15">
      <c r="B13" s="12" t="s">
        <v>86</v>
      </c>
      <c r="C13" s="4" t="s">
        <v>63</v>
      </c>
      <c r="H13" s="4" t="s">
        <v>87</v>
      </c>
      <c r="N13" s="5"/>
      <c r="P13" s="5"/>
    </row>
    <row r="14" spans="2:16" x14ac:dyDescent="0.15">
      <c r="B14" s="12" t="s">
        <v>88</v>
      </c>
      <c r="C14" s="4" t="s">
        <v>89</v>
      </c>
      <c r="N14" s="5"/>
      <c r="P14" s="5"/>
    </row>
    <row r="15" spans="2:16" x14ac:dyDescent="0.15">
      <c r="N15" s="5"/>
      <c r="P15" s="5"/>
    </row>
    <row r="16" spans="2:16" x14ac:dyDescent="0.15">
      <c r="B16" s="4" t="s">
        <v>5</v>
      </c>
      <c r="N16" s="5"/>
      <c r="P16" s="5"/>
    </row>
    <row r="17" spans="2:16" x14ac:dyDescent="0.15">
      <c r="N17" s="5"/>
      <c r="P17" s="5"/>
    </row>
    <row r="18" spans="2:16" x14ac:dyDescent="0.15">
      <c r="B18" s="2" t="s">
        <v>90</v>
      </c>
      <c r="C18" s="2" t="s">
        <v>91</v>
      </c>
      <c r="D18" s="2" t="s">
        <v>92</v>
      </c>
      <c r="E18" s="2" t="s">
        <v>93</v>
      </c>
      <c r="F18" s="2" t="s">
        <v>94</v>
      </c>
      <c r="G18" s="274" t="s">
        <v>95</v>
      </c>
      <c r="H18" s="292" t="s">
        <v>96</v>
      </c>
      <c r="I18" s="2" t="s">
        <v>97</v>
      </c>
      <c r="J18" s="2" t="s">
        <v>98</v>
      </c>
      <c r="N18" s="5"/>
      <c r="P18" s="5"/>
    </row>
    <row r="19" spans="2:16" ht="12.6" x14ac:dyDescent="0.15">
      <c r="B19" s="6" t="s">
        <v>99</v>
      </c>
      <c r="C19" s="6" t="s">
        <v>99</v>
      </c>
      <c r="D19" s="6" t="s">
        <v>99</v>
      </c>
      <c r="E19" s="6" t="s">
        <v>100</v>
      </c>
      <c r="F19" s="6" t="s">
        <v>101</v>
      </c>
      <c r="G19" s="275"/>
      <c r="H19" s="275"/>
      <c r="I19" s="6" t="s">
        <v>101</v>
      </c>
      <c r="J19" s="6" t="s">
        <v>101</v>
      </c>
      <c r="N19" s="5"/>
      <c r="P19" s="5"/>
    </row>
    <row r="20" spans="2:16" x14ac:dyDescent="0.15">
      <c r="B20" s="1">
        <v>1800</v>
      </c>
      <c r="C20" s="7">
        <f>E9</f>
        <v>492.99999904632568</v>
      </c>
      <c r="D20" s="1">
        <v>250</v>
      </c>
      <c r="E20" s="7">
        <f>F6</f>
        <v>2321.9999313354492</v>
      </c>
      <c r="F20" s="11">
        <f>E20/B20/C20*100</f>
        <v>0.26166327877250362</v>
      </c>
      <c r="G20" s="1">
        <v>15</v>
      </c>
      <c r="H20" s="11">
        <f>D20/C20</f>
        <v>0.50709939246167879</v>
      </c>
      <c r="I20" s="11">
        <f>H20^2/(2*G20*(1-H20))*100</f>
        <v>1.7390239864603352</v>
      </c>
      <c r="J20" s="11">
        <f>0.5*(H20*(2-H20)*B9/G9-H20^2/G20)*100</f>
        <v>0.34723014273600489</v>
      </c>
      <c r="N20" s="5"/>
      <c r="P20" s="5"/>
    </row>
    <row r="21" spans="2:16" x14ac:dyDescent="0.15">
      <c r="N21" s="5"/>
      <c r="P21" s="5"/>
    </row>
    <row r="22" spans="2:16" x14ac:dyDescent="0.15">
      <c r="C22" s="12" t="s">
        <v>94</v>
      </c>
      <c r="D22" s="16" t="str">
        <f>IF(F20&lt;I20,"&lt;","-")</f>
        <v>&lt;</v>
      </c>
      <c r="E22" s="17" t="s">
        <v>102</v>
      </c>
      <c r="F22" s="4" t="s">
        <v>51</v>
      </c>
      <c r="N22" s="5"/>
      <c r="P22" s="5"/>
    </row>
    <row r="23" spans="2:16" x14ac:dyDescent="0.15">
      <c r="C23" s="12" t="s">
        <v>103</v>
      </c>
      <c r="D23" s="16" t="str">
        <f>IF(F20&lt;I20,"&lt;","-")</f>
        <v>&lt;</v>
      </c>
      <c r="E23" s="17" t="s">
        <v>52</v>
      </c>
      <c r="F23" s="4" t="s">
        <v>51</v>
      </c>
      <c r="N23" s="5"/>
      <c r="P23" s="5"/>
    </row>
    <row r="24" spans="2:16" x14ac:dyDescent="0.15">
      <c r="N24" s="5"/>
      <c r="P24" s="5"/>
    </row>
    <row r="25" spans="2:16" x14ac:dyDescent="0.15">
      <c r="B25" s="12" t="s">
        <v>104</v>
      </c>
      <c r="C25" s="4" t="s">
        <v>6</v>
      </c>
      <c r="N25" s="5"/>
      <c r="P25" s="5"/>
    </row>
    <row r="26" spans="2:16" x14ac:dyDescent="0.15">
      <c r="B26" s="12" t="s">
        <v>9</v>
      </c>
      <c r="C26" s="4" t="s">
        <v>10</v>
      </c>
      <c r="N26" s="5"/>
      <c r="P26" s="5"/>
    </row>
    <row r="27" spans="2:16" x14ac:dyDescent="0.15">
      <c r="B27" s="12" t="s">
        <v>105</v>
      </c>
      <c r="C27" s="4" t="s">
        <v>7</v>
      </c>
      <c r="N27" s="5"/>
      <c r="P27" s="5"/>
    </row>
    <row r="28" spans="2:16" x14ac:dyDescent="0.15">
      <c r="B28" s="12" t="s">
        <v>106</v>
      </c>
      <c r="C28" s="4" t="s">
        <v>8</v>
      </c>
      <c r="N28" s="5"/>
      <c r="P28" s="5"/>
    </row>
    <row r="29" spans="2:16" x14ac:dyDescent="0.15">
      <c r="B29" s="12" t="s">
        <v>107</v>
      </c>
      <c r="C29" s="4" t="s">
        <v>11</v>
      </c>
      <c r="E29" s="13" t="s">
        <v>108</v>
      </c>
      <c r="N29" s="5"/>
      <c r="P29" s="5"/>
    </row>
    <row r="30" spans="2:16" x14ac:dyDescent="0.15">
      <c r="B30" s="12" t="s">
        <v>109</v>
      </c>
      <c r="C30" s="4" t="s">
        <v>47</v>
      </c>
      <c r="H30" s="4" t="s">
        <v>110</v>
      </c>
      <c r="N30" s="5"/>
      <c r="P30" s="5"/>
    </row>
    <row r="31" spans="2:16" x14ac:dyDescent="0.15">
      <c r="B31" s="12" t="s">
        <v>111</v>
      </c>
      <c r="C31" s="4" t="s">
        <v>46</v>
      </c>
      <c r="H31" s="4" t="s">
        <v>112</v>
      </c>
      <c r="N31" s="5"/>
      <c r="P31" s="5"/>
    </row>
    <row r="32" spans="2:16" x14ac:dyDescent="0.15">
      <c r="N32" s="5"/>
      <c r="P32" s="5"/>
    </row>
    <row r="33" spans="2:16" x14ac:dyDescent="0.15">
      <c r="N33" s="5"/>
      <c r="P33" s="5"/>
    </row>
    <row r="34" spans="2:16" x14ac:dyDescent="0.15">
      <c r="N34" s="5"/>
      <c r="P34" s="5"/>
    </row>
    <row r="35" spans="2:16" x14ac:dyDescent="0.15">
      <c r="H35" s="15"/>
      <c r="I35" s="15"/>
      <c r="N35" s="5"/>
      <c r="P35" s="5"/>
    </row>
    <row r="36" spans="2:16" x14ac:dyDescent="0.15">
      <c r="H36" s="15"/>
      <c r="I36" s="15"/>
      <c r="N36" s="5"/>
      <c r="P36" s="5"/>
    </row>
    <row r="37" spans="2:16" x14ac:dyDescent="0.15">
      <c r="H37" s="15"/>
      <c r="I37" s="15"/>
      <c r="N37" s="5"/>
      <c r="P37" s="5"/>
    </row>
    <row r="38" spans="2:16" x14ac:dyDescent="0.15">
      <c r="E38" s="5"/>
      <c r="F38" s="14"/>
      <c r="H38" s="15"/>
      <c r="I38" s="15"/>
      <c r="N38" s="5"/>
      <c r="P38" s="5"/>
    </row>
    <row r="39" spans="2:16" ht="12" x14ac:dyDescent="0.15">
      <c r="B39" s="287" t="s">
        <v>116</v>
      </c>
      <c r="C39" s="288"/>
      <c r="D39" s="288"/>
      <c r="E39" s="288"/>
      <c r="F39" s="288"/>
      <c r="G39" s="288"/>
      <c r="H39" s="288"/>
      <c r="I39" s="288"/>
      <c r="J39" s="288"/>
      <c r="N39" s="5"/>
      <c r="P39" s="5"/>
    </row>
    <row r="40" spans="2:16" x14ac:dyDescent="0.15">
      <c r="B40" s="286" t="s">
        <v>2</v>
      </c>
      <c r="C40" s="286"/>
      <c r="D40" s="286" t="s">
        <v>3</v>
      </c>
      <c r="E40" s="286"/>
      <c r="F40" s="3" t="s">
        <v>68</v>
      </c>
      <c r="G40" s="3" t="s">
        <v>69</v>
      </c>
      <c r="H40" s="3" t="s">
        <v>55</v>
      </c>
      <c r="I40" s="3" t="s">
        <v>56</v>
      </c>
      <c r="J40" s="3" t="s">
        <v>115</v>
      </c>
    </row>
    <row r="41" spans="2:16" ht="12.6" x14ac:dyDescent="0.15">
      <c r="B41" s="1" t="s">
        <v>70</v>
      </c>
      <c r="C41" s="1" t="s">
        <v>71</v>
      </c>
      <c r="D41" s="1" t="s">
        <v>70</v>
      </c>
      <c r="E41" s="1" t="s">
        <v>72</v>
      </c>
      <c r="F41" s="18" t="s">
        <v>73</v>
      </c>
      <c r="G41" s="18" t="s">
        <v>74</v>
      </c>
      <c r="H41" s="18" t="s">
        <v>74</v>
      </c>
      <c r="I41" s="18" t="s">
        <v>74</v>
      </c>
      <c r="J41" s="18" t="s">
        <v>74</v>
      </c>
    </row>
    <row r="42" spans="2:16" ht="12" x14ac:dyDescent="0.15">
      <c r="B42" s="1" t="s">
        <v>126</v>
      </c>
      <c r="C42" s="7">
        <f>[2]!Bar(B42,11)*100</f>
        <v>2535.0000381469727</v>
      </c>
      <c r="D42" s="1" t="s">
        <v>125</v>
      </c>
      <c r="E42" s="19">
        <f>[2]!Bar(D42,11)*100</f>
        <v>0</v>
      </c>
      <c r="F42" s="7">
        <f>+C42+E42</f>
        <v>2535.0000381469727</v>
      </c>
      <c r="G42" s="1">
        <v>50</v>
      </c>
      <c r="H42" s="1">
        <v>10</v>
      </c>
      <c r="I42" s="7">
        <f>[2]!Bar(B42,1)*10/2</f>
        <v>12.5</v>
      </c>
      <c r="J42" s="7">
        <f>IF(E42=0,0,MAX(25,[2]!Bar(B42,1)*10*1.5))+G42+H42+I42</f>
        <v>72.5</v>
      </c>
      <c r="N42" s="5"/>
      <c r="P42" s="5"/>
    </row>
    <row r="43" spans="2:16" ht="12" x14ac:dyDescent="0.15">
      <c r="B43" s="289" t="s">
        <v>117</v>
      </c>
      <c r="C43" s="290"/>
      <c r="D43" s="290"/>
      <c r="E43" s="290"/>
      <c r="F43" s="290"/>
      <c r="G43" s="290"/>
      <c r="H43" s="290"/>
      <c r="I43" s="290"/>
      <c r="J43" s="291"/>
      <c r="N43" s="5"/>
      <c r="P43" s="5"/>
    </row>
    <row r="44" spans="2:16" x14ac:dyDescent="0.15">
      <c r="B44" s="286" t="s">
        <v>2</v>
      </c>
      <c r="C44" s="286"/>
      <c r="D44" s="286" t="s">
        <v>3</v>
      </c>
      <c r="E44" s="286"/>
      <c r="F44" s="3" t="s">
        <v>68</v>
      </c>
      <c r="G44" s="3" t="s">
        <v>69</v>
      </c>
      <c r="H44" s="3" t="s">
        <v>55</v>
      </c>
      <c r="I44" s="3" t="s">
        <v>56</v>
      </c>
      <c r="J44" s="3" t="s">
        <v>118</v>
      </c>
    </row>
    <row r="45" spans="2:16" ht="12.6" x14ac:dyDescent="0.15">
      <c r="B45" s="1" t="s">
        <v>70</v>
      </c>
      <c r="C45" s="1" t="s">
        <v>71</v>
      </c>
      <c r="D45" s="1" t="s">
        <v>70</v>
      </c>
      <c r="E45" s="1" t="s">
        <v>72</v>
      </c>
      <c r="F45" s="18" t="s">
        <v>73</v>
      </c>
      <c r="G45" s="18" t="s">
        <v>74</v>
      </c>
      <c r="H45" s="18" t="s">
        <v>74</v>
      </c>
      <c r="I45" s="18" t="s">
        <v>74</v>
      </c>
      <c r="J45" s="18" t="s">
        <v>74</v>
      </c>
    </row>
    <row r="46" spans="2:16" ht="12" x14ac:dyDescent="0.15">
      <c r="B46" s="1" t="s">
        <v>126</v>
      </c>
      <c r="C46" s="7">
        <f>[2]!Bar(B46,11)*100</f>
        <v>2535.0000381469727</v>
      </c>
      <c r="D46" s="1" t="s">
        <v>125</v>
      </c>
      <c r="E46" s="19">
        <f>[2]!Bar(D46,11)*100</f>
        <v>0</v>
      </c>
      <c r="F46" s="7">
        <f>+C46+E46</f>
        <v>2535.0000381469727</v>
      </c>
      <c r="G46" s="1">
        <v>56</v>
      </c>
      <c r="H46" s="1">
        <v>10</v>
      </c>
      <c r="I46" s="7">
        <f>[2]!Bar(B46,1)*10/2</f>
        <v>12.5</v>
      </c>
      <c r="J46" s="7">
        <f>IF(E46=0,0,MAX(25,[2]!Bar(B46,1)*10*1.5))+G46+H46+I46</f>
        <v>78.5</v>
      </c>
    </row>
    <row r="49" spans="2:10" x14ac:dyDescent="0.15">
      <c r="B49" s="2" t="s">
        <v>79</v>
      </c>
      <c r="C49" s="2" t="s">
        <v>75</v>
      </c>
      <c r="D49" s="274" t="s">
        <v>95</v>
      </c>
      <c r="E49" s="5" t="s">
        <v>114</v>
      </c>
      <c r="F49" s="2" t="s">
        <v>113</v>
      </c>
      <c r="G49" s="2" t="s">
        <v>77</v>
      </c>
      <c r="H49" s="3" t="s">
        <v>119</v>
      </c>
      <c r="I49" s="2" t="s">
        <v>120</v>
      </c>
      <c r="J49" s="4" t="s">
        <v>121</v>
      </c>
    </row>
    <row r="50" spans="2:10" ht="12.6" x14ac:dyDescent="0.15">
      <c r="B50" s="6" t="s">
        <v>81</v>
      </c>
      <c r="C50" s="6" t="s">
        <v>81</v>
      </c>
      <c r="D50" s="275"/>
      <c r="E50" s="5"/>
      <c r="F50" s="6" t="s">
        <v>74</v>
      </c>
      <c r="G50" s="6" t="s">
        <v>74</v>
      </c>
      <c r="H50" s="18" t="s">
        <v>74</v>
      </c>
      <c r="I50" s="6"/>
    </row>
    <row r="51" spans="2:10" x14ac:dyDescent="0.15">
      <c r="B51" s="1">
        <v>345</v>
      </c>
      <c r="C51" s="1">
        <v>14</v>
      </c>
      <c r="D51" s="1">
        <v>15</v>
      </c>
      <c r="E51" s="15">
        <f>+B51/(C51*D51)</f>
        <v>1.6428571428571428</v>
      </c>
      <c r="F51" s="1">
        <v>550</v>
      </c>
      <c r="G51" s="7">
        <f>F51-J46</f>
        <v>471.5</v>
      </c>
      <c r="H51" s="7">
        <f>+J42</f>
        <v>72.5</v>
      </c>
      <c r="I51" s="11">
        <f>+H51/G51</f>
        <v>0.1537645811240721</v>
      </c>
      <c r="J51" s="4">
        <f>F42/F46</f>
        <v>1</v>
      </c>
    </row>
    <row r="54" spans="2:10" x14ac:dyDescent="0.15">
      <c r="F54" s="4" t="s">
        <v>122</v>
      </c>
    </row>
    <row r="55" spans="2:10" x14ac:dyDescent="0.15">
      <c r="B55" s="4">
        <f>2*(1+E51)</f>
        <v>5.2857142857142856</v>
      </c>
      <c r="C55" s="4">
        <f>E51*(D51+(D51-1)*J51*I51)</f>
        <v>28.179442508710803</v>
      </c>
      <c r="D55" s="4">
        <f>(D51-1)*J51*(1-I51)</f>
        <v>11.847295864262991</v>
      </c>
      <c r="F55" s="15">
        <f>1/(B55*(C55-D55))*100</f>
        <v>1.1583853201165382</v>
      </c>
    </row>
    <row r="57" spans="2:10" x14ac:dyDescent="0.15">
      <c r="B57" s="2" t="s">
        <v>90</v>
      </c>
      <c r="C57" s="2" t="s">
        <v>91</v>
      </c>
      <c r="D57" s="2" t="s">
        <v>93</v>
      </c>
      <c r="E57" s="2" t="s">
        <v>94</v>
      </c>
      <c r="G57" s="2" t="s">
        <v>78</v>
      </c>
      <c r="H57" s="2" t="s">
        <v>79</v>
      </c>
      <c r="I57" s="2" t="s">
        <v>80</v>
      </c>
    </row>
    <row r="58" spans="2:10" ht="12.6" x14ac:dyDescent="0.15">
      <c r="B58" s="6" t="s">
        <v>99</v>
      </c>
      <c r="C58" s="6" t="s">
        <v>99</v>
      </c>
      <c r="D58" s="6" t="s">
        <v>100</v>
      </c>
      <c r="E58" s="6" t="s">
        <v>101</v>
      </c>
      <c r="G58" s="6" t="s">
        <v>74</v>
      </c>
      <c r="H58" s="6" t="s">
        <v>81</v>
      </c>
      <c r="I58" s="6" t="s">
        <v>82</v>
      </c>
    </row>
    <row r="59" spans="2:10" x14ac:dyDescent="0.15">
      <c r="B59" s="1">
        <v>450</v>
      </c>
      <c r="C59" s="7">
        <f>+G51</f>
        <v>471.5</v>
      </c>
      <c r="D59" s="7">
        <f>+F46</f>
        <v>2535.0000381469727</v>
      </c>
      <c r="E59" s="11">
        <f>D59/(B59*C59)*100</f>
        <v>1.1947684874028384</v>
      </c>
      <c r="G59" s="7">
        <f>0.875*C59</f>
        <v>412.5625</v>
      </c>
      <c r="H59" s="1">
        <v>345</v>
      </c>
      <c r="I59" s="7">
        <f>D59*H59*G59/1000/1000</f>
        <v>360.81685386711359</v>
      </c>
    </row>
    <row r="62" spans="2:10" ht="12" x14ac:dyDescent="0.15">
      <c r="B62" s="289" t="s">
        <v>117</v>
      </c>
      <c r="C62" s="290"/>
      <c r="D62" s="290"/>
      <c r="E62" s="290"/>
      <c r="F62" s="290"/>
      <c r="G62" s="290"/>
      <c r="H62" s="290"/>
      <c r="I62" s="290"/>
      <c r="J62" s="291"/>
    </row>
    <row r="63" spans="2:10" x14ac:dyDescent="0.15">
      <c r="B63" s="286" t="s">
        <v>2</v>
      </c>
      <c r="C63" s="286"/>
      <c r="D63" s="286" t="s">
        <v>3</v>
      </c>
      <c r="E63" s="286"/>
      <c r="F63" s="3" t="s">
        <v>68</v>
      </c>
      <c r="G63" s="3" t="s">
        <v>69</v>
      </c>
      <c r="H63" s="3" t="s">
        <v>55</v>
      </c>
      <c r="I63" s="3" t="s">
        <v>56</v>
      </c>
      <c r="J63" s="3" t="s">
        <v>118</v>
      </c>
    </row>
    <row r="64" spans="2:10" ht="12.6" x14ac:dyDescent="0.15">
      <c r="B64" s="1" t="s">
        <v>70</v>
      </c>
      <c r="C64" s="1" t="s">
        <v>71</v>
      </c>
      <c r="D64" s="1" t="s">
        <v>70</v>
      </c>
      <c r="E64" s="1" t="s">
        <v>72</v>
      </c>
      <c r="F64" s="18" t="s">
        <v>73</v>
      </c>
      <c r="G64" s="18" t="s">
        <v>74</v>
      </c>
      <c r="H64" s="18" t="s">
        <v>74</v>
      </c>
      <c r="I64" s="18" t="s">
        <v>74</v>
      </c>
      <c r="J64" s="18" t="s">
        <v>74</v>
      </c>
    </row>
    <row r="65" spans="2:13" ht="12" x14ac:dyDescent="0.15">
      <c r="B65" s="1" t="s">
        <v>123</v>
      </c>
      <c r="C65" s="7">
        <f>[2]!Bar(B65,11)*100</f>
        <v>1547.9999542236328</v>
      </c>
      <c r="D65" s="1" t="s">
        <v>1</v>
      </c>
      <c r="E65" s="19">
        <f>[2]!Bar(D65,11)*100</f>
        <v>1160.9999656677246</v>
      </c>
      <c r="F65" s="7">
        <f>+C65+E65</f>
        <v>2708.9999198913574</v>
      </c>
      <c r="G65" s="1">
        <v>50</v>
      </c>
      <c r="H65" s="1">
        <v>13</v>
      </c>
      <c r="I65" s="7">
        <f>[2]!Bar(B65,1)*10/2</f>
        <v>11.000000238418579</v>
      </c>
      <c r="J65" s="7">
        <f>IF(E65=0,0,MAX(25,[2]!Bar(B65,1)*10*1.5))+G65+H65+I65</f>
        <v>107.00000095367432</v>
      </c>
    </row>
    <row r="66" spans="2:13" ht="12" x14ac:dyDescent="0.15">
      <c r="B66" s="287" t="s">
        <v>116</v>
      </c>
      <c r="C66" s="288"/>
      <c r="D66" s="288"/>
      <c r="E66" s="288"/>
      <c r="F66" s="288"/>
      <c r="G66" s="288"/>
      <c r="H66" s="288"/>
      <c r="I66" s="288"/>
      <c r="J66" s="288"/>
    </row>
    <row r="67" spans="2:13" x14ac:dyDescent="0.15">
      <c r="B67" s="286" t="s">
        <v>2</v>
      </c>
      <c r="C67" s="286"/>
      <c r="D67" s="286" t="s">
        <v>3</v>
      </c>
      <c r="E67" s="286"/>
      <c r="F67" s="3" t="s">
        <v>68</v>
      </c>
      <c r="G67" s="3" t="s">
        <v>69</v>
      </c>
      <c r="H67" s="3" t="s">
        <v>55</v>
      </c>
      <c r="I67" s="3" t="s">
        <v>56</v>
      </c>
      <c r="J67" s="3" t="s">
        <v>115</v>
      </c>
    </row>
    <row r="68" spans="2:13" ht="12.6" x14ac:dyDescent="0.15">
      <c r="B68" s="1" t="s">
        <v>70</v>
      </c>
      <c r="C68" s="1" t="s">
        <v>71</v>
      </c>
      <c r="D68" s="1" t="s">
        <v>70</v>
      </c>
      <c r="E68" s="1" t="s">
        <v>72</v>
      </c>
      <c r="F68" s="18" t="s">
        <v>73</v>
      </c>
      <c r="G68" s="18" t="s">
        <v>74</v>
      </c>
      <c r="H68" s="18" t="s">
        <v>74</v>
      </c>
      <c r="I68" s="18" t="s">
        <v>74</v>
      </c>
      <c r="J68" s="18" t="s">
        <v>74</v>
      </c>
    </row>
    <row r="69" spans="2:13" ht="12" x14ac:dyDescent="0.15">
      <c r="B69" s="1" t="s">
        <v>123</v>
      </c>
      <c r="C69" s="7">
        <f>[2]!Bar(B69,11)*100</f>
        <v>1547.9999542236328</v>
      </c>
      <c r="D69" s="1" t="s">
        <v>124</v>
      </c>
      <c r="E69" s="19">
        <f>[2]!Bar(D69,11)*100</f>
        <v>386.9999885559082</v>
      </c>
      <c r="F69" s="7">
        <f>+C69+E69</f>
        <v>1934.999942779541</v>
      </c>
      <c r="G69" s="1">
        <v>50</v>
      </c>
      <c r="H69" s="1">
        <v>13</v>
      </c>
      <c r="I69" s="7">
        <f>[2]!Bar(B69,1)*10/2</f>
        <v>11.000000238418579</v>
      </c>
      <c r="J69" s="7">
        <f>IF(E69=0,0,MAX(25,[2]!Bar(B69,1)*10*1.5))+G69+H69+I69</f>
        <v>107.00000095367432</v>
      </c>
    </row>
    <row r="72" spans="2:13" x14ac:dyDescent="0.15">
      <c r="B72" s="2" t="s">
        <v>79</v>
      </c>
      <c r="C72" s="2" t="s">
        <v>75</v>
      </c>
      <c r="D72" s="274" t="s">
        <v>95</v>
      </c>
      <c r="E72" s="295" t="s">
        <v>114</v>
      </c>
      <c r="F72" s="20" t="s">
        <v>133</v>
      </c>
      <c r="G72" s="2" t="s">
        <v>113</v>
      </c>
      <c r="H72" s="2" t="s">
        <v>77</v>
      </c>
      <c r="I72" s="3" t="s">
        <v>119</v>
      </c>
      <c r="J72" s="274" t="s">
        <v>120</v>
      </c>
      <c r="K72" s="293" t="s">
        <v>121</v>
      </c>
    </row>
    <row r="73" spans="2:13" ht="12.6" x14ac:dyDescent="0.15">
      <c r="B73" s="6" t="s">
        <v>81</v>
      </c>
      <c r="C73" s="6" t="s">
        <v>81</v>
      </c>
      <c r="D73" s="275"/>
      <c r="E73" s="296"/>
      <c r="F73" s="6" t="s">
        <v>74</v>
      </c>
      <c r="G73" s="6" t="s">
        <v>74</v>
      </c>
      <c r="H73" s="6" t="s">
        <v>74</v>
      </c>
      <c r="I73" s="18" t="s">
        <v>74</v>
      </c>
      <c r="J73" s="275"/>
      <c r="K73" s="294"/>
    </row>
    <row r="74" spans="2:13" x14ac:dyDescent="0.15">
      <c r="B74" s="1">
        <v>345</v>
      </c>
      <c r="C74" s="1">
        <v>14</v>
      </c>
      <c r="D74" s="1">
        <v>15</v>
      </c>
      <c r="E74" s="11">
        <f>+B74/(C74*D74)</f>
        <v>1.6428571428571428</v>
      </c>
      <c r="F74" s="7">
        <v>350</v>
      </c>
      <c r="G74" s="1">
        <v>700</v>
      </c>
      <c r="H74" s="7">
        <f>G74-J65</f>
        <v>592.99999904632568</v>
      </c>
      <c r="I74" s="7">
        <f>+J69</f>
        <v>107.00000095367432</v>
      </c>
      <c r="J74" s="11">
        <f>+I74/H74</f>
        <v>0.18043845046501489</v>
      </c>
      <c r="K74" s="27">
        <f>F69/F65</f>
        <v>0.7142857142857143</v>
      </c>
      <c r="L74" s="5">
        <f>[2]!RcGMa(F74/10,G74/10, J65/10, J69/10, F65/100, F69/100, C74*10, B74*10, 15, 11)*10</f>
        <v>414.80915069580078</v>
      </c>
      <c r="M74" s="14">
        <f>[2]!RcGMa(F74/10,G74/10, J65/10, J69/10, F65/100, F69/100, C74*10, B74*10, 15, 4)*100</f>
        <v>0.99374894052743912</v>
      </c>
    </row>
    <row r="77" spans="2:13" x14ac:dyDescent="0.15">
      <c r="F77" s="4" t="s">
        <v>122</v>
      </c>
    </row>
    <row r="78" spans="2:13" x14ac:dyDescent="0.15">
      <c r="B78" s="4">
        <f>2*(1+E74)</f>
        <v>5.2857142857142856</v>
      </c>
      <c r="C78" s="4">
        <f>E74*(D74+(D74-1)*K74*J74)</f>
        <v>27.607203114782386</v>
      </c>
      <c r="D78" s="4">
        <f>(D74-1)*K74*(1-J74)</f>
        <v>8.1956154953498501</v>
      </c>
      <c r="F78" s="15">
        <f>1/(B78*(C78-D78))*100</f>
        <v>0.97461986571255932</v>
      </c>
    </row>
    <row r="80" spans="2:13" x14ac:dyDescent="0.15">
      <c r="B80" s="2" t="s">
        <v>90</v>
      </c>
      <c r="C80" s="2" t="s">
        <v>91</v>
      </c>
      <c r="D80" s="2" t="s">
        <v>93</v>
      </c>
      <c r="E80" s="2" t="s">
        <v>94</v>
      </c>
      <c r="G80" s="2" t="s">
        <v>78</v>
      </c>
      <c r="H80" s="2" t="s">
        <v>79</v>
      </c>
      <c r="I80" s="2" t="s">
        <v>80</v>
      </c>
    </row>
    <row r="81" spans="2:12" ht="12.6" x14ac:dyDescent="0.15">
      <c r="B81" s="6" t="s">
        <v>99</v>
      </c>
      <c r="C81" s="6" t="s">
        <v>99</v>
      </c>
      <c r="D81" s="6" t="s">
        <v>100</v>
      </c>
      <c r="E81" s="6" t="s">
        <v>101</v>
      </c>
      <c r="G81" s="6" t="s">
        <v>74</v>
      </c>
      <c r="H81" s="6" t="s">
        <v>81</v>
      </c>
      <c r="I81" s="6" t="s">
        <v>82</v>
      </c>
    </row>
    <row r="82" spans="2:12" ht="12" x14ac:dyDescent="0.15">
      <c r="B82" s="1">
        <v>350</v>
      </c>
      <c r="C82" s="7">
        <f>+H74</f>
        <v>592.99999904632568</v>
      </c>
      <c r="D82" s="7">
        <f>F65</f>
        <v>2708.9999198913574</v>
      </c>
      <c r="E82" s="11">
        <f>D82/(B82*C82)*100</f>
        <v>1.3052276194883279</v>
      </c>
      <c r="G82" s="7">
        <f>0.875*C82</f>
        <v>518.87499916553497</v>
      </c>
      <c r="H82" s="1">
        <v>345</v>
      </c>
      <c r="I82" s="7">
        <f>D82*H82*G82/1000/1000</f>
        <v>484.94315425470654</v>
      </c>
      <c r="K82" s="24" t="s">
        <v>132</v>
      </c>
    </row>
    <row r="83" spans="2:12" ht="12" x14ac:dyDescent="0.15">
      <c r="K83" s="23" t="e">
        <f>[2]!RcGMa(B87/10, C87/10, D87/10,E87/10, F87, G87, H87*10,I87*10, J87, 11)*10</f>
        <v>#VALUE!</v>
      </c>
    </row>
    <row r="84" spans="2:12" ht="12" x14ac:dyDescent="0.15">
      <c r="K84" s="23">
        <f>[2]!RcGMa(B88/10, C88/10, D88/10,E88/10, F88, G88, H88*10,I88*10, J88, 11)*10</f>
        <v>341.74610137939453</v>
      </c>
    </row>
    <row r="85" spans="2:12" ht="12" x14ac:dyDescent="0.15">
      <c r="K85" s="23">
        <f>[2]!RcGMa(B89/10, C89/10, D89/10,E89/10, F89, G89, H89*10,I89*10, J89, 11)*10</f>
        <v>394.67376708984375</v>
      </c>
      <c r="L85" s="26">
        <f>+K85-K84</f>
        <v>52.927665710449219</v>
      </c>
    </row>
    <row r="86" spans="2:12" ht="12" x14ac:dyDescent="0.15">
      <c r="B86" t="s">
        <v>133</v>
      </c>
      <c r="C86" t="s">
        <v>127</v>
      </c>
      <c r="D86" t="s">
        <v>134</v>
      </c>
      <c r="E86" t="s">
        <v>119</v>
      </c>
      <c r="F86" t="s">
        <v>135</v>
      </c>
      <c r="G86" t="s">
        <v>136</v>
      </c>
      <c r="H86" t="s">
        <v>41</v>
      </c>
      <c r="I86" t="s">
        <v>128</v>
      </c>
      <c r="J86" t="s">
        <v>130</v>
      </c>
      <c r="K86" s="23">
        <f>[2]!RcGMa(B90/10, C90/10, D90/10,E90/10, F90, G90, H90*10,I90*10, J90, 11)*10</f>
        <v>414.80915069580078</v>
      </c>
      <c r="L86" s="26">
        <f>+K86-K85</f>
        <v>20.135383605957031</v>
      </c>
    </row>
    <row r="87" spans="2:12" ht="12" x14ac:dyDescent="0.15">
      <c r="B87">
        <f>B82</f>
        <v>350</v>
      </c>
      <c r="C87">
        <f>G74</f>
        <v>700</v>
      </c>
      <c r="D87" s="25">
        <f>J69</f>
        <v>107.00000095367432</v>
      </c>
      <c r="E87" s="25" t="e">
        <f>#REF!</f>
        <v>#REF!</v>
      </c>
      <c r="F87" s="25" t="s">
        <v>138</v>
      </c>
      <c r="G87" s="25" t="s">
        <v>137</v>
      </c>
      <c r="H87">
        <v>14</v>
      </c>
      <c r="I87">
        <v>345</v>
      </c>
      <c r="J87">
        <v>15</v>
      </c>
      <c r="K87" s="23" t="str">
        <f>[2]!RcGMa(幅B, せいD, 鉄筋dt, 鉄筋dc, 鉄筋at, 鉄筋ac, コンfc, 鉄筋ft, ヤング比n, 計算値)</f>
        <v/>
      </c>
      <c r="L87" s="26" t="e">
        <f>+K87-K86</f>
        <v>#VALUE!</v>
      </c>
    </row>
    <row r="88" spans="2:12" ht="12" x14ac:dyDescent="0.15">
      <c r="B88">
        <v>350</v>
      </c>
      <c r="C88">
        <v>700</v>
      </c>
      <c r="D88" s="25">
        <v>107</v>
      </c>
      <c r="E88" s="25">
        <v>107</v>
      </c>
      <c r="F88" s="25" t="s">
        <v>139</v>
      </c>
      <c r="G88" s="25" t="s">
        <v>139</v>
      </c>
      <c r="H88">
        <v>14</v>
      </c>
      <c r="I88">
        <v>345</v>
      </c>
      <c r="J88">
        <v>15</v>
      </c>
      <c r="K88" s="23">
        <f>[2]!RcGMa(B92/10, C92/10, D92/10,E92/10, F92, G92, H92*10,I92*10, J92, 11)*10</f>
        <v>447.37525939941406</v>
      </c>
      <c r="L88" s="26" t="e">
        <f>+K88-K87</f>
        <v>#VALUE!</v>
      </c>
    </row>
    <row r="89" spans="2:12" ht="12" x14ac:dyDescent="0.15">
      <c r="B89">
        <v>350</v>
      </c>
      <c r="C89">
        <v>700</v>
      </c>
      <c r="D89" s="25">
        <v>107</v>
      </c>
      <c r="E89" s="25">
        <v>107</v>
      </c>
      <c r="F89" s="25" t="s">
        <v>0</v>
      </c>
      <c r="G89" s="25" t="s">
        <v>139</v>
      </c>
      <c r="H89">
        <v>14</v>
      </c>
      <c r="I89">
        <v>345</v>
      </c>
      <c r="J89">
        <v>15</v>
      </c>
    </row>
    <row r="90" spans="2:12" ht="12" x14ac:dyDescent="0.15">
      <c r="B90">
        <v>350</v>
      </c>
      <c r="C90">
        <v>700</v>
      </c>
      <c r="D90" s="25">
        <v>107</v>
      </c>
      <c r="E90" s="25">
        <v>107</v>
      </c>
      <c r="F90" s="25" t="s">
        <v>140</v>
      </c>
      <c r="G90" s="25" t="s">
        <v>139</v>
      </c>
      <c r="H90">
        <v>14</v>
      </c>
      <c r="I90">
        <v>345</v>
      </c>
      <c r="J90">
        <v>15</v>
      </c>
    </row>
    <row r="91" spans="2:12" ht="12" x14ac:dyDescent="0.15">
      <c r="B91">
        <v>350</v>
      </c>
      <c r="C91">
        <v>700</v>
      </c>
      <c r="D91" s="25">
        <v>107</v>
      </c>
      <c r="E91" s="25">
        <v>107</v>
      </c>
      <c r="F91" s="25" t="s">
        <v>141</v>
      </c>
      <c r="G91" s="25" t="s">
        <v>139</v>
      </c>
      <c r="H91">
        <v>14</v>
      </c>
      <c r="I91">
        <v>345</v>
      </c>
      <c r="J91">
        <v>15</v>
      </c>
    </row>
    <row r="92" spans="2:12" ht="12" x14ac:dyDescent="0.15">
      <c r="B92">
        <v>350</v>
      </c>
      <c r="C92">
        <v>700</v>
      </c>
      <c r="D92" s="25">
        <v>107</v>
      </c>
      <c r="E92" s="25">
        <v>107</v>
      </c>
      <c r="F92" s="25" t="s">
        <v>142</v>
      </c>
      <c r="G92" s="25" t="s">
        <v>139</v>
      </c>
      <c r="H92">
        <v>14</v>
      </c>
      <c r="I92">
        <v>345</v>
      </c>
      <c r="J92">
        <v>15</v>
      </c>
    </row>
  </sheetData>
  <mergeCells count="21">
    <mergeCell ref="B66:J66"/>
    <mergeCell ref="B44:C44"/>
    <mergeCell ref="B4:C4"/>
    <mergeCell ref="D4:E4"/>
    <mergeCell ref="B39:J39"/>
    <mergeCell ref="H18:H19"/>
    <mergeCell ref="B62:J62"/>
    <mergeCell ref="B63:C63"/>
    <mergeCell ref="G18:G19"/>
    <mergeCell ref="D49:D50"/>
    <mergeCell ref="D44:E44"/>
    <mergeCell ref="D63:E63"/>
    <mergeCell ref="B40:C40"/>
    <mergeCell ref="D40:E40"/>
    <mergeCell ref="B43:J43"/>
    <mergeCell ref="K72:K73"/>
    <mergeCell ref="J72:J73"/>
    <mergeCell ref="E72:E73"/>
    <mergeCell ref="B67:C67"/>
    <mergeCell ref="D67:E67"/>
    <mergeCell ref="D72:D73"/>
  </mergeCells>
  <phoneticPr fontId="3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B2:O37"/>
  <sheetViews>
    <sheetView workbookViewId="0">
      <selection activeCell="Q29" sqref="Q29"/>
    </sheetView>
  </sheetViews>
  <sheetFormatPr defaultRowHeight="12" x14ac:dyDescent="0.1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5" x14ac:dyDescent="0.15">
      <c r="B2" t="s">
        <v>170</v>
      </c>
    </row>
    <row r="4" spans="2:15" x14ac:dyDescent="0.15">
      <c r="B4" s="55" t="s">
        <v>174</v>
      </c>
      <c r="C4" s="51" t="s">
        <v>127</v>
      </c>
      <c r="D4" s="40" t="s">
        <v>119</v>
      </c>
      <c r="E4" s="40" t="s">
        <v>163</v>
      </c>
      <c r="F4" s="40" t="s">
        <v>131</v>
      </c>
      <c r="G4" s="40" t="s">
        <v>41</v>
      </c>
      <c r="H4" s="40" t="s">
        <v>128</v>
      </c>
      <c r="I4" s="40" t="s">
        <v>129</v>
      </c>
      <c r="J4" s="40" t="s">
        <v>130</v>
      </c>
      <c r="K4" s="40" t="s">
        <v>165</v>
      </c>
      <c r="L4" s="40" t="s">
        <v>167</v>
      </c>
      <c r="M4" s="40" t="s">
        <v>172</v>
      </c>
      <c r="N4" s="40" t="s">
        <v>173</v>
      </c>
      <c r="O4" s="41" t="s">
        <v>175</v>
      </c>
    </row>
    <row r="5" spans="2:15" x14ac:dyDescent="0.15">
      <c r="B5" s="56" t="s">
        <v>176</v>
      </c>
      <c r="C5" s="52">
        <f>240+111*2</f>
        <v>462</v>
      </c>
      <c r="D5" s="35">
        <v>111</v>
      </c>
      <c r="E5" s="34" t="s">
        <v>168</v>
      </c>
      <c r="F5" s="34">
        <f>[2]!Bar(E5,11)*100</f>
        <v>761.9999885559082</v>
      </c>
      <c r="G5" s="36">
        <v>14</v>
      </c>
      <c r="H5" s="34">
        <v>295</v>
      </c>
      <c r="I5" s="36">
        <v>51</v>
      </c>
      <c r="J5" s="34">
        <v>15</v>
      </c>
      <c r="K5" s="37">
        <f>[2]!RcCMaC(C5/10,D5/10,E5,G5*10,H5*10, I5/10, J5,3)</f>
        <v>62.254005068762652</v>
      </c>
      <c r="L5" s="37">
        <f>[2]!RcCMaC(C5/10,D5/10,E5,G5*10,H5*10,I5/10,J5,4)</f>
        <v>68.399242377436607</v>
      </c>
      <c r="M5" s="38">
        <f>[2]!RcCMaC(C5/10,D5/10,E5,G5*10,H5*10, I5/10, J5,0)*10</f>
        <v>35.316051923397289</v>
      </c>
      <c r="N5" s="39">
        <v>64.81</v>
      </c>
      <c r="O5" s="42" t="str">
        <f>IF(M5&gt;N5,"OK","NG")</f>
        <v>NG</v>
      </c>
    </row>
    <row r="6" spans="2:15" x14ac:dyDescent="0.15">
      <c r="B6" s="57" t="s">
        <v>177</v>
      </c>
      <c r="C6" s="53">
        <v>500</v>
      </c>
      <c r="D6" s="29">
        <v>130</v>
      </c>
      <c r="E6" s="28" t="s">
        <v>139</v>
      </c>
      <c r="F6" s="28">
        <f>[2]!Bar(E6,11)*100</f>
        <v>1934.9998474121094</v>
      </c>
      <c r="G6" s="30">
        <v>14</v>
      </c>
      <c r="H6" s="28">
        <v>345</v>
      </c>
      <c r="I6" s="30">
        <v>761</v>
      </c>
      <c r="J6" s="28">
        <v>15</v>
      </c>
      <c r="K6" s="31">
        <f>[2]!RcCMaC(C6/10,D6/10,E6,G6*10,H6*10, I6/10, J6,3)</f>
        <v>98.81798161573677</v>
      </c>
      <c r="L6" s="31">
        <f>[2]!RcCMaC(C6/10,D6/10,E6,G6*10,H6*10,I6/10,J6,4)</f>
        <v>63.896119148802704</v>
      </c>
      <c r="M6" s="32">
        <f>[2]!RcCMaC(C6/10,D6/10,E6,G6*10,H6*10, I6/10, J6,0)*10</f>
        <v>103.76219749450684</v>
      </c>
      <c r="N6" s="33">
        <v>64.81</v>
      </c>
      <c r="O6" s="43" t="str">
        <f t="shared" ref="O6:O19" si="0">IF(M6&gt;N6,"OK","NG")</f>
        <v>OK</v>
      </c>
    </row>
    <row r="7" spans="2:15" x14ac:dyDescent="0.15">
      <c r="B7" s="57" t="s">
        <v>178</v>
      </c>
      <c r="C7" s="53">
        <v>500</v>
      </c>
      <c r="D7" s="29">
        <v>130</v>
      </c>
      <c r="E7" s="28" t="s">
        <v>139</v>
      </c>
      <c r="F7" s="28">
        <f>[2]!Bar(E7,11)*100</f>
        <v>1934.9998474121094</v>
      </c>
      <c r="G7" s="30">
        <v>14</v>
      </c>
      <c r="H7" s="28">
        <v>345</v>
      </c>
      <c r="I7" s="30">
        <v>168</v>
      </c>
      <c r="J7" s="28">
        <v>15</v>
      </c>
      <c r="K7" s="31">
        <f>[2]!RcCMaC(C7/10,D7/10,E7,G7*10,H7*10, I7/10, J7,3)</f>
        <v>72.002979956659019</v>
      </c>
      <c r="L7" s="31">
        <f>[2]!RcCMaC(C7/10,D7/10,E7,G7*10,H7*10,I7/10,J7,4)</f>
        <v>63.896119148802704</v>
      </c>
      <c r="M7" s="32">
        <f>[2]!RcCMaC(C7/10,D7/10,E7,G7*10,H7*10, I7/10, J7,0)*10</f>
        <v>79.122328758239746</v>
      </c>
      <c r="N7" s="33">
        <v>64.81</v>
      </c>
      <c r="O7" s="43" t="str">
        <f t="shared" si="0"/>
        <v>OK</v>
      </c>
    </row>
    <row r="8" spans="2:15" x14ac:dyDescent="0.15">
      <c r="B8" s="57" t="s">
        <v>179</v>
      </c>
      <c r="C8" s="53">
        <v>462</v>
      </c>
      <c r="D8" s="29">
        <v>111</v>
      </c>
      <c r="E8" s="28" t="s">
        <v>139</v>
      </c>
      <c r="F8" s="28">
        <f>[2]!Bar(E8,11)*100</f>
        <v>1934.9998474121094</v>
      </c>
      <c r="G8" s="30">
        <v>14</v>
      </c>
      <c r="H8" s="28">
        <v>345</v>
      </c>
      <c r="I8" s="30">
        <v>111</v>
      </c>
      <c r="J8" s="28">
        <v>15</v>
      </c>
      <c r="K8" s="31">
        <f>[2]!RcCMaC(C8/10,D8/10,E8,G8*10,H8*10, I8/10, J8,3)</f>
        <v>71.761464467638902</v>
      </c>
      <c r="L8" s="31">
        <f>[2]!RcCMaC(C8/10,D8/10,E8,G8*10,H8*10,I8/10,J8,4)</f>
        <v>64.845447141418816</v>
      </c>
      <c r="M8" s="32">
        <f>[2]!RcCMaC(C8/10,D8/10,E8,G8*10,H8*10, I8/10, J8,0)*10</f>
        <v>67.203915520837</v>
      </c>
      <c r="N8" s="33">
        <v>7.66</v>
      </c>
      <c r="O8" s="43" t="str">
        <f t="shared" si="0"/>
        <v>OK</v>
      </c>
    </row>
    <row r="9" spans="2:15" x14ac:dyDescent="0.15">
      <c r="B9" s="57" t="s">
        <v>180</v>
      </c>
      <c r="C9" s="53">
        <v>462</v>
      </c>
      <c r="D9" s="29">
        <v>111</v>
      </c>
      <c r="E9" s="28" t="s">
        <v>139</v>
      </c>
      <c r="F9" s="28">
        <f>[2]!Bar(E9,11)*100</f>
        <v>1934.9998474121094</v>
      </c>
      <c r="G9" s="30">
        <v>14</v>
      </c>
      <c r="H9" s="28">
        <v>345</v>
      </c>
      <c r="I9" s="30">
        <v>111</v>
      </c>
      <c r="J9" s="28">
        <v>15</v>
      </c>
      <c r="K9" s="31">
        <f>[2]!RcCMaC(C9/10,D9/10,E9,G9*10,H9*10, I9/10, J9,3)</f>
        <v>71.761464467638902</v>
      </c>
      <c r="L9" s="31">
        <f>[2]!RcCMaC(C9/10,D9/10,E9,G9*10,H9*10,I9/10,J9,4)</f>
        <v>64.845447141418816</v>
      </c>
      <c r="M9" s="32">
        <f>[2]!RcCMaC(C9/10,D9/10,E9,G9*10,H9*10, I9/10, J9,0)*10</f>
        <v>67.203915520837</v>
      </c>
      <c r="N9" s="33">
        <v>7.66</v>
      </c>
      <c r="O9" s="43" t="str">
        <f t="shared" si="0"/>
        <v>OK</v>
      </c>
    </row>
    <row r="10" spans="2:15" x14ac:dyDescent="0.15">
      <c r="B10" s="57" t="s">
        <v>181</v>
      </c>
      <c r="C10" s="53">
        <v>500</v>
      </c>
      <c r="D10" s="29">
        <v>270</v>
      </c>
      <c r="E10" s="28" t="s">
        <v>168</v>
      </c>
      <c r="F10" s="28">
        <f>[2]!Bar(E10,11)*100</f>
        <v>761.9999885559082</v>
      </c>
      <c r="G10" s="30">
        <v>14</v>
      </c>
      <c r="H10" s="28">
        <v>295</v>
      </c>
      <c r="I10" s="30">
        <v>67</v>
      </c>
      <c r="J10" s="28">
        <v>15</v>
      </c>
      <c r="K10" s="31">
        <f>[2]!RcCMaC(C10/10,D10/10,E10,G10*10,H10*10, I10/10, J10,3)</f>
        <v>60.38012900983599</v>
      </c>
      <c r="L10" s="31">
        <f>[2]!RcCMaC(C10/10,D10/10,E10,G10*10,H10*10,I10/10,J10,4)</f>
        <v>51.871608682605761</v>
      </c>
      <c r="M10" s="32">
        <f>[2]!RcCMaC(C10/10,D10/10,E10,G10*10,H10*10, I10/10, J10,0)*10</f>
        <v>44.259166717529297</v>
      </c>
      <c r="N10" s="33">
        <v>7.66</v>
      </c>
      <c r="O10" s="43" t="str">
        <f t="shared" si="0"/>
        <v>OK</v>
      </c>
    </row>
    <row r="11" spans="2:15" x14ac:dyDescent="0.15">
      <c r="B11" s="57" t="s">
        <v>182</v>
      </c>
      <c r="C11" s="53">
        <v>500</v>
      </c>
      <c r="D11" s="29">
        <v>270</v>
      </c>
      <c r="E11" s="28" t="s">
        <v>168</v>
      </c>
      <c r="F11" s="28">
        <f>[2]!Bar(E11,11)*100</f>
        <v>761.9999885559082</v>
      </c>
      <c r="G11" s="30">
        <v>14</v>
      </c>
      <c r="H11" s="28">
        <v>295</v>
      </c>
      <c r="I11" s="30">
        <v>124</v>
      </c>
      <c r="J11" s="28">
        <v>15</v>
      </c>
      <c r="K11" s="31">
        <f>[2]!RcCMaC(C11/10,D11/10,E11,G11*10,H11*10, I11/10, J11,3)</f>
        <v>63.383144621445041</v>
      </c>
      <c r="L11" s="31">
        <f>[2]!RcCMaC(C11/10,D11/10,E11,G11*10,H11*10,I11/10,J11,4)</f>
        <v>51.871608682605761</v>
      </c>
      <c r="M11" s="32">
        <f>[2]!RcCMaC(C11/10,D11/10,E11,G11*10,H11*10, I11/10, J11,0)*10</f>
        <v>48.994839191436768</v>
      </c>
      <c r="N11" s="33">
        <v>7.66</v>
      </c>
      <c r="O11" s="43" t="str">
        <f t="shared" si="0"/>
        <v>OK</v>
      </c>
    </row>
    <row r="12" spans="2:15" x14ac:dyDescent="0.15">
      <c r="B12" s="57" t="s">
        <v>183</v>
      </c>
      <c r="C12" s="53">
        <v>500</v>
      </c>
      <c r="D12" s="29">
        <v>270</v>
      </c>
      <c r="E12" s="28" t="s">
        <v>168</v>
      </c>
      <c r="F12" s="28">
        <f>[2]!Bar(E12,11)*100</f>
        <v>761.9999885559082</v>
      </c>
      <c r="G12" s="30">
        <v>14</v>
      </c>
      <c r="H12" s="28">
        <v>295</v>
      </c>
      <c r="I12" s="30">
        <v>105</v>
      </c>
      <c r="J12" s="28">
        <v>15</v>
      </c>
      <c r="K12" s="31">
        <f>[2]!RcCMaC(C12/10,D12/10,E12,G12*10,H12*10, I12/10, J12,3)</f>
        <v>62.38213941757536</v>
      </c>
      <c r="L12" s="31">
        <f>[2]!RcCMaC(C12/10,D12/10,E12,G12*10,H12*10,I12/10,J12,4)</f>
        <v>51.871608682605761</v>
      </c>
      <c r="M12" s="32">
        <f>[2]!RcCMaC(C12/10,D12/10,E12,G12*10,H12*10, I12/10, J12,0)*10</f>
        <v>47.386574745178223</v>
      </c>
      <c r="N12" s="33">
        <v>7.66</v>
      </c>
      <c r="O12" s="43" t="str">
        <f t="shared" si="0"/>
        <v>OK</v>
      </c>
    </row>
    <row r="13" spans="2:15" x14ac:dyDescent="0.15">
      <c r="B13" s="57" t="s">
        <v>184</v>
      </c>
      <c r="C13" s="53">
        <v>500</v>
      </c>
      <c r="D13" s="29">
        <v>270</v>
      </c>
      <c r="E13" s="28" t="s">
        <v>168</v>
      </c>
      <c r="F13" s="28">
        <f>[2]!Bar(E13,11)*100</f>
        <v>761.9999885559082</v>
      </c>
      <c r="G13" s="30">
        <v>14</v>
      </c>
      <c r="H13" s="28">
        <v>295</v>
      </c>
      <c r="I13" s="30">
        <v>105</v>
      </c>
      <c r="J13" s="28">
        <v>15</v>
      </c>
      <c r="K13" s="31">
        <f>[2]!RcCMaC(C13/10,D13/10,E13,G13*10,H13*10, I13/10, J13,3)</f>
        <v>62.38213941757536</v>
      </c>
      <c r="L13" s="31">
        <f>[2]!RcCMaC(C13/10,D13/10,E13,G13*10,H13*10,I13/10,J13,4)</f>
        <v>51.871608682605761</v>
      </c>
      <c r="M13" s="32">
        <f>[2]!RcCMaC(C13/10,D13/10,E13,G13*10,H13*10, I13/10, J13,0)*10</f>
        <v>47.386574745178223</v>
      </c>
      <c r="N13" s="33">
        <v>7.66</v>
      </c>
      <c r="O13" s="43" t="str">
        <f t="shared" si="0"/>
        <v>OK</v>
      </c>
    </row>
    <row r="14" spans="2:15" x14ac:dyDescent="0.15">
      <c r="B14" s="57" t="s">
        <v>185</v>
      </c>
      <c r="C14" s="53">
        <v>500</v>
      </c>
      <c r="D14" s="29">
        <v>270</v>
      </c>
      <c r="E14" s="28" t="s">
        <v>168</v>
      </c>
      <c r="F14" s="28">
        <f>[2]!Bar(E14,11)*100</f>
        <v>761.9999885559082</v>
      </c>
      <c r="G14" s="30">
        <v>14</v>
      </c>
      <c r="H14" s="28">
        <v>295</v>
      </c>
      <c r="I14" s="30">
        <v>110</v>
      </c>
      <c r="J14" s="28">
        <v>15</v>
      </c>
      <c r="K14" s="31">
        <f>[2]!RcCMaC(C14/10,D14/10,E14,G14*10,H14*10, I14/10, J14,3)</f>
        <v>62.63239071854278</v>
      </c>
      <c r="L14" s="31">
        <f>[2]!RcCMaC(C14/10,D14/10,E14,G14*10,H14*10,I14/10,J14,4)</f>
        <v>51.871608682605761</v>
      </c>
      <c r="M14" s="32">
        <f>[2]!RcCMaC(C14/10,D14/10,E14,G14*10,H14*10, I14/10, J14,0)*10</f>
        <v>47.815093398094177</v>
      </c>
      <c r="N14" s="33">
        <v>7.66</v>
      </c>
      <c r="O14" s="43" t="str">
        <f t="shared" si="0"/>
        <v>OK</v>
      </c>
    </row>
    <row r="15" spans="2:15" x14ac:dyDescent="0.15">
      <c r="B15" s="57" t="s">
        <v>186</v>
      </c>
      <c r="C15" s="53">
        <v>500</v>
      </c>
      <c r="D15" s="29">
        <v>270</v>
      </c>
      <c r="E15" s="28" t="s">
        <v>168</v>
      </c>
      <c r="F15" s="28">
        <f>[2]!Bar(E15,11)*100</f>
        <v>761.9999885559082</v>
      </c>
      <c r="G15" s="30">
        <v>14</v>
      </c>
      <c r="H15" s="28">
        <v>295</v>
      </c>
      <c r="I15" s="30">
        <v>47</v>
      </c>
      <c r="J15" s="28">
        <v>15</v>
      </c>
      <c r="K15" s="31">
        <f>[2]!RcCMaC(C15/10,D15/10,E15,G15*10,H15*10, I15/10, J15,3)</f>
        <v>59.316572933555499</v>
      </c>
      <c r="L15" s="31">
        <f>[2]!RcCMaC(C15/10,D15/10,E15,G15*10,H15*10,I15/10,J15,4)</f>
        <v>51.871608682605761</v>
      </c>
      <c r="M15" s="32">
        <f>[2]!RcCMaC(C15/10,D15/10,E15,G15*10,H15*10, I15/10, J15,0)*10</f>
        <v>42.687028646469116</v>
      </c>
      <c r="N15" s="33">
        <v>7.66</v>
      </c>
      <c r="O15" s="43" t="str">
        <f t="shared" si="0"/>
        <v>OK</v>
      </c>
    </row>
    <row r="16" spans="2:15" x14ac:dyDescent="0.15">
      <c r="B16" s="57" t="s">
        <v>187</v>
      </c>
      <c r="C16" s="53">
        <v>500</v>
      </c>
      <c r="D16" s="29">
        <v>270</v>
      </c>
      <c r="E16" s="28" t="s">
        <v>168</v>
      </c>
      <c r="F16" s="28">
        <f>[2]!Bar(E16,11)*100</f>
        <v>761.9999885559082</v>
      </c>
      <c r="G16" s="30">
        <v>14</v>
      </c>
      <c r="H16" s="28">
        <v>295</v>
      </c>
      <c r="I16" s="30">
        <v>94</v>
      </c>
      <c r="J16" s="28">
        <v>15</v>
      </c>
      <c r="K16" s="31">
        <f>[2]!RcCMaC(C16/10,D16/10,E16,G16*10,H16*10, I16/10, J16,3)</f>
        <v>61.756507750062219</v>
      </c>
      <c r="L16" s="31">
        <f>[2]!RcCMaC(C16/10,D16/10,E16,G16*10,H16*10,I16/10,J16,4)</f>
        <v>51.871608682605761</v>
      </c>
      <c r="M16" s="32">
        <f>[2]!RcCMaC(C16/10,D16/10,E16,G16*10,H16*10, I16/10, J16,0)*10</f>
        <v>46.49830162525177</v>
      </c>
      <c r="N16" s="33">
        <v>7.66</v>
      </c>
      <c r="O16" s="43" t="str">
        <f t="shared" si="0"/>
        <v>OK</v>
      </c>
    </row>
    <row r="17" spans="2:15" x14ac:dyDescent="0.15">
      <c r="B17" s="57" t="s">
        <v>188</v>
      </c>
      <c r="C17" s="53">
        <v>500</v>
      </c>
      <c r="D17" s="29">
        <v>270</v>
      </c>
      <c r="E17" s="28" t="s">
        <v>168</v>
      </c>
      <c r="F17" s="28">
        <f>[2]!Bar(E17,11)*100</f>
        <v>761.9999885559082</v>
      </c>
      <c r="G17" s="30">
        <v>14</v>
      </c>
      <c r="H17" s="28">
        <v>295</v>
      </c>
      <c r="I17" s="30">
        <v>103</v>
      </c>
      <c r="J17" s="28">
        <v>15</v>
      </c>
      <c r="K17" s="31">
        <f>[2]!RcCMaC(C17/10,D17/10,E17,G17*10,H17*10, I17/10, J17,3)</f>
        <v>62.257010351997067</v>
      </c>
      <c r="L17" s="31">
        <f>[2]!RcCMaC(C17/10,D17/10,E17,G17*10,H17*10,I17/10,J17,4)</f>
        <v>51.871608682605761</v>
      </c>
      <c r="M17" s="32">
        <f>[2]!RcCMaC(C17/10,D17/10,E17,G17*10,H17*10, I17/10, J17,0)*10</f>
        <v>47.230955958366394</v>
      </c>
      <c r="N17" s="33">
        <v>7.66</v>
      </c>
      <c r="O17" s="43" t="str">
        <f t="shared" si="0"/>
        <v>OK</v>
      </c>
    </row>
    <row r="18" spans="2:15" x14ac:dyDescent="0.15">
      <c r="B18" s="57" t="s">
        <v>189</v>
      </c>
      <c r="C18" s="53">
        <v>500</v>
      </c>
      <c r="D18" s="29">
        <v>270</v>
      </c>
      <c r="E18" s="28" t="s">
        <v>168</v>
      </c>
      <c r="F18" s="28">
        <f>[2]!Bar(E18,11)*100</f>
        <v>761.9999885559082</v>
      </c>
      <c r="G18" s="30">
        <v>14</v>
      </c>
      <c r="H18" s="28">
        <v>295</v>
      </c>
      <c r="I18" s="30">
        <v>102</v>
      </c>
      <c r="J18" s="28">
        <v>15</v>
      </c>
      <c r="K18" s="31">
        <f>[2]!RcCMaC(C18/10,D18/10,E18,G18*10,H18*10, I18/10, J18,3)</f>
        <v>62.194445819207914</v>
      </c>
      <c r="L18" s="31">
        <f>[2]!RcCMaC(C18/10,D18/10,E18,G18*10,H18*10,I18/10,J18,4)</f>
        <v>51.871608682605761</v>
      </c>
      <c r="M18" s="32">
        <f>[2]!RcCMaC(C18/10,D18/10,E18,G18*10,H18*10, I18/10, J18,0)*10</f>
        <v>47.15343713760376</v>
      </c>
      <c r="N18" s="33">
        <v>7.66</v>
      </c>
      <c r="O18" s="43" t="str">
        <f t="shared" si="0"/>
        <v>OK</v>
      </c>
    </row>
    <row r="19" spans="2:15" x14ac:dyDescent="0.15">
      <c r="B19" s="58" t="s">
        <v>190</v>
      </c>
      <c r="C19" s="54">
        <v>500</v>
      </c>
      <c r="D19" s="44">
        <v>270</v>
      </c>
      <c r="E19" s="45" t="s">
        <v>168</v>
      </c>
      <c r="F19" s="45">
        <f>[2]!Bar(E19,11)*100</f>
        <v>761.9999885559082</v>
      </c>
      <c r="G19" s="46">
        <v>14</v>
      </c>
      <c r="H19" s="45">
        <v>295</v>
      </c>
      <c r="I19" s="46">
        <v>82</v>
      </c>
      <c r="J19" s="45">
        <v>15</v>
      </c>
      <c r="K19" s="47">
        <f>[2]!RcCMaC(C19/10,D19/10,E19,G19*10,H19*10, I19/10, J19,3)</f>
        <v>61.130882912738251</v>
      </c>
      <c r="L19" s="47">
        <f>[2]!RcCMaC(C19/10,D19/10,E19,G19*10,H19*10,I19/10,J19,4)</f>
        <v>51.871608682605761</v>
      </c>
      <c r="M19" s="48">
        <f>[2]!RcCMaC(C19/10,D19/10,E19,G19*10,H19*10, I19/10, J19,0)*10</f>
        <v>45.50592303276062</v>
      </c>
      <c r="N19" s="49">
        <v>7.66</v>
      </c>
      <c r="O19" s="50" t="str">
        <f t="shared" si="0"/>
        <v>OK</v>
      </c>
    </row>
    <row r="23" spans="2:15" x14ac:dyDescent="0.15">
      <c r="K23" s="23"/>
    </row>
    <row r="24" spans="2:15" x14ac:dyDescent="0.15">
      <c r="K24" s="23"/>
    </row>
    <row r="25" spans="2:15" x14ac:dyDescent="0.15">
      <c r="K25" s="23"/>
    </row>
    <row r="26" spans="2:15" x14ac:dyDescent="0.15">
      <c r="K26" s="23"/>
    </row>
    <row r="27" spans="2:15" x14ac:dyDescent="0.15">
      <c r="D27" s="21" t="s">
        <v>143</v>
      </c>
      <c r="E27" t="s">
        <v>150</v>
      </c>
      <c r="I27" t="s">
        <v>159</v>
      </c>
      <c r="K27" s="23"/>
    </row>
    <row r="28" spans="2:15" x14ac:dyDescent="0.15">
      <c r="D28" s="21" t="s">
        <v>144</v>
      </c>
      <c r="E28" t="s">
        <v>151</v>
      </c>
      <c r="I28" t="s">
        <v>159</v>
      </c>
      <c r="K28" s="23"/>
    </row>
    <row r="29" spans="2:15" ht="13.2" x14ac:dyDescent="0.15">
      <c r="D29" s="21" t="s">
        <v>145</v>
      </c>
      <c r="E29" t="s">
        <v>152</v>
      </c>
      <c r="I29" t="s">
        <v>160</v>
      </c>
      <c r="K29" s="23"/>
    </row>
    <row r="30" spans="2:15" ht="13.2" x14ac:dyDescent="0.15">
      <c r="D30" s="21" t="s">
        <v>146</v>
      </c>
      <c r="E30" t="s">
        <v>153</v>
      </c>
      <c r="I30" t="s">
        <v>161</v>
      </c>
      <c r="K30" s="23"/>
    </row>
    <row r="31" spans="2:15" ht="13.2" x14ac:dyDescent="0.15">
      <c r="D31" s="21" t="s">
        <v>147</v>
      </c>
      <c r="E31" t="s">
        <v>154</v>
      </c>
      <c r="I31" t="s">
        <v>161</v>
      </c>
      <c r="K31" s="22"/>
    </row>
    <row r="32" spans="2:15" x14ac:dyDescent="0.15">
      <c r="D32" s="21" t="s">
        <v>148</v>
      </c>
      <c r="E32" t="s">
        <v>155</v>
      </c>
      <c r="I32" t="s">
        <v>162</v>
      </c>
      <c r="K32" s="22"/>
    </row>
    <row r="33" spans="4:9" x14ac:dyDescent="0.15">
      <c r="D33" s="21" t="s">
        <v>149</v>
      </c>
      <c r="E33" t="s">
        <v>156</v>
      </c>
    </row>
    <row r="34" spans="4:9" x14ac:dyDescent="0.15">
      <c r="D34" s="21" t="s">
        <v>164</v>
      </c>
      <c r="E34" t="s">
        <v>157</v>
      </c>
    </row>
    <row r="35" spans="4:9" x14ac:dyDescent="0.15">
      <c r="D35" s="21" t="s">
        <v>166</v>
      </c>
      <c r="E35" t="s">
        <v>158</v>
      </c>
    </row>
    <row r="36" spans="4:9" x14ac:dyDescent="0.15">
      <c r="D36" s="21" t="s">
        <v>169</v>
      </c>
      <c r="E36" t="s">
        <v>170</v>
      </c>
      <c r="I36" t="s">
        <v>171</v>
      </c>
    </row>
    <row r="37" spans="4:9" x14ac:dyDescent="0.15">
      <c r="D37" s="21" t="s">
        <v>191</v>
      </c>
      <c r="E37" t="s">
        <v>192</v>
      </c>
      <c r="I37" t="s">
        <v>171</v>
      </c>
    </row>
  </sheetData>
  <phoneticPr fontId="3"/>
  <pageMargins left="0.78740157480314965" right="0.5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壁</vt:lpstr>
      <vt:lpstr>壁転倒</vt:lpstr>
      <vt:lpstr>スラブ (2)</vt:lpstr>
      <vt:lpstr>スラブ</vt:lpstr>
      <vt:lpstr>barφ</vt:lpstr>
      <vt:lpstr>開口補強hoyu</vt:lpstr>
      <vt:lpstr>開口補強</vt:lpstr>
      <vt:lpstr>長方形　せん断</vt:lpstr>
      <vt:lpstr>長方形 (2)</vt:lpstr>
      <vt:lpstr>Sheet2</vt:lpstr>
      <vt:lpstr>Sheet3</vt:lpstr>
      <vt:lpstr>円形柱の曲げ - (3)</vt:lpstr>
      <vt:lpstr>長方形梁</vt:lpstr>
      <vt:lpstr>円形柱の曲げ - (2)</vt:lpstr>
      <vt:lpstr>円形柱の曲げ -</vt:lpstr>
      <vt:lpstr>円形柱の曲げ + (2)</vt:lpstr>
      <vt:lpstr>円形柱の曲げ +</vt:lpstr>
      <vt:lpstr>Sheet1</vt:lpstr>
      <vt:lpstr>長方形</vt:lpstr>
      <vt:lpstr>円形柱の曲げ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大和ハウス工業株式会社</dc:creator>
  <cp:lastModifiedBy>Administrator</cp:lastModifiedBy>
  <cp:lastPrinted>2019-02-06T01:25:19Z</cp:lastPrinted>
  <dcterms:created xsi:type="dcterms:W3CDTF">2009-06-30T00:33:01Z</dcterms:created>
  <dcterms:modified xsi:type="dcterms:W3CDTF">2022-07-01T07:19:16Z</dcterms:modified>
</cp:coreProperties>
</file>