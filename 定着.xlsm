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0025134\OneDrive - DAIWA HOUSE INDUSTRY CO., LTD\excel2\RC\"/>
    </mc:Choice>
  </mc:AlternateContent>
  <xr:revisionPtr revIDLastSave="145" documentId="10_ncr:100000_{A0541F0F-E755-4813-A223-8CD1ED4D204A}" xr6:coauthVersionLast="36" xr6:coauthVersionMax="36" xr10:uidLastSave="{4152FFCB-6B6E-4E74-B3D5-801ACEEA3949}"/>
  <bookViews>
    <workbookView xWindow="360" yWindow="36" windowWidth="19068" windowHeight="12372" activeTab="1" xr2:uid="{00000000-000D-0000-FFFF-FFFF00000000}"/>
  </bookViews>
  <sheets>
    <sheet name="RC基準 (4)" sheetId="9" r:id="rId1"/>
    <sheet name="RC基準 (3)" sheetId="8" r:id="rId2"/>
    <sheet name="432" sheetId="6" r:id="rId3"/>
    <sheet name="RC基準 (2)" sheetId="7" r:id="rId4"/>
    <sheet name="RC基準" sheetId="5" r:id="rId5"/>
    <sheet name="Sheet1 (2)" sheetId="4" r:id="rId6"/>
    <sheet name="Sheet1" sheetId="1" r:id="rId7"/>
    <sheet name="Sheet2" sheetId="2" r:id="rId8"/>
    <sheet name="Sheet3" sheetId="3" r:id="rId9"/>
  </sheets>
  <externalReferences>
    <externalReference r:id="rId10"/>
    <externalReference r:id="rId11"/>
    <externalReference r:id="rId1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9" i="8" l="1"/>
  <c r="H9" i="8"/>
  <c r="M37" i="9" l="1"/>
  <c r="I38" i="9"/>
  <c r="I39" i="9"/>
  <c r="I37" i="9"/>
  <c r="J26" i="4" l="1"/>
  <c r="F26" i="4"/>
  <c r="G26" i="4" s="1"/>
  <c r="I26" i="4"/>
  <c r="H34" i="9" l="1"/>
  <c r="C18" i="9"/>
  <c r="D38" i="9"/>
  <c r="D39" i="9" s="1"/>
  <c r="G39" i="9"/>
  <c r="G38" i="9"/>
  <c r="G37" i="9"/>
  <c r="E19" i="9"/>
  <c r="H9" i="9"/>
  <c r="F37" i="9" s="1"/>
  <c r="F38" i="9" s="1"/>
  <c r="F39" i="9" s="1"/>
  <c r="E24" i="8"/>
  <c r="I19" i="9"/>
  <c r="I24" i="8"/>
  <c r="H38" i="9" l="1"/>
  <c r="H37" i="9"/>
  <c r="H39" i="9"/>
  <c r="F21" i="9"/>
  <c r="J21" i="9" s="1"/>
  <c r="F26" i="8"/>
  <c r="J26" i="8" s="1"/>
  <c r="N28" i="5"/>
  <c r="N30" i="5" s="1"/>
  <c r="N31" i="5" s="1"/>
  <c r="H30" i="5"/>
  <c r="H29" i="5"/>
  <c r="H9" i="7"/>
  <c r="G22" i="7"/>
  <c r="F10" i="6"/>
  <c r="I10" i="6" s="1"/>
  <c r="K10" i="6" s="1"/>
  <c r="E17" i="7"/>
  <c r="H9" i="5"/>
  <c r="F18" i="5" s="1"/>
  <c r="M4" i="6"/>
  <c r="D14" i="6"/>
  <c r="F14" i="6"/>
  <c r="I14" i="6" s="1"/>
  <c r="K14" i="6" s="1"/>
  <c r="K13" i="6"/>
  <c r="I19" i="5"/>
  <c r="I20" i="5"/>
  <c r="I21" i="5"/>
  <c r="I22" i="5"/>
  <c r="I23" i="5"/>
  <c r="I24" i="5"/>
  <c r="I25" i="5"/>
  <c r="I18" i="5"/>
  <c r="H10" i="6"/>
  <c r="H11" i="6"/>
  <c r="H12" i="6"/>
  <c r="H13" i="6"/>
  <c r="H14" i="6"/>
  <c r="H15" i="6"/>
  <c r="H16" i="6"/>
  <c r="H17" i="6"/>
  <c r="D11" i="6"/>
  <c r="D12" i="6"/>
  <c r="F12" i="6" s="1"/>
  <c r="I12" i="6" s="1"/>
  <c r="K12" i="6" s="1"/>
  <c r="F16" i="6"/>
  <c r="I16" i="6" s="1"/>
  <c r="K16" i="6" s="1"/>
  <c r="F17" i="6"/>
  <c r="I17" i="6" s="1"/>
  <c r="K17" i="6" s="1"/>
  <c r="D10" i="6"/>
  <c r="I15" i="6"/>
  <c r="K15" i="6" s="1"/>
  <c r="F11" i="6"/>
  <c r="I11" i="6" s="1"/>
  <c r="K11" i="6" s="1"/>
  <c r="F13" i="6"/>
  <c r="F15" i="6"/>
  <c r="E14" i="4"/>
  <c r="E15" i="4"/>
  <c r="E16" i="4"/>
  <c r="E17" i="4"/>
  <c r="E13" i="4"/>
  <c r="E11" i="4"/>
  <c r="E12" i="4"/>
  <c r="E10" i="4"/>
  <c r="G25" i="5"/>
  <c r="G24" i="5"/>
  <c r="G23" i="5"/>
  <c r="G22" i="5"/>
  <c r="G21" i="5"/>
  <c r="G20" i="5"/>
  <c r="G19" i="5"/>
  <c r="G18" i="5"/>
  <c r="H26" i="4"/>
  <c r="I33" i="4"/>
  <c r="I32" i="4"/>
  <c r="I31" i="4"/>
  <c r="I30" i="4"/>
  <c r="I29" i="4"/>
  <c r="I28" i="4"/>
  <c r="I27" i="4"/>
  <c r="D23" i="4"/>
  <c r="F27" i="4"/>
  <c r="F28" i="4" s="1"/>
  <c r="G27" i="4"/>
  <c r="H27" i="4" s="1"/>
  <c r="M25" i="2"/>
  <c r="M26" i="2"/>
  <c r="M27" i="2"/>
  <c r="M28" i="2"/>
  <c r="M29" i="2"/>
  <c r="M30" i="2"/>
  <c r="M31" i="2"/>
  <c r="M24" i="2"/>
  <c r="O24" i="2" s="1"/>
  <c r="H28" i="2"/>
  <c r="O28" i="2" s="1"/>
  <c r="F25" i="2"/>
  <c r="H25" i="2"/>
  <c r="O25" i="2" s="1"/>
  <c r="F26" i="2"/>
  <c r="H26" i="2" s="1"/>
  <c r="O26" i="2" s="1"/>
  <c r="F27" i="2"/>
  <c r="H27" i="2" s="1"/>
  <c r="O27" i="2" s="1"/>
  <c r="F28" i="2"/>
  <c r="F29" i="2"/>
  <c r="H29" i="2"/>
  <c r="O29" i="2" s="1"/>
  <c r="F30" i="2"/>
  <c r="H30" i="2"/>
  <c r="O30" i="2" s="1"/>
  <c r="F31" i="2"/>
  <c r="H31" i="2" s="1"/>
  <c r="O31" i="2" s="1"/>
  <c r="F24" i="2"/>
  <c r="H24" i="2"/>
  <c r="G10" i="4"/>
  <c r="H10" i="4"/>
  <c r="J10" i="4" s="1"/>
  <c r="I11" i="4"/>
  <c r="I12" i="4"/>
  <c r="I13" i="4"/>
  <c r="I14" i="4"/>
  <c r="I15" i="4"/>
  <c r="I16" i="4"/>
  <c r="I17" i="4"/>
  <c r="I10" i="4"/>
  <c r="G11" i="4"/>
  <c r="G12" i="4"/>
  <c r="G13" i="4"/>
  <c r="G14" i="4"/>
  <c r="G15" i="4"/>
  <c r="G16" i="4"/>
  <c r="G17" i="4"/>
  <c r="D7" i="4"/>
  <c r="F10" i="4"/>
  <c r="F11" i="4" s="1"/>
  <c r="F12" i="4" s="1"/>
  <c r="F13" i="4" s="1"/>
  <c r="F24" i="1"/>
  <c r="H24" i="1"/>
  <c r="I24" i="1"/>
  <c r="K24" i="1" s="1"/>
  <c r="M24" i="1" s="1"/>
  <c r="J24" i="1"/>
  <c r="L24" i="1"/>
  <c r="G4" i="1"/>
  <c r="G5" i="1"/>
  <c r="G6" i="1"/>
  <c r="G7" i="1"/>
  <c r="G8" i="1"/>
  <c r="G9" i="1"/>
  <c r="G10" i="1"/>
  <c r="G3" i="1"/>
  <c r="H3" i="1" s="1"/>
  <c r="D13" i="1"/>
  <c r="F3" i="1"/>
  <c r="F4" i="1" s="1"/>
  <c r="F5" i="1" s="1"/>
  <c r="M3" i="1"/>
  <c r="M10" i="1"/>
  <c r="N4" i="2"/>
  <c r="E17" i="2"/>
  <c r="E14" i="2"/>
  <c r="F14" i="2" s="1"/>
  <c r="F17" i="2" s="1"/>
  <c r="E7" i="2"/>
  <c r="F7" i="2" s="1"/>
  <c r="M4" i="1"/>
  <c r="M5" i="1"/>
  <c r="M6" i="1"/>
  <c r="M7" i="1"/>
  <c r="M8" i="1"/>
  <c r="M9" i="1"/>
  <c r="I13" i="6"/>
  <c r="L10" i="1"/>
  <c r="L6" i="1"/>
  <c r="P4" i="1"/>
  <c r="P5" i="1"/>
  <c r="L9" i="1"/>
  <c r="P10" i="1"/>
  <c r="L3" i="1"/>
  <c r="L4" i="1"/>
  <c r="D11" i="2"/>
  <c r="L7" i="1"/>
  <c r="P3" i="1"/>
  <c r="G11" i="2"/>
  <c r="P6" i="1"/>
  <c r="J4" i="2"/>
  <c r="L5" i="1"/>
  <c r="P8" i="1"/>
  <c r="D4" i="2"/>
  <c r="G4" i="2"/>
  <c r="P7" i="1"/>
  <c r="P9" i="1"/>
  <c r="L8" i="1"/>
  <c r="I17" i="7"/>
  <c r="I19" i="8"/>
  <c r="J37" i="9" l="1"/>
  <c r="K37" i="9" s="1"/>
  <c r="J38" i="9"/>
  <c r="K38" i="9" s="1"/>
  <c r="M38" i="9"/>
  <c r="J39" i="9"/>
  <c r="K39" i="9" s="1"/>
  <c r="M39" i="9"/>
  <c r="L26" i="4"/>
  <c r="J27" i="4"/>
  <c r="L27" i="4"/>
  <c r="H18" i="5"/>
  <c r="F29" i="4"/>
  <c r="G28" i="4"/>
  <c r="H28" i="4" s="1"/>
  <c r="H13" i="4"/>
  <c r="F14" i="4"/>
  <c r="H12" i="4"/>
  <c r="H11" i="4"/>
  <c r="H4" i="1"/>
  <c r="K3" i="1"/>
  <c r="I3" i="1"/>
  <c r="F6" i="1"/>
  <c r="H5" i="1"/>
  <c r="M10" i="4"/>
  <c r="F21" i="8"/>
  <c r="J21" i="8" s="1"/>
  <c r="F19" i="5"/>
  <c r="J18" i="5"/>
  <c r="K18" i="5" s="1"/>
  <c r="O6" i="1"/>
  <c r="O7" i="1"/>
  <c r="H4" i="2"/>
  <c r="H7" i="2" s="1"/>
  <c r="E22" i="7"/>
  <c r="F22" i="7" s="1"/>
  <c r="G23" i="7" s="1"/>
  <c r="O4" i="1"/>
  <c r="L4" i="2"/>
  <c r="O4" i="2" s="1"/>
  <c r="Q4" i="2" s="1"/>
  <c r="O10" i="1"/>
  <c r="O8" i="1"/>
  <c r="O5" i="1"/>
  <c r="O3" i="1"/>
  <c r="O9" i="1"/>
  <c r="H11" i="2"/>
  <c r="H14" i="2" s="1"/>
  <c r="J28" i="4" l="1"/>
  <c r="L28" i="4"/>
  <c r="K5" i="1"/>
  <c r="I5" i="1"/>
  <c r="M11" i="4"/>
  <c r="J11" i="4"/>
  <c r="M12" i="4"/>
  <c r="J12" i="4"/>
  <c r="H6" i="1"/>
  <c r="F7" i="1"/>
  <c r="I4" i="1"/>
  <c r="K4" i="1"/>
  <c r="H14" i="4"/>
  <c r="F15" i="4"/>
  <c r="M13" i="4"/>
  <c r="J13" i="4"/>
  <c r="G29" i="4"/>
  <c r="H29" i="4" s="1"/>
  <c r="F30" i="4"/>
  <c r="F31" i="4" s="1"/>
  <c r="F32" i="4" s="1"/>
  <c r="F33" i="4" s="1"/>
  <c r="F20" i="5"/>
  <c r="H19" i="5"/>
  <c r="J19" i="5" s="1"/>
  <c r="K19" i="5" s="1"/>
  <c r="J29" i="4" l="1"/>
  <c r="L29" i="4"/>
  <c r="J14" i="4"/>
  <c r="M14" i="4"/>
  <c r="I6" i="1"/>
  <c r="K6" i="1"/>
  <c r="F8" i="1"/>
  <c r="H7" i="1"/>
  <c r="G30" i="4"/>
  <c r="H30" i="4" s="1"/>
  <c r="F16" i="4"/>
  <c r="H15" i="4"/>
  <c r="F21" i="5"/>
  <c r="H20" i="5"/>
  <c r="J20" i="5" s="1"/>
  <c r="K20" i="5" s="1"/>
  <c r="J30" i="4" l="1"/>
  <c r="L30" i="4"/>
  <c r="G31" i="4"/>
  <c r="H31" i="4" s="1"/>
  <c r="M15" i="4"/>
  <c r="J15" i="4"/>
  <c r="F17" i="4"/>
  <c r="H17" i="4" s="1"/>
  <c r="H16" i="4"/>
  <c r="I7" i="1"/>
  <c r="K7" i="1"/>
  <c r="F9" i="1"/>
  <c r="H8" i="1"/>
  <c r="F22" i="5"/>
  <c r="H21" i="5"/>
  <c r="J21" i="5" s="1"/>
  <c r="K21" i="5" s="1"/>
  <c r="J31" i="4" l="1"/>
  <c r="L31" i="4"/>
  <c r="G33" i="4"/>
  <c r="H33" i="4" s="1"/>
  <c r="G32" i="4"/>
  <c r="H32" i="4" s="1"/>
  <c r="K8" i="1"/>
  <c r="I8" i="1"/>
  <c r="J16" i="4"/>
  <c r="M16" i="4"/>
  <c r="M17" i="4"/>
  <c r="J17" i="4"/>
  <c r="H9" i="1"/>
  <c r="F10" i="1"/>
  <c r="H10" i="1" s="1"/>
  <c r="H22" i="5"/>
  <c r="J22" i="5" s="1"/>
  <c r="K22" i="5" s="1"/>
  <c r="F23" i="5"/>
  <c r="J32" i="4" l="1"/>
  <c r="L32" i="4"/>
  <c r="J33" i="4"/>
  <c r="L33" i="4"/>
  <c r="I10" i="1"/>
  <c r="K10" i="1"/>
  <c r="K9" i="1"/>
  <c r="I9" i="1"/>
  <c r="F24" i="5"/>
  <c r="H23" i="5"/>
  <c r="J23" i="5" s="1"/>
  <c r="K23" i="5" s="1"/>
  <c r="H24" i="5" l="1"/>
  <c r="J24" i="5" s="1"/>
  <c r="K24" i="5" s="1"/>
  <c r="F25" i="5"/>
  <c r="H25" i="5" l="1"/>
  <c r="H31" i="5" s="1"/>
  <c r="J31" i="5" s="1"/>
  <c r="J25" i="5" l="1"/>
  <c r="K25" i="5" s="1"/>
</calcChain>
</file>

<file path=xl/sharedStrings.xml><?xml version="1.0" encoding="utf-8"?>
<sst xmlns="http://schemas.openxmlformats.org/spreadsheetml/2006/main" count="306" uniqueCount="116">
  <si>
    <t>D19</t>
    <phoneticPr fontId="1"/>
  </si>
  <si>
    <t>D22</t>
    <phoneticPr fontId="1"/>
  </si>
  <si>
    <t>D16</t>
    <phoneticPr fontId="1"/>
  </si>
  <si>
    <t>D13</t>
    <phoneticPr fontId="1"/>
  </si>
  <si>
    <t>D10</t>
    <phoneticPr fontId="1"/>
  </si>
  <si>
    <t>D25</t>
    <phoneticPr fontId="1"/>
  </si>
  <si>
    <t>D29</t>
    <phoneticPr fontId="1"/>
  </si>
  <si>
    <t>D32</t>
    <phoneticPr fontId="1"/>
  </si>
  <si>
    <t>A</t>
    <phoneticPr fontId="1"/>
  </si>
  <si>
    <t>fb</t>
    <phoneticPr fontId="1"/>
  </si>
  <si>
    <t>σt</t>
    <phoneticPr fontId="1"/>
  </si>
  <si>
    <t>σy=1.1σt</t>
    <phoneticPr fontId="1"/>
  </si>
  <si>
    <t>D35</t>
    <phoneticPr fontId="1"/>
  </si>
  <si>
    <t>D38</t>
    <phoneticPr fontId="1"/>
  </si>
  <si>
    <t>B</t>
    <phoneticPr fontId="1"/>
  </si>
  <si>
    <t>str</t>
    <phoneticPr fontId="1"/>
  </si>
  <si>
    <t>あき</t>
    <phoneticPr fontId="1"/>
  </si>
  <si>
    <t>かぶり</t>
    <phoneticPr fontId="1"/>
  </si>
  <si>
    <t>最小かぶり</t>
    <rPh sb="0" eb="2">
      <t>サイショウ</t>
    </rPh>
    <phoneticPr fontId="1"/>
  </si>
  <si>
    <t>鉄筋径の５倍</t>
    <rPh sb="0" eb="2">
      <t>テッキン</t>
    </rPh>
    <rPh sb="2" eb="3">
      <t>ケイ</t>
    </rPh>
    <rPh sb="5" eb="6">
      <t>バイ</t>
    </rPh>
    <phoneticPr fontId="1"/>
  </si>
  <si>
    <t>db</t>
    <phoneticPr fontId="1"/>
  </si>
  <si>
    <t>σｔ</t>
    <phoneticPr fontId="1"/>
  </si>
  <si>
    <t>a</t>
    <phoneticPr fontId="1"/>
  </si>
  <si>
    <t>fa</t>
    <phoneticPr fontId="1"/>
  </si>
  <si>
    <t>φ</t>
    <phoneticPr fontId="1"/>
  </si>
  <si>
    <t>5-D25</t>
    <phoneticPr fontId="1"/>
  </si>
  <si>
    <t>j</t>
    <phoneticPr fontId="1"/>
  </si>
  <si>
    <t>D</t>
    <phoneticPr fontId="1"/>
  </si>
  <si>
    <t>dt</t>
    <phoneticPr fontId="1"/>
  </si>
  <si>
    <t>d</t>
    <phoneticPr fontId="1"/>
  </si>
  <si>
    <t>3-D25</t>
    <phoneticPr fontId="1"/>
  </si>
  <si>
    <t>1/4</t>
    <phoneticPr fontId="1"/>
  </si>
  <si>
    <t>ceu</t>
    <phoneticPr fontId="1"/>
  </si>
  <si>
    <t>Ｓ</t>
    <phoneticPr fontId="1"/>
  </si>
  <si>
    <t>ｆｂ</t>
    <phoneticPr fontId="1"/>
  </si>
  <si>
    <t>fb=Fc/40+0.9=</t>
    <phoneticPr fontId="1"/>
  </si>
  <si>
    <t>Fc=</t>
    <phoneticPr fontId="1"/>
  </si>
  <si>
    <t>db</t>
    <phoneticPr fontId="1"/>
  </si>
  <si>
    <t>①/②</t>
    <phoneticPr fontId="1"/>
  </si>
  <si>
    <t>判定</t>
    <rPh sb="0" eb="2">
      <t>ハンテイ</t>
    </rPh>
    <phoneticPr fontId="1"/>
  </si>
  <si>
    <t>ＯＫ</t>
    <phoneticPr fontId="1"/>
  </si>
  <si>
    <t>①　lab</t>
    <phoneticPr fontId="1"/>
  </si>
  <si>
    <t>②　35D</t>
    <phoneticPr fontId="1"/>
  </si>
  <si>
    <t>α</t>
    <phoneticPr fontId="1"/>
  </si>
  <si>
    <t>必要定着長さの検討</t>
    <rPh sb="0" eb="2">
      <t>ヒツヨウ</t>
    </rPh>
    <rPh sb="2" eb="4">
      <t>テイチャク</t>
    </rPh>
    <rPh sb="4" eb="5">
      <t>ナガ</t>
    </rPh>
    <rPh sb="7" eb="9">
      <t>ケントウ</t>
    </rPh>
    <phoneticPr fontId="1"/>
  </si>
  <si>
    <t>RC基準（17.2式）</t>
    <rPh sb="2" eb="4">
      <t>キジュン</t>
    </rPh>
    <rPh sb="9" eb="10">
      <t>シキ</t>
    </rPh>
    <phoneticPr fontId="1"/>
  </si>
  <si>
    <t>RC基準（表16.2　その他の鉄筋）</t>
    <rPh sb="2" eb="4">
      <t>キジュン</t>
    </rPh>
    <rPh sb="5" eb="6">
      <t>ヒョウ</t>
    </rPh>
    <rPh sb="13" eb="14">
      <t>タ</t>
    </rPh>
    <rPh sb="15" eb="17">
      <t>テッキン</t>
    </rPh>
    <phoneticPr fontId="1"/>
  </si>
  <si>
    <t>lab=α・Ｓ・σt・db/(10]fb)</t>
    <phoneticPr fontId="1"/>
  </si>
  <si>
    <t>κ</t>
    <phoneticPr fontId="1"/>
  </si>
  <si>
    <t>σ</t>
    <phoneticPr fontId="1"/>
  </si>
  <si>
    <t>ｄ</t>
    <phoneticPr fontId="1"/>
  </si>
  <si>
    <t>F</t>
    <phoneticPr fontId="1"/>
  </si>
  <si>
    <t>F/4+9</t>
    <phoneticPr fontId="1"/>
  </si>
  <si>
    <t>la&gt;=κ*σ*d/(F/4+9)</t>
    <phoneticPr fontId="1"/>
  </si>
  <si>
    <t>平成２３年告示４３２号</t>
    <rPh sb="0" eb="2">
      <t>ヘイセイ</t>
    </rPh>
    <rPh sb="4" eb="5">
      <t>ネン</t>
    </rPh>
    <rPh sb="5" eb="7">
      <t>コクジ</t>
    </rPh>
    <rPh sb="10" eb="11">
      <t>ゴウ</t>
    </rPh>
    <phoneticPr fontId="1"/>
  </si>
  <si>
    <t>①κ*σ*d</t>
    <phoneticPr fontId="1"/>
  </si>
  <si>
    <t>②F/4+9</t>
    <phoneticPr fontId="1"/>
  </si>
  <si>
    <t>Lh=①/②</t>
    <phoneticPr fontId="1"/>
  </si>
  <si>
    <t>35D</t>
    <phoneticPr fontId="1"/>
  </si>
  <si>
    <t>lab=α・Ｓ・σt・db/(10fb)</t>
    <phoneticPr fontId="1"/>
  </si>
  <si>
    <t>採用</t>
    <rPh sb="0" eb="2">
      <t>サイヨウ</t>
    </rPh>
    <phoneticPr fontId="1"/>
  </si>
  <si>
    <t>B=</t>
    <phoneticPr fontId="1"/>
  </si>
  <si>
    <t>②0.5B</t>
    <phoneticPr fontId="1"/>
  </si>
  <si>
    <t>（柱幅）</t>
    <rPh sb="1" eb="2">
      <t>ハシラ</t>
    </rPh>
    <rPh sb="2" eb="3">
      <t>ハバ</t>
    </rPh>
    <phoneticPr fontId="1"/>
  </si>
  <si>
    <t>平２３国公告第４３２号，第２より「鉄筋コンクリート構造計算基準・同解説（2010）」
（以降RC基準）に基づいて検討する。</t>
    <rPh sb="0" eb="1">
      <t>ヘイ</t>
    </rPh>
    <rPh sb="3" eb="4">
      <t>コク</t>
    </rPh>
    <rPh sb="4" eb="5">
      <t>コウ</t>
    </rPh>
    <rPh sb="6" eb="7">
      <t>ダイ</t>
    </rPh>
    <rPh sb="10" eb="11">
      <t>ゴウ</t>
    </rPh>
    <rPh sb="12" eb="13">
      <t>ダイ</t>
    </rPh>
    <rPh sb="17" eb="19">
      <t>テッキン</t>
    </rPh>
    <rPh sb="25" eb="27">
      <t>コウゾウ</t>
    </rPh>
    <rPh sb="27" eb="29">
      <t>ケイサン</t>
    </rPh>
    <rPh sb="29" eb="31">
      <t>キジュン</t>
    </rPh>
    <rPh sb="32" eb="33">
      <t>ドウ</t>
    </rPh>
    <rPh sb="33" eb="35">
      <t>カイセツ</t>
    </rPh>
    <rPh sb="44" eb="46">
      <t>イコウ</t>
    </rPh>
    <rPh sb="48" eb="50">
      <t>キジュン</t>
    </rPh>
    <phoneticPr fontId="1"/>
  </si>
  <si>
    <t>RC基準（表16.1　その他の鉄筋）</t>
    <rPh sb="2" eb="4">
      <t>キジュン</t>
    </rPh>
    <rPh sb="5" eb="6">
      <t>ヒョウ</t>
    </rPh>
    <rPh sb="13" eb="14">
      <t>タ</t>
    </rPh>
    <rPh sb="15" eb="17">
      <t>テッキン</t>
    </rPh>
    <phoneticPr fontId="1"/>
  </si>
  <si>
    <t>必要定着長さ</t>
    <rPh sb="0" eb="2">
      <t>ヒツヨウ</t>
    </rPh>
    <rPh sb="2" eb="4">
      <t>テイチャク</t>
    </rPh>
    <rPh sb="4" eb="5">
      <t>ナガ</t>
    </rPh>
    <phoneticPr fontId="1"/>
  </si>
  <si>
    <t>付着割裂の基準となる強度：</t>
    <rPh sb="0" eb="2">
      <t>フチャク</t>
    </rPh>
    <rPh sb="2" eb="4">
      <t>カツレツ</t>
    </rPh>
    <rPh sb="5" eb="7">
      <t>キジュン</t>
    </rPh>
    <rPh sb="10" eb="12">
      <t>キョウド</t>
    </rPh>
    <phoneticPr fontId="1"/>
  </si>
  <si>
    <t>コンクリートの設計基準強度：</t>
    <rPh sb="7" eb="9">
      <t>セッケイ</t>
    </rPh>
    <rPh sb="9" eb="11">
      <t>キジュン</t>
    </rPh>
    <rPh sb="11" eb="13">
      <t>キョウド</t>
    </rPh>
    <phoneticPr fontId="1"/>
  </si>
  <si>
    <t>異形鉄筋の呼び名に用いた数値：</t>
    <rPh sb="0" eb="2">
      <t>イケイ</t>
    </rPh>
    <rPh sb="2" eb="4">
      <t>テッキン</t>
    </rPh>
    <rPh sb="5" eb="6">
      <t>ヨ</t>
    </rPh>
    <rPh sb="7" eb="8">
      <t>ナ</t>
    </rPh>
    <rPh sb="9" eb="10">
      <t>モチ</t>
    </rPh>
    <rPh sb="12" eb="14">
      <t>スウチ</t>
    </rPh>
    <phoneticPr fontId="1"/>
  </si>
  <si>
    <t>ｄｂ＝</t>
    <phoneticPr fontId="1"/>
  </si>
  <si>
    <t>Fｃ＝</t>
    <phoneticPr fontId="1"/>
  </si>
  <si>
    <t>α=</t>
    <phoneticPr fontId="1"/>
  </si>
  <si>
    <t>横補強筋で拘束されたコア内に定着：</t>
    <rPh sb="0" eb="1">
      <t>ヨコ</t>
    </rPh>
    <rPh sb="1" eb="4">
      <t>ホキョウキン</t>
    </rPh>
    <rPh sb="5" eb="7">
      <t>コウソク</t>
    </rPh>
    <rPh sb="12" eb="13">
      <t>ナイ</t>
    </rPh>
    <rPh sb="14" eb="16">
      <t>テイチャク</t>
    </rPh>
    <phoneticPr fontId="1"/>
  </si>
  <si>
    <t>仕口面における鉄筋の応力度：</t>
    <rPh sb="0" eb="2">
      <t>シグチ</t>
    </rPh>
    <rPh sb="2" eb="3">
      <t>メン</t>
    </rPh>
    <rPh sb="7" eb="9">
      <t>テッキン</t>
    </rPh>
    <rPh sb="10" eb="12">
      <t>オウリョク</t>
    </rPh>
    <rPh sb="12" eb="13">
      <t>ド</t>
    </rPh>
    <phoneticPr fontId="1"/>
  </si>
  <si>
    <t>σt=</t>
    <phoneticPr fontId="1"/>
  </si>
  <si>
    <t>N/mm2</t>
    <phoneticPr fontId="1"/>
  </si>
  <si>
    <t>mm</t>
    <phoneticPr fontId="1"/>
  </si>
  <si>
    <t>lab=</t>
    <phoneticPr fontId="1"/>
  </si>
  <si>
    <t>必要定着長さの修正係数：</t>
    <rPh sb="0" eb="2">
      <t>ヒツヨウ</t>
    </rPh>
    <rPh sb="2" eb="4">
      <t>テイチャク</t>
    </rPh>
    <rPh sb="4" eb="5">
      <t>ナガ</t>
    </rPh>
    <rPh sb="7" eb="9">
      <t>シュウセイ</t>
    </rPh>
    <rPh sb="9" eb="11">
      <t>ケイスウ</t>
    </rPh>
    <phoneticPr fontId="1"/>
  </si>
  <si>
    <t>S=</t>
    <phoneticPr fontId="1"/>
  </si>
  <si>
    <t>la=</t>
    <phoneticPr fontId="1"/>
  </si>
  <si>
    <t>※柱成（800）の1/2</t>
    <rPh sb="1" eb="2">
      <t>ハシラ</t>
    </rPh>
    <rPh sb="2" eb="3">
      <t>セイ</t>
    </rPh>
    <phoneticPr fontId="1"/>
  </si>
  <si>
    <t>最小定着長さ：</t>
    <rPh sb="0" eb="2">
      <t>サイショウ</t>
    </rPh>
    <rPh sb="2" eb="4">
      <t>テイチャク</t>
    </rPh>
    <rPh sb="4" eb="5">
      <t>ナガ</t>
    </rPh>
    <phoneticPr fontId="1"/>
  </si>
  <si>
    <t>必要定着長さ：lab</t>
    <rPh sb="0" eb="2">
      <t>ヒツヨウ</t>
    </rPh>
    <rPh sb="2" eb="4">
      <t>テイチャク</t>
    </rPh>
    <rPh sb="4" eb="5">
      <t>ナガ</t>
    </rPh>
    <phoneticPr fontId="1"/>
  </si>
  <si>
    <t>la:定着長さ</t>
    <rPh sb="3" eb="5">
      <t>テイチャク</t>
    </rPh>
    <rPh sb="5" eb="6">
      <t>ナガ</t>
    </rPh>
    <phoneticPr fontId="1"/>
  </si>
  <si>
    <t>lab/B=</t>
    <phoneticPr fontId="1"/>
  </si>
  <si>
    <t>B*3/4=</t>
    <phoneticPr fontId="1"/>
  </si>
  <si>
    <t>B*2/3=</t>
    <phoneticPr fontId="1"/>
  </si>
  <si>
    <t>必要定着長さ：lab=</t>
    <rPh sb="0" eb="2">
      <t>ヒツヨウ</t>
    </rPh>
    <rPh sb="2" eb="4">
      <t>テイチャク</t>
    </rPh>
    <rPh sb="4" eb="5">
      <t>ナガ</t>
    </rPh>
    <phoneticPr fontId="1"/>
  </si>
  <si>
    <t>直線定着</t>
    <rPh sb="0" eb="2">
      <t>チョクセン</t>
    </rPh>
    <rPh sb="2" eb="4">
      <t>テイチャク</t>
    </rPh>
    <phoneticPr fontId="1"/>
  </si>
  <si>
    <t>耐震部材（柱，大梁，耐震壁，基礎など）</t>
    <rPh sb="0" eb="2">
      <t>タイシン</t>
    </rPh>
    <rPh sb="2" eb="4">
      <t>ブザイ</t>
    </rPh>
    <rPh sb="5" eb="6">
      <t>ハシラ</t>
    </rPh>
    <rPh sb="7" eb="9">
      <t>オオバリ</t>
    </rPh>
    <rPh sb="10" eb="12">
      <t>タイシン</t>
    </rPh>
    <rPh sb="12" eb="13">
      <t>カベ</t>
    </rPh>
    <rPh sb="14" eb="16">
      <t>キソ</t>
    </rPh>
    <phoneticPr fontId="1"/>
  </si>
  <si>
    <t>片持形式</t>
    <rPh sb="0" eb="2">
      <t>カタモ</t>
    </rPh>
    <rPh sb="2" eb="4">
      <t>ケイシキ</t>
    </rPh>
    <phoneticPr fontId="1"/>
  </si>
  <si>
    <t>上記以外</t>
    <rPh sb="0" eb="2">
      <t>ジョウキ</t>
    </rPh>
    <rPh sb="2" eb="4">
      <t>イガイ</t>
    </rPh>
    <phoneticPr fontId="1"/>
  </si>
  <si>
    <t>（小梁，スラブ，非構造壁など）</t>
    <rPh sb="1" eb="3">
      <t>コバリ</t>
    </rPh>
    <rPh sb="8" eb="9">
      <t>ヒ</t>
    </rPh>
    <rPh sb="9" eb="11">
      <t>コウゾウ</t>
    </rPh>
    <rPh sb="11" eb="12">
      <t>カベ</t>
    </rPh>
    <phoneticPr fontId="1"/>
  </si>
  <si>
    <t>非耐震部材</t>
    <rPh sb="0" eb="1">
      <t>ヒ</t>
    </rPh>
    <rPh sb="1" eb="3">
      <t>タイシン</t>
    </rPh>
    <rPh sb="3" eb="5">
      <t>ブザイ</t>
    </rPh>
    <phoneticPr fontId="1"/>
  </si>
  <si>
    <t>その他の部材</t>
    <rPh sb="2" eb="3">
      <t>タ</t>
    </rPh>
    <rPh sb="4" eb="6">
      <t>ブザイ</t>
    </rPh>
    <phoneticPr fontId="1"/>
  </si>
  <si>
    <t>標準フックまたは</t>
    <rPh sb="0" eb="2">
      <t>ヒョウジュン</t>
    </rPh>
    <phoneticPr fontId="1"/>
  </si>
  <si>
    <t>信頼できる</t>
    <rPh sb="0" eb="2">
      <t>シンライ</t>
    </rPh>
    <phoneticPr fontId="1"/>
  </si>
  <si>
    <t>機械式定着</t>
    <rPh sb="0" eb="3">
      <t>キカイシキ</t>
    </rPh>
    <rPh sb="3" eb="5">
      <t>テイチャク</t>
    </rPh>
    <phoneticPr fontId="1"/>
  </si>
  <si>
    <t>S</t>
    <phoneticPr fontId="1"/>
  </si>
  <si>
    <t>種　　　類</t>
    <rPh sb="0" eb="1">
      <t>シュ</t>
    </rPh>
    <rPh sb="4" eb="5">
      <t>タグイ</t>
    </rPh>
    <phoneticPr fontId="1"/>
  </si>
  <si>
    <t>lab/db=</t>
    <phoneticPr fontId="1"/>
  </si>
  <si>
    <t>&lt;35d</t>
    <phoneticPr fontId="1"/>
  </si>
  <si>
    <t>直線定着</t>
    <phoneticPr fontId="1"/>
  </si>
  <si>
    <t>フック定着</t>
    <phoneticPr fontId="1"/>
  </si>
  <si>
    <t>直線定着</t>
    <rPh sb="0" eb="2">
      <t>チョクセン</t>
    </rPh>
    <rPh sb="2" eb="4">
      <t>テイチャク</t>
    </rPh>
    <phoneticPr fontId="1"/>
  </si>
  <si>
    <t>フック定着</t>
    <rPh sb="3" eb="5">
      <t>テイチャク</t>
    </rPh>
    <phoneticPr fontId="1"/>
  </si>
  <si>
    <t>柱型=750</t>
    <rPh sb="0" eb="1">
      <t>ハシラ</t>
    </rPh>
    <rPh sb="1" eb="2">
      <t>カタ</t>
    </rPh>
    <phoneticPr fontId="1"/>
  </si>
  <si>
    <t>有効直線定着長＝柱型＊1/2=</t>
    <rPh sb="0" eb="2">
      <t>ユウコウ</t>
    </rPh>
    <rPh sb="2" eb="4">
      <t>チョクセン</t>
    </rPh>
    <rPh sb="4" eb="6">
      <t>テイチャク</t>
    </rPh>
    <rPh sb="6" eb="7">
      <t>チョウ</t>
    </rPh>
    <rPh sb="8" eb="9">
      <t>ハシラ</t>
    </rPh>
    <rPh sb="9" eb="10">
      <t>カタ</t>
    </rPh>
    <phoneticPr fontId="1"/>
  </si>
  <si>
    <t>②</t>
    <phoneticPr fontId="1"/>
  </si>
  <si>
    <t>フック定着</t>
    <rPh sb="3" eb="5">
      <t>テイチャク</t>
    </rPh>
    <phoneticPr fontId="1"/>
  </si>
  <si>
    <t>柱型　B=</t>
    <rPh sb="0" eb="1">
      <t>ハシラ</t>
    </rPh>
    <rPh sb="1" eb="2">
      <t>カタ</t>
    </rPh>
    <phoneticPr fontId="1"/>
  </si>
  <si>
    <t>0.75*B=</t>
    <phoneticPr fontId="1"/>
  </si>
  <si>
    <t>平２３国公告第４３２号，第２より「鉄筋コンクリート構造計算基準・同解説（2018）」
（以降RC基準）に基づいて検討する。</t>
    <rPh sb="0" eb="1">
      <t>ヘイ</t>
    </rPh>
    <rPh sb="3" eb="4">
      <t>コク</t>
    </rPh>
    <rPh sb="4" eb="5">
      <t>コウ</t>
    </rPh>
    <rPh sb="6" eb="7">
      <t>ダイ</t>
    </rPh>
    <rPh sb="10" eb="11">
      <t>ゴウ</t>
    </rPh>
    <rPh sb="12" eb="13">
      <t>ダイ</t>
    </rPh>
    <rPh sb="17" eb="19">
      <t>テッキン</t>
    </rPh>
    <rPh sb="25" eb="27">
      <t>コウゾウ</t>
    </rPh>
    <rPh sb="27" eb="29">
      <t>ケイサン</t>
    </rPh>
    <rPh sb="29" eb="31">
      <t>キジュン</t>
    </rPh>
    <rPh sb="32" eb="33">
      <t>ドウ</t>
    </rPh>
    <rPh sb="33" eb="35">
      <t>カイセツ</t>
    </rPh>
    <rPh sb="44" eb="46">
      <t>イコウ</t>
    </rPh>
    <rPh sb="48" eb="50">
      <t>キジュン</t>
    </rPh>
    <phoneticPr fontId="1"/>
  </si>
  <si>
    <t>※②＝0.5B+4db/2+db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</si>
</sst>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0;_ﰀ"/>
    <numFmt numFmtId="178" formatCode="0.0_ "/>
    <numFmt numFmtId="179" formatCode="0_ "/>
    <numFmt numFmtId="180" formatCode="&quot;D&quot;#"/>
    <numFmt numFmtId="181" formatCode="0.00;_ﰀ"/>
  </numFmts>
  <fonts count="6" x14ac:knownFonts="1"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name val="Meiryo UI"/>
      <family val="3"/>
      <charset val="128"/>
    </font>
    <font>
      <sz val="9"/>
      <name val="Meiryo UI"/>
      <family val="3"/>
      <charset val="128"/>
    </font>
    <font>
      <sz val="1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/>
    </xf>
    <xf numFmtId="179" fontId="0" fillId="0" borderId="0" xfId="0" applyNumberFormat="1">
      <alignment vertical="center"/>
    </xf>
    <xf numFmtId="56" fontId="0" fillId="0" borderId="0" xfId="0" quotePrefix="1" applyNumberFormat="1">
      <alignment vertical="center"/>
    </xf>
    <xf numFmtId="179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>
      <alignment vertical="center"/>
    </xf>
    <xf numFmtId="1" fontId="0" fillId="0" borderId="0" xfId="0" applyNumberFormat="1">
      <alignment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8" fontId="2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180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>
      <alignment vertical="center"/>
    </xf>
    <xf numFmtId="0" fontId="3" fillId="0" borderId="0" xfId="0" applyFont="1" applyBorder="1">
      <alignment vertical="center"/>
    </xf>
    <xf numFmtId="180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9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177" fontId="3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left" vertical="center"/>
    </xf>
    <xf numFmtId="180" fontId="3" fillId="0" borderId="0" xfId="0" applyNumberFormat="1" applyFont="1" applyBorder="1" applyAlignment="1">
      <alignment horizontal="left" vertical="center"/>
    </xf>
    <xf numFmtId="180" fontId="3" fillId="0" borderId="0" xfId="0" applyNumberFormat="1" applyFont="1" applyBorder="1" applyAlignment="1">
      <alignment horizontal="right" vertical="center"/>
    </xf>
    <xf numFmtId="0" fontId="3" fillId="0" borderId="0" xfId="0" applyFont="1" applyBorder="1" applyAlignment="1">
      <alignment horizontal="left" vertical="center"/>
    </xf>
    <xf numFmtId="1" fontId="3" fillId="0" borderId="0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>
      <alignment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 vertical="center"/>
    </xf>
    <xf numFmtId="0" fontId="3" fillId="0" borderId="12" xfId="0" applyFont="1" applyBorder="1">
      <alignment vertical="center"/>
    </xf>
    <xf numFmtId="0" fontId="3" fillId="0" borderId="13" xfId="0" applyFont="1" applyBorder="1">
      <alignment vertical="center"/>
    </xf>
    <xf numFmtId="2" fontId="3" fillId="0" borderId="13" xfId="0" applyNumberFormat="1" applyFont="1" applyBorder="1">
      <alignment vertical="center"/>
    </xf>
    <xf numFmtId="0" fontId="3" fillId="0" borderId="12" xfId="0" applyFont="1" applyBorder="1" applyAlignment="1">
      <alignment horizontal="center" vertical="center"/>
    </xf>
    <xf numFmtId="2" fontId="3" fillId="0" borderId="12" xfId="0" applyNumberFormat="1" applyFont="1" applyBorder="1">
      <alignment vertical="center"/>
    </xf>
    <xf numFmtId="179" fontId="3" fillId="0" borderId="0" xfId="0" applyNumberFormat="1" applyFont="1" applyBorder="1" applyAlignment="1">
      <alignment horizontal="right" vertical="center"/>
    </xf>
    <xf numFmtId="2" fontId="3" fillId="0" borderId="0" xfId="0" applyNumberFormat="1" applyFont="1" applyBorder="1">
      <alignment vertical="center"/>
    </xf>
    <xf numFmtId="0" fontId="3" fillId="0" borderId="0" xfId="0" applyFont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00025134\AppData\Roaming\Microsoft\AddIns\xans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aiwahouse-my.sharepoint.com/Users/user/AppData/Roaming/Microsoft/AddIns/xfunx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aiwahouse-my.sharepoint.com/Users/00025134/AppData/Roaming/Microsoft/AddIns/xfun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nswer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ar"/>
      <sheetName val="Deck"/>
      <sheetName val="Xfunx"/>
      <sheetName val="Steel"/>
      <sheetName val="Data"/>
    </sheetNames>
    <definedNames>
      <definedName name="Bar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ar"/>
      <sheetName val="Deck"/>
      <sheetName val="Xfunx"/>
      <sheetName val="Steel"/>
      <sheetName val="Data"/>
    </sheetNames>
    <definedNames>
      <definedName name="Bar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237F0-0272-455D-8798-33A259D9F711}">
  <dimension ref="A2:O42"/>
  <sheetViews>
    <sheetView topLeftCell="A16" workbookViewId="0">
      <selection activeCell="M38" sqref="M38"/>
    </sheetView>
  </sheetViews>
  <sheetFormatPr defaultColWidth="9.1171875" defaultRowHeight="15" x14ac:dyDescent="0.3"/>
  <cols>
    <col min="1" max="1" width="2.64453125" style="24" customWidth="1"/>
    <col min="2" max="11" width="8.64453125" style="24" customWidth="1"/>
    <col min="12" max="12" width="9.64453125" style="24" customWidth="1"/>
    <col min="13" max="16384" width="9.1171875" style="24"/>
  </cols>
  <sheetData>
    <row r="2" spans="2:11" x14ac:dyDescent="0.3">
      <c r="B2" s="24" t="s">
        <v>44</v>
      </c>
    </row>
    <row r="4" spans="2:11" x14ac:dyDescent="0.3">
      <c r="B4" s="71" t="s">
        <v>114</v>
      </c>
      <c r="C4" s="71"/>
      <c r="D4" s="71"/>
      <c r="E4" s="71"/>
      <c r="F4" s="71"/>
      <c r="G4" s="71"/>
      <c r="H4" s="71"/>
      <c r="I4" s="71"/>
      <c r="J4" s="71"/>
      <c r="K4" s="71"/>
    </row>
    <row r="5" spans="2:11" x14ac:dyDescent="0.3">
      <c r="B5" s="71"/>
      <c r="C5" s="71"/>
      <c r="D5" s="71"/>
      <c r="E5" s="71"/>
      <c r="F5" s="71"/>
      <c r="G5" s="71"/>
      <c r="H5" s="71"/>
      <c r="I5" s="71"/>
      <c r="J5" s="71"/>
      <c r="K5" s="71"/>
    </row>
    <row r="7" spans="2:11" x14ac:dyDescent="0.3">
      <c r="B7" s="24" t="s">
        <v>66</v>
      </c>
      <c r="D7" s="24" t="s">
        <v>59</v>
      </c>
      <c r="G7" s="24" t="s">
        <v>45</v>
      </c>
    </row>
    <row r="9" spans="2:11" x14ac:dyDescent="0.3">
      <c r="E9" s="25" t="s">
        <v>67</v>
      </c>
      <c r="G9" s="25" t="s">
        <v>35</v>
      </c>
      <c r="H9" s="26">
        <f>G11/40+0.9</f>
        <v>1.5</v>
      </c>
      <c r="I9" s="38" t="s">
        <v>76</v>
      </c>
      <c r="J9" s="37" t="s">
        <v>65</v>
      </c>
    </row>
    <row r="11" spans="2:11" x14ac:dyDescent="0.3">
      <c r="E11" s="25" t="s">
        <v>68</v>
      </c>
      <c r="F11" s="25" t="s">
        <v>71</v>
      </c>
      <c r="G11" s="26">
        <v>24</v>
      </c>
      <c r="H11" s="38" t="s">
        <v>76</v>
      </c>
    </row>
    <row r="12" spans="2:11" x14ac:dyDescent="0.3">
      <c r="E12" s="25" t="s">
        <v>69</v>
      </c>
      <c r="F12" s="25" t="s">
        <v>70</v>
      </c>
      <c r="G12" s="26">
        <v>25</v>
      </c>
      <c r="H12" s="24" t="s">
        <v>77</v>
      </c>
    </row>
    <row r="13" spans="2:11" x14ac:dyDescent="0.3">
      <c r="E13" s="25" t="s">
        <v>73</v>
      </c>
      <c r="F13" s="25" t="s">
        <v>72</v>
      </c>
      <c r="G13" s="26">
        <v>1</v>
      </c>
    </row>
    <row r="14" spans="2:11" x14ac:dyDescent="0.3">
      <c r="C14" s="25"/>
      <c r="D14" s="26"/>
      <c r="E14" s="25" t="s">
        <v>74</v>
      </c>
      <c r="F14" s="25" t="s">
        <v>75</v>
      </c>
      <c r="G14" s="26">
        <v>345</v>
      </c>
      <c r="H14" s="38" t="s">
        <v>76</v>
      </c>
    </row>
    <row r="15" spans="2:11" x14ac:dyDescent="0.3">
      <c r="C15" s="25"/>
      <c r="D15" s="26"/>
      <c r="E15" s="25" t="s">
        <v>79</v>
      </c>
      <c r="F15" s="25" t="s">
        <v>80</v>
      </c>
      <c r="G15" s="26">
        <v>1.25</v>
      </c>
    </row>
    <row r="16" spans="2:11" x14ac:dyDescent="0.3">
      <c r="C16" s="25"/>
      <c r="D16" s="26"/>
      <c r="E16" s="25"/>
      <c r="F16" s="25"/>
      <c r="G16" s="26"/>
    </row>
    <row r="17" spans="1:12" x14ac:dyDescent="0.3">
      <c r="C17" s="25"/>
      <c r="D17" s="26"/>
      <c r="E17" s="25"/>
      <c r="F17" s="25"/>
      <c r="G17" s="26"/>
    </row>
    <row r="18" spans="1:12" x14ac:dyDescent="0.3">
      <c r="C18" s="24" t="str">
        <f>IF(G15=0.7,"フック定着","直線定着")</f>
        <v>直線定着</v>
      </c>
    </row>
    <row r="19" spans="1:12" x14ac:dyDescent="0.3">
      <c r="D19" s="25" t="s">
        <v>78</v>
      </c>
      <c r="E19" s="24" t="str">
        <f>_xlfn.TEXTJOIN(,,G13,"*",G15,"*",G14,"*",G12,"/(",10,"*",H9,")=")</f>
        <v>1*1.25*345*25/(10*1.5)=</v>
      </c>
      <c r="I19" s="45">
        <f>[1]!answer(E19)</f>
        <v>718.75</v>
      </c>
      <c r="J19" s="24" t="s">
        <v>77</v>
      </c>
    </row>
    <row r="20" spans="1:12" x14ac:dyDescent="0.3">
      <c r="A20" s="39"/>
      <c r="L20" s="44"/>
    </row>
    <row r="21" spans="1:12" x14ac:dyDescent="0.3">
      <c r="A21" s="39"/>
      <c r="C21" s="41"/>
      <c r="D21" s="47"/>
      <c r="E21" s="25" t="s">
        <v>89</v>
      </c>
      <c r="F21" s="42">
        <f>+I19</f>
        <v>718.75</v>
      </c>
      <c r="G21" s="24" t="s">
        <v>77</v>
      </c>
      <c r="I21" s="24" t="s">
        <v>102</v>
      </c>
      <c r="J21" s="24">
        <f>F21/G12</f>
        <v>28.75</v>
      </c>
      <c r="K21" s="24" t="s">
        <v>103</v>
      </c>
      <c r="L21" s="44"/>
    </row>
    <row r="22" spans="1:12" x14ac:dyDescent="0.3">
      <c r="A22" s="39"/>
      <c r="C22" s="41"/>
      <c r="D22" s="47"/>
      <c r="E22" s="25"/>
      <c r="F22" s="42"/>
      <c r="L22" s="44"/>
    </row>
    <row r="23" spans="1:12" x14ac:dyDescent="0.3">
      <c r="A23" s="39"/>
      <c r="C23" s="62"/>
      <c r="D23" s="51"/>
      <c r="E23" s="51"/>
      <c r="F23" s="34" t="s">
        <v>101</v>
      </c>
      <c r="G23" s="34"/>
      <c r="H23" s="51"/>
      <c r="I23" s="52"/>
      <c r="J23" s="63"/>
      <c r="K23" s="67" t="s">
        <v>100</v>
      </c>
      <c r="L23" s="44"/>
    </row>
    <row r="24" spans="1:12" x14ac:dyDescent="0.3">
      <c r="A24" s="39"/>
      <c r="C24" s="54"/>
      <c r="D24" s="56"/>
      <c r="E24" s="50" t="s">
        <v>91</v>
      </c>
      <c r="F24" s="51"/>
      <c r="G24" s="52"/>
      <c r="H24" s="51"/>
      <c r="I24" s="51"/>
      <c r="J24" s="51"/>
      <c r="K24" s="64"/>
      <c r="L24" s="44"/>
    </row>
    <row r="25" spans="1:12" x14ac:dyDescent="0.3">
      <c r="A25" s="39"/>
      <c r="B25" s="40"/>
      <c r="C25" s="60" t="s">
        <v>90</v>
      </c>
      <c r="D25" s="61"/>
      <c r="E25" s="54" t="s">
        <v>95</v>
      </c>
      <c r="F25" s="55"/>
      <c r="G25" s="55"/>
      <c r="H25" s="56"/>
      <c r="I25" s="50" t="s">
        <v>92</v>
      </c>
      <c r="J25" s="51"/>
      <c r="K25" s="65">
        <v>1.25</v>
      </c>
      <c r="L25" s="44"/>
    </row>
    <row r="26" spans="1:12" x14ac:dyDescent="0.3">
      <c r="A26" s="39"/>
      <c r="B26" s="40"/>
      <c r="C26" s="60"/>
      <c r="D26" s="61"/>
      <c r="E26" s="57" t="s">
        <v>94</v>
      </c>
      <c r="F26" s="58"/>
      <c r="G26" s="58"/>
      <c r="H26" s="59"/>
      <c r="I26" s="50" t="s">
        <v>93</v>
      </c>
      <c r="J26" s="51"/>
      <c r="K26" s="68"/>
      <c r="L26" s="44"/>
    </row>
    <row r="27" spans="1:12" x14ac:dyDescent="0.3">
      <c r="A27" s="39"/>
      <c r="B27" s="40"/>
      <c r="C27" s="57"/>
      <c r="D27" s="59"/>
      <c r="E27" s="50" t="s">
        <v>96</v>
      </c>
      <c r="F27" s="51"/>
      <c r="G27" s="51"/>
      <c r="H27" s="51"/>
      <c r="I27" s="51"/>
      <c r="J27" s="51"/>
      <c r="K27" s="66">
        <v>1</v>
      </c>
      <c r="L27" s="44"/>
    </row>
    <row r="28" spans="1:12" x14ac:dyDescent="0.3">
      <c r="A28" s="39"/>
      <c r="B28" s="40"/>
      <c r="C28" s="54" t="s">
        <v>97</v>
      </c>
      <c r="D28" s="56"/>
      <c r="E28" s="50" t="s">
        <v>91</v>
      </c>
      <c r="F28" s="51"/>
      <c r="G28" s="52"/>
      <c r="H28" s="51"/>
      <c r="I28" s="51"/>
      <c r="J28" s="53"/>
      <c r="K28" s="64"/>
      <c r="L28" s="44"/>
    </row>
    <row r="29" spans="1:12" x14ac:dyDescent="0.3">
      <c r="A29" s="39"/>
      <c r="B29" s="39"/>
      <c r="C29" s="60" t="s">
        <v>98</v>
      </c>
      <c r="D29" s="61"/>
      <c r="E29" s="54" t="s">
        <v>95</v>
      </c>
      <c r="F29" s="55"/>
      <c r="G29" s="55"/>
      <c r="H29" s="56"/>
      <c r="I29" s="50" t="s">
        <v>92</v>
      </c>
      <c r="J29" s="53"/>
      <c r="K29" s="66">
        <v>0.7</v>
      </c>
      <c r="L29" s="39"/>
    </row>
    <row r="30" spans="1:12" x14ac:dyDescent="0.3">
      <c r="C30" s="60" t="s">
        <v>99</v>
      </c>
      <c r="D30" s="61"/>
      <c r="E30" s="57" t="s">
        <v>94</v>
      </c>
      <c r="F30" s="58"/>
      <c r="G30" s="58"/>
      <c r="H30" s="59"/>
      <c r="I30" s="50" t="s">
        <v>93</v>
      </c>
      <c r="J30" s="53"/>
      <c r="K30" s="68"/>
    </row>
    <row r="31" spans="1:12" x14ac:dyDescent="0.3">
      <c r="C31" s="57"/>
      <c r="D31" s="59"/>
      <c r="E31" s="50" t="s">
        <v>96</v>
      </c>
      <c r="F31" s="51"/>
      <c r="G31" s="51"/>
      <c r="H31" s="51"/>
      <c r="I31" s="51"/>
      <c r="J31" s="53"/>
      <c r="K31" s="66">
        <v>0.5</v>
      </c>
    </row>
    <row r="32" spans="1:12" x14ac:dyDescent="0.3">
      <c r="C32" s="39"/>
      <c r="D32" s="39"/>
      <c r="E32" s="39"/>
      <c r="F32" s="39"/>
      <c r="G32" s="39"/>
      <c r="H32" s="39"/>
      <c r="I32" s="39"/>
      <c r="J32" s="39"/>
      <c r="K32" s="70"/>
    </row>
    <row r="33" spans="2:15" x14ac:dyDescent="0.3">
      <c r="M33" s="27"/>
      <c r="N33" s="27"/>
      <c r="O33" s="27"/>
    </row>
    <row r="34" spans="2:15" x14ac:dyDescent="0.3">
      <c r="B34" s="24" t="s">
        <v>111</v>
      </c>
      <c r="D34" s="25" t="s">
        <v>112</v>
      </c>
      <c r="E34" s="27">
        <v>750</v>
      </c>
      <c r="G34" s="25" t="s">
        <v>113</v>
      </c>
      <c r="H34" s="30">
        <f>E34*0.75</f>
        <v>562.5</v>
      </c>
      <c r="M34" s="27"/>
      <c r="N34" s="33"/>
      <c r="O34" s="27"/>
    </row>
    <row r="35" spans="2:15" x14ac:dyDescent="0.3">
      <c r="M35" s="27"/>
      <c r="N35" s="33"/>
      <c r="O35" s="27"/>
    </row>
    <row r="36" spans="2:15" x14ac:dyDescent="0.3">
      <c r="B36" s="27" t="s">
        <v>27</v>
      </c>
      <c r="C36" s="27" t="s">
        <v>43</v>
      </c>
      <c r="D36" s="27" t="s">
        <v>33</v>
      </c>
      <c r="E36" s="27" t="s">
        <v>10</v>
      </c>
      <c r="F36" s="27" t="s">
        <v>34</v>
      </c>
      <c r="G36" s="27" t="s">
        <v>20</v>
      </c>
      <c r="H36" s="27" t="s">
        <v>41</v>
      </c>
      <c r="I36" s="27" t="s">
        <v>110</v>
      </c>
      <c r="J36" s="27" t="s">
        <v>38</v>
      </c>
      <c r="K36" s="27" t="s">
        <v>39</v>
      </c>
      <c r="L36" s="27"/>
      <c r="M36" s="27"/>
      <c r="N36" s="33"/>
      <c r="O36" s="27"/>
    </row>
    <row r="37" spans="2:15" x14ac:dyDescent="0.3">
      <c r="B37" s="40">
        <v>19</v>
      </c>
      <c r="C37" s="41">
        <v>1</v>
      </c>
      <c r="D37" s="27">
        <v>0.7</v>
      </c>
      <c r="E37" s="41">
        <v>345</v>
      </c>
      <c r="F37" s="41">
        <f>H9</f>
        <v>1.5</v>
      </c>
      <c r="G37" s="42">
        <f t="shared" ref="G37:G39" si="0">+B37</f>
        <v>19</v>
      </c>
      <c r="H37" s="49">
        <f t="shared" ref="H37:H39" si="1">+D37*E37*G37/(10*F37)*C37</f>
        <v>305.89999999999992</v>
      </c>
      <c r="I37" s="27">
        <f>750/2+G37*4/2+G37</f>
        <v>432</v>
      </c>
      <c r="J37" s="43">
        <f>+H37/I37</f>
        <v>0.7081018518518517</v>
      </c>
      <c r="K37" s="41" t="str">
        <f t="shared" ref="K37:K39" si="2">IF(J37&lt;1,"OK","NG")</f>
        <v>OK</v>
      </c>
      <c r="L37" s="32"/>
      <c r="M37" s="27">
        <f>H37/G37</f>
        <v>16.099999999999994</v>
      </c>
      <c r="N37" s="33"/>
      <c r="O37" s="27"/>
    </row>
    <row r="38" spans="2:15" x14ac:dyDescent="0.3">
      <c r="B38" s="40">
        <v>22</v>
      </c>
      <c r="C38" s="41">
        <v>1</v>
      </c>
      <c r="D38" s="27">
        <f t="shared" ref="D38:D39" si="3">D37</f>
        <v>0.7</v>
      </c>
      <c r="E38" s="41">
        <v>345</v>
      </c>
      <c r="F38" s="41">
        <f t="shared" ref="F38:F39" si="4">+F37</f>
        <v>1.5</v>
      </c>
      <c r="G38" s="42">
        <f t="shared" si="0"/>
        <v>22</v>
      </c>
      <c r="H38" s="49">
        <f>+D38*E38*G38/(10*F38)*C38</f>
        <v>354.19999999999993</v>
      </c>
      <c r="I38" s="27">
        <f t="shared" ref="I38:I39" si="5">750/2+G38*4/2+G38</f>
        <v>441</v>
      </c>
      <c r="J38" s="43">
        <f t="shared" ref="J38" si="6">+H38/I38</f>
        <v>0.80317460317460299</v>
      </c>
      <c r="K38" s="41" t="str">
        <f t="shared" si="2"/>
        <v>OK</v>
      </c>
      <c r="L38" s="32" t="s">
        <v>60</v>
      </c>
      <c r="M38" s="27">
        <f t="shared" ref="M38:M39" si="7">H38/G38</f>
        <v>16.099999999999998</v>
      </c>
    </row>
    <row r="39" spans="2:15" x14ac:dyDescent="0.3">
      <c r="B39" s="40">
        <v>25</v>
      </c>
      <c r="C39" s="41">
        <v>1</v>
      </c>
      <c r="D39" s="27">
        <f t="shared" si="3"/>
        <v>0.7</v>
      </c>
      <c r="E39" s="41">
        <v>345</v>
      </c>
      <c r="F39" s="41">
        <f t="shared" si="4"/>
        <v>1.5</v>
      </c>
      <c r="G39" s="42">
        <f t="shared" si="0"/>
        <v>25</v>
      </c>
      <c r="H39" s="49">
        <f t="shared" si="1"/>
        <v>402.49999999999994</v>
      </c>
      <c r="I39" s="27">
        <f t="shared" si="5"/>
        <v>450</v>
      </c>
      <c r="J39" s="43">
        <f>+H39/I39</f>
        <v>0.89444444444444426</v>
      </c>
      <c r="K39" s="41" t="str">
        <f t="shared" si="2"/>
        <v>OK</v>
      </c>
      <c r="L39" s="32"/>
      <c r="M39" s="27">
        <f t="shared" si="7"/>
        <v>16.099999999999998</v>
      </c>
    </row>
    <row r="40" spans="2:15" x14ac:dyDescent="0.3">
      <c r="B40" s="28"/>
      <c r="C40" s="27"/>
      <c r="D40" s="27"/>
      <c r="E40" s="27"/>
      <c r="F40" s="27"/>
      <c r="G40" s="35"/>
      <c r="H40" s="30"/>
      <c r="I40" s="27"/>
      <c r="J40" s="31"/>
      <c r="K40" s="27"/>
    </row>
    <row r="41" spans="2:15" x14ac:dyDescent="0.3">
      <c r="B41" s="28"/>
      <c r="C41" s="27"/>
      <c r="D41" s="27"/>
      <c r="E41" s="27"/>
      <c r="F41" s="27"/>
      <c r="G41" s="35"/>
      <c r="H41" s="26" t="s">
        <v>115</v>
      </c>
      <c r="I41" s="27"/>
      <c r="J41" s="31"/>
      <c r="K41" s="27"/>
    </row>
    <row r="42" spans="2:15" x14ac:dyDescent="0.3">
      <c r="B42" s="28"/>
      <c r="C42" s="27"/>
      <c r="D42" s="27"/>
      <c r="E42" s="27"/>
      <c r="F42" s="27"/>
      <c r="G42" s="35"/>
      <c r="H42" s="30"/>
      <c r="I42" s="27"/>
      <c r="J42" s="31"/>
      <c r="K42" s="27"/>
    </row>
  </sheetData>
  <mergeCells count="1">
    <mergeCell ref="B4:K5"/>
  </mergeCells>
  <phoneticPr fontId="1"/>
  <pageMargins left="0.70866141732283472" right="0.11811023622047245" top="0.74803149606299213" bottom="0.74803149606299213" header="0.31496062992125984" footer="0.31496062992125984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2:O46"/>
  <sheetViews>
    <sheetView tabSelected="1" workbookViewId="0">
      <selection activeCell="G13" sqref="G13"/>
    </sheetView>
  </sheetViews>
  <sheetFormatPr defaultColWidth="9.1171875" defaultRowHeight="15" x14ac:dyDescent="0.3"/>
  <cols>
    <col min="1" max="1" width="2.64453125" style="24" customWidth="1"/>
    <col min="2" max="11" width="8.64453125" style="24" customWidth="1"/>
    <col min="12" max="12" width="9.64453125" style="24" customWidth="1"/>
    <col min="13" max="16384" width="9.1171875" style="24"/>
  </cols>
  <sheetData>
    <row r="2" spans="2:11" x14ac:dyDescent="0.3">
      <c r="B2" s="24" t="s">
        <v>44</v>
      </c>
    </row>
    <row r="4" spans="2:11" x14ac:dyDescent="0.3">
      <c r="B4" s="71" t="s">
        <v>64</v>
      </c>
      <c r="C4" s="71"/>
      <c r="D4" s="71"/>
      <c r="E4" s="71"/>
      <c r="F4" s="71"/>
      <c r="G4" s="71"/>
      <c r="H4" s="71"/>
      <c r="I4" s="71"/>
      <c r="J4" s="71"/>
      <c r="K4" s="71"/>
    </row>
    <row r="5" spans="2:11" x14ac:dyDescent="0.3">
      <c r="B5" s="71"/>
      <c r="C5" s="71"/>
      <c r="D5" s="71"/>
      <c r="E5" s="71"/>
      <c r="F5" s="71"/>
      <c r="G5" s="71"/>
      <c r="H5" s="71"/>
      <c r="I5" s="71"/>
      <c r="J5" s="71"/>
      <c r="K5" s="71"/>
    </row>
    <row r="7" spans="2:11" x14ac:dyDescent="0.3">
      <c r="B7" s="24" t="s">
        <v>66</v>
      </c>
      <c r="D7" s="24" t="s">
        <v>59</v>
      </c>
      <c r="G7" s="24" t="s">
        <v>45</v>
      </c>
    </row>
    <row r="9" spans="2:11" x14ac:dyDescent="0.3">
      <c r="E9" s="25" t="s">
        <v>67</v>
      </c>
      <c r="G9" s="25" t="s">
        <v>35</v>
      </c>
      <c r="H9" s="26">
        <f>G11/40+0.9</f>
        <v>1.425</v>
      </c>
      <c r="I9" s="38" t="s">
        <v>76</v>
      </c>
      <c r="J9" s="37" t="s">
        <v>65</v>
      </c>
    </row>
    <row r="11" spans="2:11" x14ac:dyDescent="0.3">
      <c r="E11" s="25" t="s">
        <v>68</v>
      </c>
      <c r="F11" s="25" t="s">
        <v>71</v>
      </c>
      <c r="G11" s="26">
        <v>21</v>
      </c>
      <c r="H11" s="38" t="s">
        <v>76</v>
      </c>
    </row>
    <row r="12" spans="2:11" x14ac:dyDescent="0.3">
      <c r="E12" s="25" t="s">
        <v>69</v>
      </c>
      <c r="F12" s="25" t="s">
        <v>70</v>
      </c>
      <c r="G12" s="26">
        <v>16</v>
      </c>
      <c r="H12" s="24" t="s">
        <v>77</v>
      </c>
    </row>
    <row r="13" spans="2:11" x14ac:dyDescent="0.3">
      <c r="E13" s="25" t="s">
        <v>73</v>
      </c>
      <c r="F13" s="25" t="s">
        <v>72</v>
      </c>
      <c r="G13" s="26">
        <v>1</v>
      </c>
    </row>
    <row r="14" spans="2:11" x14ac:dyDescent="0.3">
      <c r="C14" s="25"/>
      <c r="D14" s="26"/>
      <c r="E14" s="25" t="s">
        <v>74</v>
      </c>
      <c r="F14" s="25" t="s">
        <v>75</v>
      </c>
      <c r="G14" s="26">
        <v>235</v>
      </c>
      <c r="H14" s="38" t="s">
        <v>76</v>
      </c>
    </row>
    <row r="15" spans="2:11" x14ac:dyDescent="0.3">
      <c r="C15" s="25"/>
      <c r="D15" s="26"/>
      <c r="E15" s="25" t="s">
        <v>79</v>
      </c>
      <c r="F15" s="25" t="s">
        <v>80</v>
      </c>
      <c r="G15" s="26">
        <v>1.25</v>
      </c>
      <c r="H15" s="24" t="s">
        <v>104</v>
      </c>
    </row>
    <row r="16" spans="2:11" x14ac:dyDescent="0.3">
      <c r="C16" s="25"/>
      <c r="D16" s="26"/>
      <c r="E16" s="25" t="s">
        <v>79</v>
      </c>
      <c r="F16" s="25" t="s">
        <v>80</v>
      </c>
      <c r="G16" s="26">
        <v>0.7</v>
      </c>
      <c r="H16" s="24" t="s">
        <v>105</v>
      </c>
    </row>
    <row r="17" spans="1:15" x14ac:dyDescent="0.3">
      <c r="C17" s="25"/>
      <c r="D17" s="26"/>
      <c r="E17" s="25"/>
      <c r="F17" s="25"/>
      <c r="G17" s="26"/>
    </row>
    <row r="18" spans="1:15" x14ac:dyDescent="0.3">
      <c r="C18" s="24" t="s">
        <v>106</v>
      </c>
    </row>
    <row r="19" spans="1:15" x14ac:dyDescent="0.3">
      <c r="D19" s="25" t="s">
        <v>78</v>
      </c>
      <c r="E19" s="24" t="str">
        <f>_xlfn.TEXTJOIN(,,G13,"*",G15,"*",G14,"*",G12,"/(",10,"*",H9,")=")</f>
        <v>1*1.25*235*16/(10*1.425)=</v>
      </c>
      <c r="I19" s="45">
        <f>[1]!answer(E19)</f>
        <v>329.82456140350877</v>
      </c>
      <c r="J19" s="24" t="s">
        <v>77</v>
      </c>
    </row>
    <row r="20" spans="1:15" x14ac:dyDescent="0.3">
      <c r="A20" s="39"/>
      <c r="L20" s="44"/>
    </row>
    <row r="21" spans="1:15" x14ac:dyDescent="0.3">
      <c r="A21" s="39"/>
      <c r="C21" s="41"/>
      <c r="D21" s="47"/>
      <c r="E21" s="25" t="s">
        <v>89</v>
      </c>
      <c r="F21" s="42">
        <f>+I19</f>
        <v>329.82456140350877</v>
      </c>
      <c r="G21" s="24" t="s">
        <v>77</v>
      </c>
      <c r="I21" s="24" t="s">
        <v>102</v>
      </c>
      <c r="J21" s="24">
        <f>F21/G12</f>
        <v>20.614035087719298</v>
      </c>
      <c r="K21" s="24" t="s">
        <v>103</v>
      </c>
      <c r="L21" s="44"/>
    </row>
    <row r="22" spans="1:15" x14ac:dyDescent="0.3">
      <c r="A22" s="39"/>
      <c r="C22" s="41"/>
      <c r="D22" s="47"/>
      <c r="E22" s="25"/>
      <c r="F22" s="42"/>
      <c r="L22" s="44"/>
    </row>
    <row r="23" spans="1:15" x14ac:dyDescent="0.3">
      <c r="A23" s="39"/>
      <c r="C23" s="41" t="s">
        <v>107</v>
      </c>
      <c r="D23" s="47"/>
      <c r="E23" s="25" t="s">
        <v>108</v>
      </c>
      <c r="I23" s="69" t="s">
        <v>109</v>
      </c>
      <c r="L23" s="44"/>
    </row>
    <row r="24" spans="1:15" x14ac:dyDescent="0.3">
      <c r="A24" s="39"/>
      <c r="D24" s="25" t="s">
        <v>78</v>
      </c>
      <c r="E24" s="24" t="str">
        <f>_xlfn.TEXTJOIN(,,G13,"*",G16,"*",G14,"*",G12,"/(",10,"*",H9,")=")</f>
        <v>1*0.7*235*16/(10*1.425)=</v>
      </c>
      <c r="I24" s="45">
        <f>[1]!answer(E24)</f>
        <v>184.7017543859649</v>
      </c>
      <c r="J24" s="24" t="s">
        <v>77</v>
      </c>
      <c r="L24" s="44"/>
    </row>
    <row r="25" spans="1:15" x14ac:dyDescent="0.3">
      <c r="A25" s="39"/>
      <c r="B25" s="40"/>
      <c r="L25" s="44"/>
    </row>
    <row r="26" spans="1:15" x14ac:dyDescent="0.3">
      <c r="A26" s="39"/>
      <c r="B26" s="40"/>
      <c r="C26" s="41"/>
      <c r="D26" s="47"/>
      <c r="E26" s="25" t="s">
        <v>89</v>
      </c>
      <c r="F26" s="42">
        <f>+I24</f>
        <v>184.7017543859649</v>
      </c>
      <c r="G26" s="24" t="s">
        <v>77</v>
      </c>
      <c r="I26" s="24" t="s">
        <v>102</v>
      </c>
      <c r="J26" s="24">
        <f>F26/G12</f>
        <v>11.543859649122806</v>
      </c>
      <c r="K26" s="24" t="s">
        <v>103</v>
      </c>
      <c r="L26" s="44"/>
    </row>
    <row r="27" spans="1:15" x14ac:dyDescent="0.3">
      <c r="A27" s="39"/>
      <c r="B27" s="40"/>
      <c r="C27" s="41"/>
      <c r="D27" s="47"/>
      <c r="E27" s="25"/>
      <c r="F27" s="42"/>
      <c r="L27" s="44"/>
    </row>
    <row r="28" spans="1:15" x14ac:dyDescent="0.3">
      <c r="A28" s="39"/>
      <c r="B28" s="40"/>
      <c r="C28" s="62"/>
      <c r="D28" s="51"/>
      <c r="E28" s="51"/>
      <c r="F28" s="34" t="s">
        <v>101</v>
      </c>
      <c r="G28" s="34"/>
      <c r="H28" s="51"/>
      <c r="I28" s="52"/>
      <c r="J28" s="63"/>
      <c r="K28" s="67" t="s">
        <v>100</v>
      </c>
      <c r="L28" s="44"/>
    </row>
    <row r="29" spans="1:15" x14ac:dyDescent="0.3">
      <c r="A29" s="39"/>
      <c r="B29" s="39"/>
      <c r="C29" s="54"/>
      <c r="D29" s="56"/>
      <c r="E29" s="50" t="s">
        <v>91</v>
      </c>
      <c r="F29" s="51"/>
      <c r="G29" s="52"/>
      <c r="H29" s="51"/>
      <c r="I29" s="51"/>
      <c r="J29" s="51"/>
      <c r="K29" s="64"/>
      <c r="L29" s="39"/>
    </row>
    <row r="30" spans="1:15" x14ac:dyDescent="0.3">
      <c r="C30" s="60" t="s">
        <v>90</v>
      </c>
      <c r="D30" s="61"/>
      <c r="E30" s="54" t="s">
        <v>95</v>
      </c>
      <c r="F30" s="55"/>
      <c r="G30" s="55"/>
      <c r="H30" s="56"/>
      <c r="I30" s="50" t="s">
        <v>92</v>
      </c>
      <c r="J30" s="51"/>
      <c r="K30" s="65">
        <v>1.25</v>
      </c>
    </row>
    <row r="31" spans="1:15" x14ac:dyDescent="0.3">
      <c r="C31" s="60"/>
      <c r="D31" s="61"/>
      <c r="E31" s="57" t="s">
        <v>94</v>
      </c>
      <c r="F31" s="58"/>
      <c r="G31" s="58"/>
      <c r="H31" s="59"/>
      <c r="I31" s="50" t="s">
        <v>93</v>
      </c>
      <c r="J31" s="51"/>
      <c r="K31" s="68"/>
    </row>
    <row r="32" spans="1:15" x14ac:dyDescent="0.3">
      <c r="C32" s="57"/>
      <c r="D32" s="59"/>
      <c r="E32" s="50" t="s">
        <v>96</v>
      </c>
      <c r="F32" s="51"/>
      <c r="G32" s="51"/>
      <c r="H32" s="51"/>
      <c r="I32" s="51"/>
      <c r="J32" s="51"/>
      <c r="K32" s="66">
        <v>1</v>
      </c>
      <c r="M32" s="27"/>
      <c r="N32" s="27"/>
      <c r="O32" s="27"/>
    </row>
    <row r="33" spans="2:15" x14ac:dyDescent="0.3">
      <c r="C33" s="54" t="s">
        <v>97</v>
      </c>
      <c r="D33" s="56"/>
      <c r="E33" s="50" t="s">
        <v>91</v>
      </c>
      <c r="F33" s="51"/>
      <c r="G33" s="52"/>
      <c r="H33" s="51"/>
      <c r="I33" s="51"/>
      <c r="J33" s="53"/>
      <c r="K33" s="64"/>
      <c r="M33" s="27"/>
      <c r="N33" s="33"/>
      <c r="O33" s="27"/>
    </row>
    <row r="34" spans="2:15" x14ac:dyDescent="0.3">
      <c r="C34" s="60" t="s">
        <v>98</v>
      </c>
      <c r="D34" s="61"/>
      <c r="E34" s="54" t="s">
        <v>95</v>
      </c>
      <c r="F34" s="55"/>
      <c r="G34" s="55"/>
      <c r="H34" s="56"/>
      <c r="I34" s="50" t="s">
        <v>92</v>
      </c>
      <c r="J34" s="53"/>
      <c r="K34" s="66">
        <v>0.7</v>
      </c>
      <c r="M34" s="27"/>
      <c r="N34" s="33"/>
      <c r="O34" s="27"/>
    </row>
    <row r="35" spans="2:15" x14ac:dyDescent="0.3">
      <c r="C35" s="60" t="s">
        <v>99</v>
      </c>
      <c r="D35" s="61"/>
      <c r="E35" s="57" t="s">
        <v>94</v>
      </c>
      <c r="F35" s="58"/>
      <c r="G35" s="58"/>
      <c r="H35" s="59"/>
      <c r="I35" s="50" t="s">
        <v>93</v>
      </c>
      <c r="J35" s="53"/>
      <c r="K35" s="68"/>
      <c r="M35" s="27"/>
      <c r="N35" s="33"/>
      <c r="O35" s="27"/>
    </row>
    <row r="36" spans="2:15" x14ac:dyDescent="0.3">
      <c r="C36" s="57"/>
      <c r="D36" s="59"/>
      <c r="E36" s="50" t="s">
        <v>96</v>
      </c>
      <c r="F36" s="51"/>
      <c r="G36" s="51"/>
      <c r="H36" s="51"/>
      <c r="I36" s="51"/>
      <c r="J36" s="53"/>
      <c r="K36" s="66">
        <v>0.5</v>
      </c>
      <c r="M36" s="27"/>
      <c r="N36" s="33"/>
      <c r="O36" s="27"/>
    </row>
    <row r="37" spans="2:15" x14ac:dyDescent="0.3">
      <c r="M37" s="27"/>
      <c r="N37" s="33"/>
      <c r="O37" s="27"/>
    </row>
    <row r="38" spans="2:15" x14ac:dyDescent="0.3">
      <c r="M38" s="27"/>
      <c r="N38" s="33"/>
      <c r="O38" s="27"/>
    </row>
    <row r="39" spans="2:15" x14ac:dyDescent="0.3">
      <c r="M39" s="27"/>
      <c r="N39" s="33"/>
      <c r="O39" s="27"/>
    </row>
    <row r="40" spans="2:15" x14ac:dyDescent="0.3">
      <c r="M40" s="27"/>
      <c r="N40" s="33"/>
      <c r="O40" s="27"/>
    </row>
    <row r="41" spans="2:15" x14ac:dyDescent="0.3">
      <c r="K41" s="27"/>
    </row>
    <row r="42" spans="2:15" x14ac:dyDescent="0.3">
      <c r="K42" s="27"/>
    </row>
    <row r="43" spans="2:15" x14ac:dyDescent="0.3">
      <c r="B43" s="28"/>
      <c r="C43" s="27"/>
      <c r="D43" s="27"/>
      <c r="E43" s="27"/>
      <c r="F43" s="27"/>
      <c r="G43" s="35"/>
      <c r="H43" s="30"/>
      <c r="I43" s="27"/>
      <c r="J43" s="31"/>
      <c r="K43" s="27"/>
    </row>
    <row r="44" spans="2:15" x14ac:dyDescent="0.3">
      <c r="B44" s="28"/>
      <c r="C44" s="27"/>
      <c r="D44" s="27"/>
      <c r="E44" s="27"/>
      <c r="F44" s="27"/>
      <c r="G44" s="35"/>
      <c r="H44" s="30"/>
      <c r="I44" s="27"/>
      <c r="J44" s="31"/>
      <c r="K44" s="27"/>
    </row>
    <row r="45" spans="2:15" x14ac:dyDescent="0.3">
      <c r="B45" s="28"/>
      <c r="C45" s="27"/>
      <c r="D45" s="27"/>
      <c r="E45" s="27"/>
      <c r="F45" s="27"/>
      <c r="G45" s="35"/>
      <c r="H45" s="30"/>
      <c r="I45" s="27"/>
      <c r="J45" s="31"/>
      <c r="K45" s="27"/>
    </row>
    <row r="46" spans="2:15" x14ac:dyDescent="0.3">
      <c r="B46" s="28"/>
      <c r="C46" s="27"/>
      <c r="D46" s="27"/>
      <c r="E46" s="27"/>
      <c r="F46" s="27"/>
      <c r="G46" s="35"/>
      <c r="H46" s="30"/>
      <c r="I46" s="27"/>
      <c r="J46" s="31"/>
      <c r="K46" s="27"/>
    </row>
  </sheetData>
  <mergeCells count="1">
    <mergeCell ref="B4:K5"/>
  </mergeCells>
  <phoneticPr fontId="1"/>
  <pageMargins left="0.70866141732283472" right="0.11811023622047245" top="0.74803149606299213" bottom="0.74803149606299213" header="0.31496062992125984" footer="0.31496062992125984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2:N33"/>
  <sheetViews>
    <sheetView workbookViewId="0">
      <selection activeCell="I17" sqref="I17"/>
    </sheetView>
  </sheetViews>
  <sheetFormatPr defaultRowHeight="11.7" x14ac:dyDescent="0.3"/>
  <cols>
    <col min="1" max="1" width="2.64453125" customWidth="1"/>
    <col min="4" max="4" width="12.3515625" bestFit="1" customWidth="1"/>
    <col min="6" max="6" width="17" customWidth="1"/>
    <col min="7" max="7" width="11.64453125" bestFit="1" customWidth="1"/>
    <col min="8" max="8" width="12.64453125" customWidth="1"/>
    <col min="9" max="10" width="11.3515625" customWidth="1"/>
  </cols>
  <sheetData>
    <row r="2" spans="2:14" x14ac:dyDescent="0.3">
      <c r="B2" t="s">
        <v>44</v>
      </c>
    </row>
    <row r="4" spans="2:14" ht="14.1" x14ac:dyDescent="0.3">
      <c r="B4" s="13" t="s">
        <v>53</v>
      </c>
      <c r="C4" s="13"/>
      <c r="D4" s="13"/>
      <c r="E4" s="13" t="s">
        <v>54</v>
      </c>
      <c r="F4" s="13"/>
      <c r="G4" s="13"/>
      <c r="H4" s="13"/>
      <c r="I4" s="13"/>
      <c r="J4" s="13"/>
      <c r="L4">
        <v>800</v>
      </c>
      <c r="M4">
        <f>L4/4*3</f>
        <v>600</v>
      </c>
    </row>
    <row r="5" spans="2:14" ht="14.1" x14ac:dyDescent="0.3">
      <c r="B5" s="13"/>
      <c r="C5" s="13"/>
      <c r="D5" s="13"/>
      <c r="E5" s="13"/>
      <c r="F5" s="13"/>
      <c r="G5" s="13"/>
      <c r="H5" s="13"/>
      <c r="I5" s="13"/>
      <c r="J5" s="13"/>
    </row>
    <row r="6" spans="2:14" ht="14.1" x14ac:dyDescent="0.3">
      <c r="B6" s="13"/>
      <c r="C6" s="18" t="s">
        <v>36</v>
      </c>
      <c r="D6" s="20">
        <v>21</v>
      </c>
      <c r="E6" s="13"/>
      <c r="F6" s="13"/>
      <c r="G6" s="13"/>
      <c r="H6" s="13"/>
      <c r="I6" s="13"/>
      <c r="J6" s="13"/>
    </row>
    <row r="7" spans="2:14" ht="14.1" x14ac:dyDescent="0.3">
      <c r="B7" s="13"/>
      <c r="C7" s="18"/>
      <c r="D7" s="20"/>
      <c r="F7" s="13"/>
      <c r="G7" s="13"/>
      <c r="H7" s="13"/>
      <c r="I7" s="13"/>
      <c r="J7" s="13"/>
    </row>
    <row r="8" spans="2:14" ht="14.1" x14ac:dyDescent="0.3">
      <c r="B8" s="13"/>
      <c r="C8" s="18"/>
      <c r="D8" s="13"/>
      <c r="E8" s="13"/>
      <c r="F8" s="13"/>
      <c r="G8" s="13"/>
      <c r="H8" s="13"/>
      <c r="I8" s="13"/>
      <c r="J8" s="13"/>
    </row>
    <row r="9" spans="2:14" ht="14.1" x14ac:dyDescent="0.3">
      <c r="B9" s="14" t="s">
        <v>27</v>
      </c>
      <c r="C9" s="14" t="s">
        <v>48</v>
      </c>
      <c r="D9" s="14" t="s">
        <v>49</v>
      </c>
      <c r="E9" s="14" t="s">
        <v>50</v>
      </c>
      <c r="F9" s="14" t="s">
        <v>55</v>
      </c>
      <c r="G9" s="14" t="s">
        <v>51</v>
      </c>
      <c r="H9" s="14" t="s">
        <v>56</v>
      </c>
      <c r="I9" s="14" t="s">
        <v>57</v>
      </c>
      <c r="J9" s="14" t="s">
        <v>58</v>
      </c>
      <c r="K9" s="4"/>
      <c r="L9" s="14" t="s">
        <v>39</v>
      </c>
      <c r="M9" s="4"/>
      <c r="N9" s="4"/>
    </row>
    <row r="10" spans="2:14" ht="14.1" x14ac:dyDescent="0.3">
      <c r="B10" s="15">
        <v>10</v>
      </c>
      <c r="C10" s="14">
        <v>1.57</v>
      </c>
      <c r="D10" s="14">
        <f>295</f>
        <v>295</v>
      </c>
      <c r="E10" s="14">
        <v>10</v>
      </c>
      <c r="F10" s="23">
        <f>C10*D10*E10</f>
        <v>4631.5</v>
      </c>
      <c r="G10" s="16">
        <v>21</v>
      </c>
      <c r="H10" s="17">
        <f>G10/4+9</f>
        <v>14.25</v>
      </c>
      <c r="I10" s="17">
        <f>+F10/H10</f>
        <v>325.01754385964909</v>
      </c>
      <c r="J10" s="4">
        <v>400</v>
      </c>
      <c r="K10" s="36">
        <f>I10/J10</f>
        <v>0.81254385964912279</v>
      </c>
      <c r="L10" s="14" t="s">
        <v>40</v>
      </c>
      <c r="M10" s="12"/>
      <c r="N10" s="4"/>
    </row>
    <row r="11" spans="2:14" ht="14.1" x14ac:dyDescent="0.3">
      <c r="B11" s="15">
        <v>13</v>
      </c>
      <c r="C11" s="14">
        <v>1.57</v>
      </c>
      <c r="D11" s="14">
        <f>295</f>
        <v>295</v>
      </c>
      <c r="E11" s="14">
        <v>13</v>
      </c>
      <c r="F11" s="23">
        <f t="shared" ref="F11:F17" si="0">C11*D11*E11</f>
        <v>6020.9500000000007</v>
      </c>
      <c r="G11" s="16">
        <v>21</v>
      </c>
      <c r="H11" s="17">
        <f t="shared" ref="H11:H17" si="1">G11/4+9</f>
        <v>14.25</v>
      </c>
      <c r="I11" s="17">
        <f t="shared" ref="I11:I17" si="2">+F11/H11</f>
        <v>422.52280701754393</v>
      </c>
      <c r="J11" s="4">
        <v>400</v>
      </c>
      <c r="K11" s="36">
        <f t="shared" ref="K11:K17" si="3">I11/J11</f>
        <v>1.0563070175438598</v>
      </c>
      <c r="L11" s="14" t="s">
        <v>40</v>
      </c>
      <c r="M11" s="12"/>
      <c r="N11" s="4"/>
    </row>
    <row r="12" spans="2:14" ht="14.1" x14ac:dyDescent="0.3">
      <c r="B12" s="15">
        <v>16</v>
      </c>
      <c r="C12" s="14">
        <v>1.57</v>
      </c>
      <c r="D12" s="14">
        <f>295</f>
        <v>295</v>
      </c>
      <c r="E12" s="14">
        <v>16</v>
      </c>
      <c r="F12" s="23">
        <f t="shared" si="0"/>
        <v>7410.4000000000005</v>
      </c>
      <c r="G12" s="16">
        <v>21</v>
      </c>
      <c r="H12" s="17">
        <f t="shared" si="1"/>
        <v>14.25</v>
      </c>
      <c r="I12" s="17">
        <f t="shared" si="2"/>
        <v>520.02807017543864</v>
      </c>
      <c r="J12" s="4">
        <v>400</v>
      </c>
      <c r="K12" s="36">
        <f t="shared" si="3"/>
        <v>1.3000701754385966</v>
      </c>
      <c r="L12" s="14" t="s">
        <v>40</v>
      </c>
      <c r="M12" s="12"/>
      <c r="N12" s="4"/>
    </row>
    <row r="13" spans="2:14" ht="14.1" x14ac:dyDescent="0.3">
      <c r="B13" s="15">
        <v>19</v>
      </c>
      <c r="C13" s="14">
        <v>1.57</v>
      </c>
      <c r="D13" s="14">
        <v>345</v>
      </c>
      <c r="E13" s="14">
        <v>19</v>
      </c>
      <c r="F13" s="23">
        <f t="shared" si="0"/>
        <v>10291.35</v>
      </c>
      <c r="G13" s="16">
        <v>21</v>
      </c>
      <c r="H13" s="17">
        <f t="shared" si="1"/>
        <v>14.25</v>
      </c>
      <c r="I13" s="17">
        <f t="shared" si="2"/>
        <v>722.2</v>
      </c>
      <c r="J13" s="4">
        <v>400</v>
      </c>
      <c r="K13" s="36">
        <f t="shared" si="3"/>
        <v>1.8055000000000001</v>
      </c>
      <c r="L13" s="14" t="s">
        <v>40</v>
      </c>
      <c r="M13" s="12"/>
      <c r="N13" s="4"/>
    </row>
    <row r="14" spans="2:14" ht="14.1" x14ac:dyDescent="0.3">
      <c r="B14" s="15">
        <v>22</v>
      </c>
      <c r="C14" s="14">
        <v>1.57</v>
      </c>
      <c r="D14" s="14">
        <f>345*0.7</f>
        <v>241.49999999999997</v>
      </c>
      <c r="E14" s="14">
        <v>22</v>
      </c>
      <c r="F14" s="23">
        <f t="shared" si="0"/>
        <v>8341.41</v>
      </c>
      <c r="G14" s="16">
        <v>21</v>
      </c>
      <c r="H14" s="17">
        <f t="shared" si="1"/>
        <v>14.25</v>
      </c>
      <c r="I14" s="17">
        <f>+F14/H14</f>
        <v>585.3621052631579</v>
      </c>
      <c r="J14" s="4">
        <v>600</v>
      </c>
      <c r="K14" s="36">
        <f t="shared" si="3"/>
        <v>0.97560350877192981</v>
      </c>
      <c r="L14" s="14" t="s">
        <v>40</v>
      </c>
      <c r="M14" s="12"/>
      <c r="N14" s="4"/>
    </row>
    <row r="15" spans="2:14" ht="14.1" x14ac:dyDescent="0.3">
      <c r="B15" s="15">
        <v>25</v>
      </c>
      <c r="C15" s="14">
        <v>1.57</v>
      </c>
      <c r="D15" s="14">
        <v>345</v>
      </c>
      <c r="E15" s="14">
        <v>25</v>
      </c>
      <c r="F15" s="23">
        <f t="shared" si="0"/>
        <v>13541.25</v>
      </c>
      <c r="G15" s="16">
        <v>21</v>
      </c>
      <c r="H15" s="17">
        <f t="shared" si="1"/>
        <v>14.25</v>
      </c>
      <c r="I15" s="17">
        <f t="shared" si="2"/>
        <v>950.26315789473688</v>
      </c>
      <c r="J15" s="4">
        <v>400</v>
      </c>
      <c r="K15" s="36">
        <f t="shared" si="3"/>
        <v>2.3756578947368423</v>
      </c>
      <c r="L15" s="14" t="s">
        <v>40</v>
      </c>
      <c r="M15" s="12"/>
      <c r="N15" s="4"/>
    </row>
    <row r="16" spans="2:14" ht="14.1" x14ac:dyDescent="0.3">
      <c r="B16" s="15">
        <v>29</v>
      </c>
      <c r="C16" s="14">
        <v>1.57</v>
      </c>
      <c r="D16" s="14">
        <v>345</v>
      </c>
      <c r="E16" s="14">
        <v>29</v>
      </c>
      <c r="F16" s="23">
        <f t="shared" si="0"/>
        <v>15707.849999999999</v>
      </c>
      <c r="G16" s="16">
        <v>21</v>
      </c>
      <c r="H16" s="17">
        <f t="shared" si="1"/>
        <v>14.25</v>
      </c>
      <c r="I16" s="17">
        <f t="shared" si="2"/>
        <v>1102.3052631578946</v>
      </c>
      <c r="J16" s="4">
        <v>400</v>
      </c>
      <c r="K16" s="36">
        <f t="shared" si="3"/>
        <v>2.7557631578947364</v>
      </c>
      <c r="L16" s="14" t="s">
        <v>40</v>
      </c>
      <c r="M16" s="12"/>
      <c r="N16" s="4"/>
    </row>
    <row r="17" spans="2:14" ht="14.1" x14ac:dyDescent="0.3">
      <c r="B17" s="15">
        <v>32</v>
      </c>
      <c r="C17" s="14">
        <v>1.57</v>
      </c>
      <c r="D17" s="14">
        <v>345</v>
      </c>
      <c r="E17" s="14">
        <v>32</v>
      </c>
      <c r="F17" s="23">
        <f t="shared" si="0"/>
        <v>17332.8</v>
      </c>
      <c r="G17" s="16">
        <v>21</v>
      </c>
      <c r="H17" s="17">
        <f t="shared" si="1"/>
        <v>14.25</v>
      </c>
      <c r="I17" s="17">
        <f t="shared" si="2"/>
        <v>1216.336842105263</v>
      </c>
      <c r="J17" s="4">
        <v>400</v>
      </c>
      <c r="K17" s="36">
        <f t="shared" si="3"/>
        <v>3.0408421052631578</v>
      </c>
      <c r="L17" s="14" t="s">
        <v>40</v>
      </c>
      <c r="M17" s="12"/>
      <c r="N17" s="4"/>
    </row>
    <row r="18" spans="2:14" ht="14.1" x14ac:dyDescent="0.3">
      <c r="B18" s="13"/>
      <c r="C18" s="13"/>
      <c r="D18" s="13"/>
      <c r="E18" s="13"/>
      <c r="F18" s="13"/>
      <c r="G18" s="13"/>
      <c r="H18" s="13"/>
      <c r="I18" s="13"/>
      <c r="J18" s="13"/>
    </row>
    <row r="19" spans="2:14" ht="14.1" x14ac:dyDescent="0.3">
      <c r="E19" s="13"/>
      <c r="F19" s="13"/>
      <c r="G19" s="13"/>
      <c r="H19" s="13"/>
      <c r="I19" s="13"/>
      <c r="J19" s="13"/>
    </row>
    <row r="20" spans="2:14" ht="14.1" x14ac:dyDescent="0.3">
      <c r="B20" s="13"/>
      <c r="C20" s="13"/>
      <c r="D20" s="13"/>
      <c r="E20" s="13"/>
      <c r="F20" s="13"/>
      <c r="G20" s="13"/>
      <c r="H20" s="13"/>
      <c r="I20" s="13"/>
      <c r="J20" s="13"/>
    </row>
    <row r="21" spans="2:14" ht="14.1" x14ac:dyDescent="0.3">
      <c r="B21" s="13"/>
      <c r="C21" s="13"/>
      <c r="D21" s="13"/>
      <c r="E21" s="13"/>
      <c r="F21" s="13"/>
      <c r="G21" s="13"/>
      <c r="H21" s="13"/>
      <c r="I21" s="13"/>
      <c r="J21" s="13"/>
    </row>
    <row r="22" spans="2:14" ht="14.1" x14ac:dyDescent="0.3">
      <c r="B22" s="13"/>
      <c r="C22" s="18"/>
      <c r="D22" s="20"/>
      <c r="E22" s="13"/>
      <c r="F22" s="13"/>
      <c r="G22" s="13"/>
      <c r="H22" s="13"/>
      <c r="I22" s="13"/>
      <c r="J22" s="13"/>
    </row>
    <row r="23" spans="2:14" ht="14.1" x14ac:dyDescent="0.3">
      <c r="B23" s="13"/>
      <c r="C23" s="18"/>
      <c r="D23" s="20"/>
      <c r="F23" s="13"/>
      <c r="G23" s="13"/>
      <c r="H23" s="13"/>
      <c r="I23" s="13"/>
      <c r="J23" s="13"/>
    </row>
    <row r="24" spans="2:14" ht="14.1" x14ac:dyDescent="0.3">
      <c r="B24" s="13"/>
      <c r="C24" s="18"/>
      <c r="D24" s="13"/>
      <c r="E24" s="13"/>
      <c r="F24" s="13"/>
      <c r="G24" s="13"/>
      <c r="H24" s="13"/>
      <c r="I24" s="13"/>
      <c r="J24" s="13"/>
    </row>
    <row r="25" spans="2:14" ht="14.1" x14ac:dyDescent="0.3">
      <c r="B25" s="14"/>
      <c r="C25" s="14"/>
      <c r="D25" s="14"/>
      <c r="E25" s="14"/>
      <c r="F25" s="14"/>
      <c r="G25" s="14"/>
      <c r="H25" s="14"/>
      <c r="I25" s="14"/>
      <c r="J25" s="14"/>
    </row>
    <row r="26" spans="2:14" ht="14.1" x14ac:dyDescent="0.3">
      <c r="B26" s="15"/>
      <c r="C26" s="14"/>
      <c r="D26" s="14"/>
      <c r="E26" s="14"/>
      <c r="F26" s="14"/>
      <c r="G26" s="21"/>
      <c r="H26" s="17"/>
      <c r="I26" s="19"/>
      <c r="J26" s="14"/>
    </row>
    <row r="27" spans="2:14" ht="14.1" x14ac:dyDescent="0.3">
      <c r="B27" s="15"/>
      <c r="C27" s="14"/>
      <c r="D27" s="14"/>
      <c r="E27" s="14"/>
      <c r="F27" s="14"/>
      <c r="G27" s="21"/>
      <c r="H27" s="17"/>
      <c r="I27" s="19"/>
      <c r="J27" s="14"/>
    </row>
    <row r="28" spans="2:14" ht="14.1" x14ac:dyDescent="0.3">
      <c r="B28" s="15"/>
      <c r="C28" s="14"/>
      <c r="D28" s="14"/>
      <c r="E28" s="14"/>
      <c r="F28" s="14"/>
      <c r="G28" s="21"/>
      <c r="H28" s="17"/>
      <c r="I28" s="19"/>
      <c r="J28" s="14"/>
    </row>
    <row r="29" spans="2:14" ht="14.1" x14ac:dyDescent="0.3">
      <c r="B29" s="15"/>
      <c r="C29" s="14"/>
      <c r="D29" s="14"/>
      <c r="E29" s="14"/>
      <c r="F29" s="14"/>
      <c r="G29" s="21"/>
      <c r="H29" s="17"/>
      <c r="I29" s="19"/>
      <c r="J29" s="14"/>
    </row>
    <row r="30" spans="2:14" ht="14.1" x14ac:dyDescent="0.3">
      <c r="B30" s="15"/>
      <c r="C30" s="14"/>
      <c r="D30" s="14"/>
      <c r="E30" s="14"/>
      <c r="F30" s="14"/>
      <c r="G30" s="21"/>
      <c r="H30" s="17"/>
      <c r="I30" s="19"/>
      <c r="J30" s="14"/>
    </row>
    <row r="31" spans="2:14" ht="14.1" x14ac:dyDescent="0.3">
      <c r="B31" s="15"/>
      <c r="C31" s="14"/>
      <c r="D31" s="14"/>
      <c r="E31" s="14"/>
      <c r="F31" s="14"/>
      <c r="G31" s="21"/>
      <c r="H31" s="17"/>
      <c r="I31" s="19"/>
      <c r="J31" s="14"/>
    </row>
    <row r="32" spans="2:14" ht="14.1" x14ac:dyDescent="0.3">
      <c r="B32" s="15"/>
      <c r="C32" s="14"/>
      <c r="D32" s="14"/>
      <c r="E32" s="14"/>
      <c r="F32" s="14"/>
      <c r="G32" s="21"/>
      <c r="H32" s="17"/>
      <c r="I32" s="19"/>
      <c r="J32" s="14"/>
    </row>
    <row r="33" spans="2:10" ht="14.1" x14ac:dyDescent="0.3">
      <c r="B33" s="15"/>
      <c r="C33" s="14"/>
      <c r="D33" s="14"/>
      <c r="E33" s="14"/>
      <c r="F33" s="14"/>
      <c r="G33" s="21"/>
      <c r="H33" s="17"/>
      <c r="I33" s="19"/>
      <c r="J33" s="14"/>
    </row>
  </sheetData>
  <phoneticPr fontId="1"/>
  <pageMargins left="0.75" right="0.75" top="1" bottom="1" header="0.51200000000000001" footer="0.51200000000000001"/>
  <pageSetup paperSize="9" orientation="portrait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2:O40"/>
  <sheetViews>
    <sheetView workbookViewId="0">
      <selection activeCell="G16" sqref="G16"/>
    </sheetView>
  </sheetViews>
  <sheetFormatPr defaultColWidth="9.1171875" defaultRowHeight="15" x14ac:dyDescent="0.3"/>
  <cols>
    <col min="1" max="1" width="2.64453125" style="24" customWidth="1"/>
    <col min="2" max="11" width="8.64453125" style="24" customWidth="1"/>
    <col min="12" max="12" width="9.64453125" style="24" customWidth="1"/>
    <col min="13" max="16384" width="9.1171875" style="24"/>
  </cols>
  <sheetData>
    <row r="2" spans="2:11" x14ac:dyDescent="0.3">
      <c r="B2" s="24" t="s">
        <v>44</v>
      </c>
    </row>
    <row r="4" spans="2:11" x14ac:dyDescent="0.3">
      <c r="B4" s="71" t="s">
        <v>64</v>
      </c>
      <c r="C4" s="71"/>
      <c r="D4" s="71"/>
      <c r="E4" s="71"/>
      <c r="F4" s="71"/>
      <c r="G4" s="71"/>
      <c r="H4" s="71"/>
      <c r="I4" s="71"/>
      <c r="J4" s="71"/>
      <c r="K4" s="71"/>
    </row>
    <row r="5" spans="2:11" x14ac:dyDescent="0.3">
      <c r="B5" s="71"/>
      <c r="C5" s="71"/>
      <c r="D5" s="71"/>
      <c r="E5" s="71"/>
      <c r="F5" s="71"/>
      <c r="G5" s="71"/>
      <c r="H5" s="71"/>
      <c r="I5" s="71"/>
      <c r="J5" s="71"/>
      <c r="K5" s="71"/>
    </row>
    <row r="7" spans="2:11" x14ac:dyDescent="0.3">
      <c r="B7" s="24" t="s">
        <v>66</v>
      </c>
      <c r="D7" s="24" t="s">
        <v>59</v>
      </c>
      <c r="G7" s="24" t="s">
        <v>45</v>
      </c>
    </row>
    <row r="9" spans="2:11" x14ac:dyDescent="0.3">
      <c r="E9" s="25" t="s">
        <v>67</v>
      </c>
      <c r="G9" s="25" t="s">
        <v>35</v>
      </c>
      <c r="H9" s="26">
        <f>G11/40+0.9</f>
        <v>1.5</v>
      </c>
      <c r="I9" s="38" t="s">
        <v>76</v>
      </c>
      <c r="J9" s="37" t="s">
        <v>65</v>
      </c>
    </row>
    <row r="11" spans="2:11" x14ac:dyDescent="0.3">
      <c r="E11" s="25" t="s">
        <v>68</v>
      </c>
      <c r="F11" s="25" t="s">
        <v>71</v>
      </c>
      <c r="G11" s="26">
        <v>24</v>
      </c>
      <c r="H11" s="38" t="s">
        <v>76</v>
      </c>
    </row>
    <row r="12" spans="2:11" x14ac:dyDescent="0.3">
      <c r="E12" s="25" t="s">
        <v>69</v>
      </c>
      <c r="F12" s="25" t="s">
        <v>70</v>
      </c>
      <c r="G12" s="26">
        <v>25</v>
      </c>
      <c r="H12" s="24" t="s">
        <v>77</v>
      </c>
    </row>
    <row r="13" spans="2:11" x14ac:dyDescent="0.3">
      <c r="E13" s="25" t="s">
        <v>73</v>
      </c>
      <c r="F13" s="25" t="s">
        <v>72</v>
      </c>
      <c r="G13" s="26">
        <v>1</v>
      </c>
    </row>
    <row r="14" spans="2:11" x14ac:dyDescent="0.3">
      <c r="C14" s="25"/>
      <c r="D14" s="26"/>
      <c r="E14" s="25" t="s">
        <v>74</v>
      </c>
      <c r="F14" s="25" t="s">
        <v>75</v>
      </c>
      <c r="G14" s="26">
        <v>345</v>
      </c>
      <c r="H14" s="38" t="s">
        <v>76</v>
      </c>
    </row>
    <row r="15" spans="2:11" x14ac:dyDescent="0.3">
      <c r="C15" s="25"/>
      <c r="D15" s="26"/>
      <c r="E15" s="25" t="s">
        <v>79</v>
      </c>
      <c r="F15" s="25" t="s">
        <v>80</v>
      </c>
      <c r="G15" s="26">
        <v>1.25</v>
      </c>
    </row>
    <row r="16" spans="2:11" x14ac:dyDescent="0.3">
      <c r="C16" s="25"/>
      <c r="D16" s="26"/>
    </row>
    <row r="17" spans="1:15" x14ac:dyDescent="0.3">
      <c r="D17" s="25" t="s">
        <v>78</v>
      </c>
      <c r="E17" s="24" t="str">
        <f>_xlfn.TEXTJOIN(,,G13,"*",G15,"*",G14,"*",G12,"/(",10,"*",H9,")=")</f>
        <v>1*1.25*345*25/(10*1.5)=</v>
      </c>
      <c r="I17" s="45">
        <f>[1]!answer(E17)</f>
        <v>718.75</v>
      </c>
      <c r="J17" s="24" t="s">
        <v>77</v>
      </c>
    </row>
    <row r="19" spans="1:15" x14ac:dyDescent="0.3">
      <c r="A19" s="39"/>
      <c r="C19" s="41"/>
      <c r="D19" s="47" t="s">
        <v>83</v>
      </c>
      <c r="E19" s="25" t="s">
        <v>81</v>
      </c>
      <c r="F19" s="27">
        <v>400</v>
      </c>
      <c r="G19" s="24" t="s">
        <v>77</v>
      </c>
      <c r="H19" s="24" t="s">
        <v>82</v>
      </c>
      <c r="L19" s="44"/>
    </row>
    <row r="20" spans="1:15" x14ac:dyDescent="0.3">
      <c r="A20" s="39"/>
      <c r="B20" s="40"/>
      <c r="C20" s="41"/>
      <c r="E20" s="41"/>
      <c r="F20" s="41"/>
      <c r="G20" s="42"/>
      <c r="K20" s="41"/>
      <c r="L20" s="44"/>
    </row>
    <row r="21" spans="1:15" x14ac:dyDescent="0.3">
      <c r="A21" s="39"/>
      <c r="B21" s="40"/>
      <c r="E21" s="25" t="s">
        <v>84</v>
      </c>
      <c r="G21" s="46" t="s">
        <v>85</v>
      </c>
      <c r="J21" s="26"/>
      <c r="K21" s="41"/>
      <c r="L21" s="44"/>
    </row>
    <row r="22" spans="1:15" x14ac:dyDescent="0.3">
      <c r="A22" s="39"/>
      <c r="B22" s="40"/>
      <c r="C22" s="41"/>
      <c r="E22" s="42">
        <f>+I17</f>
        <v>718.75</v>
      </c>
      <c r="F22" s="41" t="str">
        <f>IF(G22&gt;E22,"&gt;","&lt;")</f>
        <v>&lt;</v>
      </c>
      <c r="G22" s="41">
        <f>+F19</f>
        <v>400</v>
      </c>
      <c r="I22" s="26"/>
      <c r="J22" s="43"/>
      <c r="K22" s="41"/>
      <c r="L22" s="44"/>
    </row>
    <row r="23" spans="1:15" x14ac:dyDescent="0.3">
      <c r="A23" s="39"/>
      <c r="B23" s="39"/>
      <c r="C23" s="39"/>
      <c r="D23" s="39"/>
      <c r="G23" s="48" t="str">
        <f>IF(F22="&gt;","・・・・・定着長さが長いのでOK","NG")</f>
        <v>NG</v>
      </c>
      <c r="I23" s="39"/>
      <c r="J23" s="39"/>
      <c r="K23" s="39"/>
      <c r="L23" s="39"/>
    </row>
    <row r="26" spans="1:15" x14ac:dyDescent="0.3">
      <c r="M26" s="27"/>
      <c r="N26" s="27"/>
      <c r="O26" s="27"/>
    </row>
    <row r="27" spans="1:15" x14ac:dyDescent="0.3">
      <c r="M27" s="27"/>
      <c r="N27" s="33"/>
      <c r="O27" s="27"/>
    </row>
    <row r="28" spans="1:15" x14ac:dyDescent="0.3">
      <c r="M28" s="27"/>
      <c r="N28" s="33"/>
      <c r="O28" s="27"/>
    </row>
    <row r="29" spans="1:15" x14ac:dyDescent="0.3">
      <c r="M29" s="27"/>
      <c r="N29" s="33"/>
      <c r="O29" s="27"/>
    </row>
    <row r="30" spans="1:15" x14ac:dyDescent="0.3">
      <c r="M30" s="27"/>
      <c r="N30" s="33"/>
      <c r="O30" s="27"/>
    </row>
    <row r="31" spans="1:15" x14ac:dyDescent="0.3">
      <c r="M31" s="27"/>
      <c r="N31" s="33"/>
      <c r="O31" s="27"/>
    </row>
    <row r="32" spans="1:15" x14ac:dyDescent="0.3">
      <c r="M32" s="27"/>
      <c r="N32" s="33"/>
      <c r="O32" s="27"/>
    </row>
    <row r="33" spans="2:15" x14ac:dyDescent="0.3">
      <c r="M33" s="27"/>
      <c r="N33" s="33"/>
      <c r="O33" s="27"/>
    </row>
    <row r="34" spans="2:15" x14ac:dyDescent="0.3">
      <c r="M34" s="27"/>
      <c r="N34" s="33"/>
      <c r="O34" s="27"/>
    </row>
    <row r="35" spans="2:15" x14ac:dyDescent="0.3">
      <c r="K35" s="27"/>
    </row>
    <row r="36" spans="2:15" x14ac:dyDescent="0.3">
      <c r="K36" s="27"/>
    </row>
    <row r="37" spans="2:15" x14ac:dyDescent="0.3">
      <c r="B37" s="28"/>
      <c r="C37" s="27"/>
      <c r="D37" s="27"/>
      <c r="E37" s="27"/>
      <c r="F37" s="27"/>
      <c r="G37" s="35"/>
      <c r="H37" s="30"/>
      <c r="I37" s="27"/>
      <c r="J37" s="31"/>
      <c r="K37" s="27"/>
    </row>
    <row r="38" spans="2:15" x14ac:dyDescent="0.3">
      <c r="B38" s="28"/>
      <c r="C38" s="27"/>
      <c r="D38" s="27"/>
      <c r="E38" s="27"/>
      <c r="F38" s="27"/>
      <c r="G38" s="35"/>
      <c r="H38" s="30"/>
      <c r="I38" s="27"/>
      <c r="J38" s="31"/>
      <c r="K38" s="27"/>
    </row>
    <row r="39" spans="2:15" x14ac:dyDescent="0.3">
      <c r="B39" s="28"/>
      <c r="C39" s="27"/>
      <c r="D39" s="27"/>
      <c r="E39" s="27"/>
      <c r="F39" s="27"/>
      <c r="G39" s="35"/>
      <c r="H39" s="30"/>
      <c r="I39" s="27"/>
      <c r="J39" s="31"/>
      <c r="K39" s="27"/>
    </row>
    <row r="40" spans="2:15" x14ac:dyDescent="0.3">
      <c r="B40" s="28"/>
      <c r="C40" s="27"/>
      <c r="D40" s="27"/>
      <c r="E40" s="27"/>
      <c r="F40" s="27"/>
      <c r="G40" s="35"/>
      <c r="H40" s="30"/>
      <c r="I40" s="27"/>
      <c r="J40" s="31"/>
      <c r="K40" s="27"/>
    </row>
  </sheetData>
  <mergeCells count="1">
    <mergeCell ref="B4:K5"/>
  </mergeCells>
  <phoneticPr fontId="1"/>
  <pageMargins left="0.70866141732283472" right="0.11811023622047245" top="0.74803149606299213" bottom="0.74803149606299213" header="0.31496062992125984" footer="0.31496062992125984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B2:O43"/>
  <sheetViews>
    <sheetView workbookViewId="0">
      <selection activeCell="J31" sqref="J31"/>
    </sheetView>
  </sheetViews>
  <sheetFormatPr defaultColWidth="9.1171875" defaultRowHeight="15" x14ac:dyDescent="0.3"/>
  <cols>
    <col min="1" max="1" width="2.64453125" style="24" customWidth="1"/>
    <col min="2" max="11" width="8.64453125" style="24" customWidth="1"/>
    <col min="12" max="12" width="9.64453125" style="24" customWidth="1"/>
    <col min="13" max="13" width="9.1171875" style="24"/>
    <col min="14" max="14" width="9.87890625" style="24" bestFit="1" customWidth="1"/>
    <col min="15" max="16384" width="9.1171875" style="24"/>
  </cols>
  <sheetData>
    <row r="2" spans="2:11" x14ac:dyDescent="0.3">
      <c r="B2" s="24" t="s">
        <v>44</v>
      </c>
    </row>
    <row r="4" spans="2:11" x14ac:dyDescent="0.3">
      <c r="B4" s="71" t="s">
        <v>64</v>
      </c>
      <c r="C4" s="71"/>
      <c r="D4" s="71"/>
      <c r="E4" s="71"/>
      <c r="F4" s="71"/>
      <c r="G4" s="71"/>
      <c r="H4" s="71"/>
      <c r="I4" s="71"/>
      <c r="J4" s="71"/>
      <c r="K4" s="71"/>
    </row>
    <row r="5" spans="2:11" x14ac:dyDescent="0.3">
      <c r="B5" s="71"/>
      <c r="C5" s="71"/>
      <c r="D5" s="71"/>
      <c r="E5" s="71"/>
      <c r="F5" s="71"/>
      <c r="G5" s="71"/>
      <c r="H5" s="71"/>
      <c r="I5" s="71"/>
      <c r="J5" s="71"/>
      <c r="K5" s="71"/>
    </row>
    <row r="7" spans="2:11" x14ac:dyDescent="0.3">
      <c r="B7" s="24" t="s">
        <v>66</v>
      </c>
      <c r="D7" s="24" t="s">
        <v>59</v>
      </c>
      <c r="G7" s="24" t="s">
        <v>45</v>
      </c>
    </row>
    <row r="9" spans="2:11" x14ac:dyDescent="0.3">
      <c r="E9" s="25" t="s">
        <v>67</v>
      </c>
      <c r="G9" s="25" t="s">
        <v>35</v>
      </c>
      <c r="H9" s="26">
        <f>G11/40+0.9</f>
        <v>1.5</v>
      </c>
      <c r="I9" s="38" t="s">
        <v>76</v>
      </c>
      <c r="J9" s="37" t="s">
        <v>65</v>
      </c>
    </row>
    <row r="11" spans="2:11" x14ac:dyDescent="0.3">
      <c r="E11" s="25" t="s">
        <v>68</v>
      </c>
      <c r="F11" s="25" t="s">
        <v>71</v>
      </c>
      <c r="G11" s="26">
        <v>24</v>
      </c>
      <c r="H11" s="38" t="s">
        <v>76</v>
      </c>
    </row>
    <row r="12" spans="2:11" x14ac:dyDescent="0.3">
      <c r="E12" s="25" t="s">
        <v>69</v>
      </c>
      <c r="F12" s="25" t="s">
        <v>70</v>
      </c>
      <c r="G12" s="26">
        <v>25</v>
      </c>
      <c r="H12" s="24" t="s">
        <v>77</v>
      </c>
    </row>
    <row r="13" spans="2:11" x14ac:dyDescent="0.3">
      <c r="E13" s="25" t="s">
        <v>73</v>
      </c>
      <c r="F13" s="25" t="s">
        <v>72</v>
      </c>
      <c r="G13" s="26">
        <v>1</v>
      </c>
    </row>
    <row r="14" spans="2:11" x14ac:dyDescent="0.3">
      <c r="C14" s="25"/>
      <c r="D14" s="26"/>
      <c r="E14" s="25" t="s">
        <v>74</v>
      </c>
      <c r="F14" s="25" t="s">
        <v>75</v>
      </c>
      <c r="G14" s="26">
        <v>345</v>
      </c>
      <c r="H14" s="38" t="s">
        <v>76</v>
      </c>
    </row>
    <row r="15" spans="2:11" x14ac:dyDescent="0.3">
      <c r="C15" s="25"/>
      <c r="D15" s="26"/>
      <c r="E15" s="25" t="s">
        <v>79</v>
      </c>
      <c r="F15" s="25" t="s">
        <v>80</v>
      </c>
      <c r="G15" s="26">
        <v>1.25</v>
      </c>
    </row>
    <row r="16" spans="2:11" x14ac:dyDescent="0.3">
      <c r="C16" s="25"/>
      <c r="D16" s="26"/>
    </row>
    <row r="17" spans="2:15" x14ac:dyDescent="0.3">
      <c r="B17" s="27" t="s">
        <v>27</v>
      </c>
      <c r="C17" s="27" t="s">
        <v>43</v>
      </c>
      <c r="D17" s="27" t="s">
        <v>33</v>
      </c>
      <c r="E17" s="27" t="s">
        <v>10</v>
      </c>
      <c r="F17" s="27" t="s">
        <v>34</v>
      </c>
      <c r="G17" s="27" t="s">
        <v>20</v>
      </c>
      <c r="H17" s="27" t="s">
        <v>41</v>
      </c>
      <c r="I17" s="27" t="s">
        <v>62</v>
      </c>
      <c r="J17" s="27" t="s">
        <v>38</v>
      </c>
      <c r="K17" s="27" t="s">
        <v>39</v>
      </c>
      <c r="L17" s="27"/>
    </row>
    <row r="18" spans="2:15" x14ac:dyDescent="0.3">
      <c r="B18" s="28">
        <v>22</v>
      </c>
      <c r="C18" s="27">
        <v>1</v>
      </c>
      <c r="D18" s="27">
        <v>0.7</v>
      </c>
      <c r="E18" s="27">
        <v>295</v>
      </c>
      <c r="F18" s="27">
        <f>+H9</f>
        <v>1.5</v>
      </c>
      <c r="G18" s="29">
        <f>+B18</f>
        <v>22</v>
      </c>
      <c r="H18" s="30">
        <f>+D18*E18*G18/(10*F18)*C18</f>
        <v>302.86666666666667</v>
      </c>
      <c r="I18" s="27">
        <f>400</f>
        <v>400</v>
      </c>
      <c r="J18" s="31">
        <f>+H18/I18</f>
        <v>0.75716666666666665</v>
      </c>
      <c r="K18" s="27" t="str">
        <f t="shared" ref="K18:K25" si="0">IF(J18&lt;1,"OK","NG")</f>
        <v>OK</v>
      </c>
      <c r="L18" s="32"/>
    </row>
    <row r="19" spans="2:15" x14ac:dyDescent="0.3">
      <c r="B19" s="28">
        <v>13</v>
      </c>
      <c r="C19" s="27">
        <v>1</v>
      </c>
      <c r="D19" s="27">
        <v>0.7</v>
      </c>
      <c r="E19" s="27">
        <v>295</v>
      </c>
      <c r="F19" s="27">
        <f>+F18</f>
        <v>1.5</v>
      </c>
      <c r="G19" s="29">
        <f t="shared" ref="G19:G25" si="1">+B19</f>
        <v>13</v>
      </c>
      <c r="H19" s="30">
        <f t="shared" ref="H19:H24" si="2">+D19*E19*G19/(10*F19)*C19</f>
        <v>178.96666666666667</v>
      </c>
      <c r="I19" s="27">
        <f>400</f>
        <v>400</v>
      </c>
      <c r="J19" s="31">
        <f t="shared" ref="J19:J25" si="3">+H19/I19</f>
        <v>0.44741666666666668</v>
      </c>
      <c r="K19" s="27" t="str">
        <f t="shared" si="0"/>
        <v>OK</v>
      </c>
      <c r="L19" s="32"/>
    </row>
    <row r="20" spans="2:15" x14ac:dyDescent="0.3">
      <c r="B20" s="28">
        <v>16</v>
      </c>
      <c r="C20" s="27">
        <v>1</v>
      </c>
      <c r="D20" s="27">
        <v>0.7</v>
      </c>
      <c r="E20" s="27">
        <v>295</v>
      </c>
      <c r="F20" s="27">
        <f t="shared" ref="F20:F25" si="4">+F19</f>
        <v>1.5</v>
      </c>
      <c r="G20" s="29">
        <f t="shared" si="1"/>
        <v>16</v>
      </c>
      <c r="H20" s="30">
        <f t="shared" si="2"/>
        <v>220.26666666666668</v>
      </c>
      <c r="I20" s="27">
        <f>400</f>
        <v>400</v>
      </c>
      <c r="J20" s="31">
        <f t="shared" si="3"/>
        <v>0.55066666666666675</v>
      </c>
      <c r="K20" s="27" t="str">
        <f t="shared" si="0"/>
        <v>OK</v>
      </c>
      <c r="L20" s="32"/>
    </row>
    <row r="21" spans="2:15" x14ac:dyDescent="0.3">
      <c r="B21" s="40">
        <v>19</v>
      </c>
      <c r="C21" s="41">
        <v>1</v>
      </c>
      <c r="D21" s="41">
        <v>0.7</v>
      </c>
      <c r="E21" s="41">
        <v>345</v>
      </c>
      <c r="F21" s="41">
        <f t="shared" si="4"/>
        <v>1.5</v>
      </c>
      <c r="G21" s="42">
        <f t="shared" si="1"/>
        <v>19</v>
      </c>
      <c r="H21" s="49">
        <f t="shared" si="2"/>
        <v>305.89999999999992</v>
      </c>
      <c r="I21" s="41">
        <f>400</f>
        <v>400</v>
      </c>
      <c r="J21" s="43">
        <f>+H21/I21</f>
        <v>0.76474999999999982</v>
      </c>
      <c r="K21" s="41" t="str">
        <f t="shared" si="0"/>
        <v>OK</v>
      </c>
      <c r="L21" s="32"/>
    </row>
    <row r="22" spans="2:15" x14ac:dyDescent="0.3">
      <c r="B22" s="40">
        <v>22</v>
      </c>
      <c r="C22" s="41">
        <v>1</v>
      </c>
      <c r="D22" s="41">
        <v>0.7</v>
      </c>
      <c r="E22" s="41">
        <v>345</v>
      </c>
      <c r="F22" s="41">
        <f t="shared" si="4"/>
        <v>1.5</v>
      </c>
      <c r="G22" s="42">
        <f t="shared" si="1"/>
        <v>22</v>
      </c>
      <c r="H22" s="49">
        <f t="shared" si="2"/>
        <v>354.19999999999993</v>
      </c>
      <c r="I22" s="41">
        <f>400</f>
        <v>400</v>
      </c>
      <c r="J22" s="43">
        <f t="shared" si="3"/>
        <v>0.88549999999999984</v>
      </c>
      <c r="K22" s="41" t="str">
        <f t="shared" si="0"/>
        <v>OK</v>
      </c>
      <c r="L22" s="32" t="s">
        <v>60</v>
      </c>
    </row>
    <row r="23" spans="2:15" x14ac:dyDescent="0.3">
      <c r="B23" s="40">
        <v>25</v>
      </c>
      <c r="C23" s="41">
        <v>1</v>
      </c>
      <c r="D23" s="41">
        <v>0.7</v>
      </c>
      <c r="E23" s="41">
        <v>345</v>
      </c>
      <c r="F23" s="41">
        <f t="shared" si="4"/>
        <v>1.5</v>
      </c>
      <c r="G23" s="42">
        <f t="shared" si="1"/>
        <v>25</v>
      </c>
      <c r="H23" s="49">
        <f t="shared" si="2"/>
        <v>402.49999999999994</v>
      </c>
      <c r="I23" s="41">
        <f>400</f>
        <v>400</v>
      </c>
      <c r="J23" s="43">
        <f>+H23/I23</f>
        <v>1.0062499999999999</v>
      </c>
      <c r="K23" s="41" t="str">
        <f t="shared" si="0"/>
        <v>NG</v>
      </c>
      <c r="L23" s="32"/>
    </row>
    <row r="24" spans="2:15" x14ac:dyDescent="0.3">
      <c r="B24" s="40">
        <v>29</v>
      </c>
      <c r="C24" s="41">
        <v>1</v>
      </c>
      <c r="D24" s="41">
        <v>0.7</v>
      </c>
      <c r="E24" s="41">
        <v>390</v>
      </c>
      <c r="F24" s="41">
        <f t="shared" si="4"/>
        <v>1.5</v>
      </c>
      <c r="G24" s="42">
        <f t="shared" si="1"/>
        <v>29</v>
      </c>
      <c r="H24" s="49">
        <f t="shared" si="2"/>
        <v>527.79999999999995</v>
      </c>
      <c r="I24" s="41">
        <f>400</f>
        <v>400</v>
      </c>
      <c r="J24" s="43">
        <f t="shared" si="3"/>
        <v>1.3194999999999999</v>
      </c>
      <c r="K24" s="41" t="str">
        <f t="shared" si="0"/>
        <v>NG</v>
      </c>
      <c r="L24" s="32"/>
    </row>
    <row r="25" spans="2:15" x14ac:dyDescent="0.3">
      <c r="B25" s="40">
        <v>32</v>
      </c>
      <c r="C25" s="41">
        <v>1</v>
      </c>
      <c r="D25" s="41">
        <v>0.7</v>
      </c>
      <c r="E25" s="41">
        <v>390</v>
      </c>
      <c r="F25" s="41">
        <f t="shared" si="4"/>
        <v>1.5</v>
      </c>
      <c r="G25" s="42">
        <f t="shared" si="1"/>
        <v>32</v>
      </c>
      <c r="H25" s="49">
        <f>+D25*E25*G25/(10*F25)*C25</f>
        <v>582.4</v>
      </c>
      <c r="I25" s="41">
        <f>400</f>
        <v>400</v>
      </c>
      <c r="J25" s="43">
        <f t="shared" si="3"/>
        <v>1.456</v>
      </c>
      <c r="K25" s="41" t="str">
        <f t="shared" si="0"/>
        <v>NG</v>
      </c>
      <c r="L25" s="32"/>
    </row>
    <row r="26" spans="2:15" x14ac:dyDescent="0.3">
      <c r="N26" s="24">
        <v>800</v>
      </c>
    </row>
    <row r="27" spans="2:15" x14ac:dyDescent="0.3">
      <c r="N27" s="24">
        <v>127</v>
      </c>
    </row>
    <row r="28" spans="2:15" x14ac:dyDescent="0.3">
      <c r="G28" s="25" t="s">
        <v>61</v>
      </c>
      <c r="H28" s="26">
        <v>800</v>
      </c>
      <c r="I28" s="26" t="s">
        <v>63</v>
      </c>
      <c r="N28" s="24">
        <f>N26-N27</f>
        <v>673</v>
      </c>
    </row>
    <row r="29" spans="2:15" x14ac:dyDescent="0.3">
      <c r="G29" s="24" t="s">
        <v>87</v>
      </c>
      <c r="H29" s="24">
        <f>H28/4*3</f>
        <v>600</v>
      </c>
      <c r="M29" s="27"/>
      <c r="N29" s="27">
        <v>70</v>
      </c>
      <c r="O29" s="27"/>
    </row>
    <row r="30" spans="2:15" x14ac:dyDescent="0.3">
      <c r="G30" s="24" t="s">
        <v>88</v>
      </c>
      <c r="H30" s="24">
        <f>H28/3*2</f>
        <v>533.33333333333337</v>
      </c>
      <c r="M30" s="27"/>
      <c r="N30" s="33">
        <f>N28-N29</f>
        <v>603</v>
      </c>
      <c r="O30" s="27"/>
    </row>
    <row r="31" spans="2:15" x14ac:dyDescent="0.3">
      <c r="G31" s="24" t="s">
        <v>86</v>
      </c>
      <c r="H31" s="24">
        <f>H25/H28</f>
        <v>0.72799999999999998</v>
      </c>
      <c r="J31" s="24">
        <f>H31^-1</f>
        <v>1.3736263736263736</v>
      </c>
      <c r="M31" s="27"/>
      <c r="N31" s="33">
        <f>N30-70</f>
        <v>533</v>
      </c>
      <c r="O31" s="27"/>
    </row>
    <row r="32" spans="2:15" x14ac:dyDescent="0.3">
      <c r="M32" s="27"/>
      <c r="N32" s="33"/>
      <c r="O32" s="27"/>
    </row>
    <row r="33" spans="2:15" x14ac:dyDescent="0.3">
      <c r="M33" s="27"/>
      <c r="N33" s="33"/>
      <c r="O33" s="27"/>
    </row>
    <row r="34" spans="2:15" x14ac:dyDescent="0.3">
      <c r="M34" s="27"/>
      <c r="N34" s="33"/>
      <c r="O34" s="27"/>
    </row>
    <row r="35" spans="2:15" x14ac:dyDescent="0.3">
      <c r="M35" s="27"/>
      <c r="N35" s="33"/>
      <c r="O35" s="27"/>
    </row>
    <row r="36" spans="2:15" x14ac:dyDescent="0.3">
      <c r="M36" s="27"/>
      <c r="N36" s="33"/>
      <c r="O36" s="27"/>
    </row>
    <row r="37" spans="2:15" x14ac:dyDescent="0.3">
      <c r="M37" s="27"/>
      <c r="N37" s="33"/>
      <c r="O37" s="27"/>
    </row>
    <row r="38" spans="2:15" x14ac:dyDescent="0.3">
      <c r="K38" s="27"/>
    </row>
    <row r="39" spans="2:15" x14ac:dyDescent="0.3">
      <c r="K39" s="27"/>
    </row>
    <row r="40" spans="2:15" x14ac:dyDescent="0.3">
      <c r="B40" s="28"/>
      <c r="C40" s="27"/>
      <c r="D40" s="27"/>
      <c r="E40" s="27"/>
      <c r="F40" s="27"/>
      <c r="G40" s="35"/>
      <c r="H40" s="30"/>
      <c r="I40" s="27"/>
      <c r="J40" s="31"/>
      <c r="K40" s="27"/>
    </row>
    <row r="41" spans="2:15" x14ac:dyDescent="0.3">
      <c r="B41" s="28"/>
      <c r="C41" s="27"/>
      <c r="D41" s="27"/>
      <c r="E41" s="27"/>
      <c r="F41" s="27"/>
      <c r="G41" s="35"/>
      <c r="H41" s="30"/>
      <c r="I41" s="27"/>
      <c r="J41" s="31"/>
      <c r="K41" s="27"/>
    </row>
    <row r="42" spans="2:15" x14ac:dyDescent="0.3">
      <c r="B42" s="28"/>
      <c r="C42" s="27"/>
      <c r="D42" s="27"/>
      <c r="E42" s="27"/>
      <c r="F42" s="27"/>
      <c r="G42" s="35"/>
      <c r="H42" s="30"/>
      <c r="I42" s="27"/>
      <c r="J42" s="31"/>
      <c r="K42" s="27"/>
    </row>
    <row r="43" spans="2:15" x14ac:dyDescent="0.3">
      <c r="B43" s="28"/>
      <c r="C43" s="27"/>
      <c r="D43" s="27"/>
      <c r="E43" s="27"/>
      <c r="F43" s="27"/>
      <c r="G43" s="35"/>
      <c r="H43" s="30"/>
      <c r="I43" s="27"/>
      <c r="J43" s="31"/>
      <c r="K43" s="27"/>
    </row>
  </sheetData>
  <mergeCells count="1">
    <mergeCell ref="B4:K5"/>
  </mergeCells>
  <phoneticPr fontId="1"/>
  <pageMargins left="0.70866141732283472" right="0.11811023622047245" top="0.74803149606299213" bottom="0.74803149606299213" header="0.31496062992125984" footer="0.31496062992125984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2:O33"/>
  <sheetViews>
    <sheetView topLeftCell="A4" workbookViewId="0">
      <selection activeCell="J27" sqref="J27"/>
    </sheetView>
  </sheetViews>
  <sheetFormatPr defaultRowHeight="11.7" x14ac:dyDescent="0.3"/>
  <cols>
    <col min="8" max="8" width="11.3515625" bestFit="1" customWidth="1"/>
  </cols>
  <sheetData>
    <row r="2" spans="2:15" x14ac:dyDescent="0.3">
      <c r="B2" t="s">
        <v>44</v>
      </c>
    </row>
    <row r="4" spans="2:15" ht="14.1" x14ac:dyDescent="0.3">
      <c r="B4" s="13" t="s">
        <v>47</v>
      </c>
      <c r="C4" s="13"/>
      <c r="D4" s="13"/>
      <c r="E4" s="13" t="s">
        <v>45</v>
      </c>
      <c r="F4" s="13"/>
      <c r="G4" s="13"/>
      <c r="H4" s="13"/>
      <c r="I4" s="13"/>
      <c r="J4" s="13"/>
      <c r="K4" s="13"/>
    </row>
    <row r="5" spans="2:15" ht="14.1" x14ac:dyDescent="0.3">
      <c r="B5" s="13"/>
      <c r="C5" s="13"/>
      <c r="D5" s="13"/>
      <c r="E5" s="13"/>
      <c r="F5" s="13"/>
      <c r="G5" s="13"/>
      <c r="H5" s="13"/>
      <c r="I5" s="13"/>
      <c r="J5" s="13"/>
      <c r="K5" s="13"/>
    </row>
    <row r="6" spans="2:15" ht="14.1" x14ac:dyDescent="0.3">
      <c r="B6" s="13"/>
      <c r="C6" s="18" t="s">
        <v>36</v>
      </c>
      <c r="D6" s="20">
        <v>21</v>
      </c>
      <c r="E6" s="13"/>
      <c r="F6" s="13"/>
      <c r="G6" s="13"/>
      <c r="H6" s="13"/>
      <c r="I6" s="13"/>
      <c r="J6" s="13"/>
      <c r="K6" s="13"/>
    </row>
    <row r="7" spans="2:15" ht="14.1" x14ac:dyDescent="0.3">
      <c r="B7" s="13"/>
      <c r="C7" s="18" t="s">
        <v>35</v>
      </c>
      <c r="D7" s="20">
        <f>+D6/40+0.9</f>
        <v>1.425</v>
      </c>
      <c r="F7" s="13" t="s">
        <v>46</v>
      </c>
      <c r="G7" s="13"/>
      <c r="H7" s="13"/>
      <c r="I7" s="13"/>
      <c r="J7" s="13"/>
      <c r="K7" s="13"/>
    </row>
    <row r="8" spans="2:15" ht="14.1" x14ac:dyDescent="0.3">
      <c r="B8" s="13"/>
      <c r="C8" s="18"/>
      <c r="D8" s="13"/>
      <c r="E8" s="13"/>
      <c r="F8" s="13"/>
      <c r="G8" s="13"/>
      <c r="H8" s="13"/>
      <c r="I8" s="13"/>
      <c r="J8" s="13"/>
      <c r="K8" s="13"/>
    </row>
    <row r="9" spans="2:15" ht="14.1" x14ac:dyDescent="0.3">
      <c r="B9" s="14" t="s">
        <v>27</v>
      </c>
      <c r="C9" s="14" t="s">
        <v>43</v>
      </c>
      <c r="D9" s="14" t="s">
        <v>33</v>
      </c>
      <c r="E9" s="14" t="s">
        <v>10</v>
      </c>
      <c r="F9" s="14" t="s">
        <v>34</v>
      </c>
      <c r="G9" s="14" t="s">
        <v>20</v>
      </c>
      <c r="H9" s="14" t="s">
        <v>41</v>
      </c>
      <c r="I9" s="14" t="s">
        <v>42</v>
      </c>
      <c r="J9" s="14" t="s">
        <v>38</v>
      </c>
      <c r="K9" s="14" t="s">
        <v>39</v>
      </c>
      <c r="L9" s="4"/>
      <c r="M9" s="4"/>
      <c r="N9" s="4"/>
      <c r="O9" s="4"/>
    </row>
    <row r="10" spans="2:15" ht="14.1" x14ac:dyDescent="0.3">
      <c r="B10" s="15">
        <v>10</v>
      </c>
      <c r="C10" s="14">
        <v>1</v>
      </c>
      <c r="D10" s="14">
        <v>1</v>
      </c>
      <c r="E10" s="14">
        <f>156*1.5</f>
        <v>234</v>
      </c>
      <c r="F10" s="14">
        <f>+D7</f>
        <v>1.425</v>
      </c>
      <c r="G10" s="16">
        <f>+B10</f>
        <v>10</v>
      </c>
      <c r="H10" s="17">
        <f>+D10*E10*G10/(10*F10)*C10</f>
        <v>164.21052631578948</v>
      </c>
      <c r="I10" s="14">
        <f>+B10*35</f>
        <v>350</v>
      </c>
      <c r="J10" s="19">
        <f>+H10/I10</f>
        <v>0.46917293233082707</v>
      </c>
      <c r="K10" s="14" t="s">
        <v>40</v>
      </c>
      <c r="L10" s="11"/>
      <c r="M10" s="22">
        <f>+H10/G10</f>
        <v>16.421052631578949</v>
      </c>
      <c r="N10" s="12"/>
      <c r="O10" s="4"/>
    </row>
    <row r="11" spans="2:15" ht="14.1" x14ac:dyDescent="0.3">
      <c r="B11" s="15">
        <v>13</v>
      </c>
      <c r="C11" s="14">
        <v>1</v>
      </c>
      <c r="D11" s="14">
        <v>1</v>
      </c>
      <c r="E11" s="14">
        <f>156*1.5</f>
        <v>234</v>
      </c>
      <c r="F11" s="14">
        <f>+F10</f>
        <v>1.425</v>
      </c>
      <c r="G11" s="16">
        <f t="shared" ref="G11:G17" si="0">+B11</f>
        <v>13</v>
      </c>
      <c r="H11" s="17">
        <f t="shared" ref="H11:H17" si="1">+D11*E11*G11/(10*F11)*C11</f>
        <v>213.47368421052633</v>
      </c>
      <c r="I11" s="14">
        <f t="shared" ref="I11:I17" si="2">+B11*35</f>
        <v>455</v>
      </c>
      <c r="J11" s="19">
        <f t="shared" ref="J11:J17" si="3">+H11/I11</f>
        <v>0.46917293233082707</v>
      </c>
      <c r="K11" s="14" t="s">
        <v>40</v>
      </c>
      <c r="L11" s="11"/>
      <c r="M11" s="22">
        <f t="shared" ref="M11:M17" si="4">+H11/G11</f>
        <v>16.421052631578949</v>
      </c>
      <c r="N11" s="12"/>
      <c r="O11" s="4"/>
    </row>
    <row r="12" spans="2:15" ht="14.1" x14ac:dyDescent="0.3">
      <c r="B12" s="15">
        <v>16</v>
      </c>
      <c r="C12" s="14">
        <v>1</v>
      </c>
      <c r="D12" s="14">
        <v>1</v>
      </c>
      <c r="E12" s="14">
        <f>156*1.5</f>
        <v>234</v>
      </c>
      <c r="F12" s="14">
        <f t="shared" ref="F12:F17" si="5">+F11</f>
        <v>1.425</v>
      </c>
      <c r="G12" s="16">
        <f t="shared" si="0"/>
        <v>16</v>
      </c>
      <c r="H12" s="17">
        <f t="shared" si="1"/>
        <v>262.73684210526318</v>
      </c>
      <c r="I12" s="14">
        <f t="shared" si="2"/>
        <v>560</v>
      </c>
      <c r="J12" s="19">
        <f t="shared" si="3"/>
        <v>0.46917293233082713</v>
      </c>
      <c r="K12" s="14" t="s">
        <v>40</v>
      </c>
      <c r="L12" s="11"/>
      <c r="M12" s="22">
        <f t="shared" si="4"/>
        <v>16.421052631578949</v>
      </c>
      <c r="N12" s="12"/>
      <c r="O12" s="4"/>
    </row>
    <row r="13" spans="2:15" ht="14.1" x14ac:dyDescent="0.3">
      <c r="B13" s="15">
        <v>19</v>
      </c>
      <c r="C13" s="14">
        <v>1</v>
      </c>
      <c r="D13" s="14">
        <v>1</v>
      </c>
      <c r="E13" s="14">
        <f>215*1.5</f>
        <v>322.5</v>
      </c>
      <c r="F13" s="14">
        <f t="shared" si="5"/>
        <v>1.425</v>
      </c>
      <c r="G13" s="16">
        <f t="shared" si="0"/>
        <v>19</v>
      </c>
      <c r="H13" s="17">
        <f t="shared" si="1"/>
        <v>430</v>
      </c>
      <c r="I13" s="14">
        <f t="shared" si="2"/>
        <v>665</v>
      </c>
      <c r="J13" s="19">
        <f t="shared" si="3"/>
        <v>0.64661654135338342</v>
      </c>
      <c r="K13" s="14" t="s">
        <v>40</v>
      </c>
      <c r="L13" s="11"/>
      <c r="M13" s="22">
        <f t="shared" si="4"/>
        <v>22.631578947368421</v>
      </c>
      <c r="N13" s="12"/>
      <c r="O13" s="4"/>
    </row>
    <row r="14" spans="2:15" ht="14.1" x14ac:dyDescent="0.3">
      <c r="B14" s="15">
        <v>22</v>
      </c>
      <c r="C14" s="14">
        <v>1</v>
      </c>
      <c r="D14" s="14">
        <v>1</v>
      </c>
      <c r="E14" s="14">
        <f>215*1.5</f>
        <v>322.5</v>
      </c>
      <c r="F14" s="14">
        <f t="shared" si="5"/>
        <v>1.425</v>
      </c>
      <c r="G14" s="16">
        <f t="shared" si="0"/>
        <v>22</v>
      </c>
      <c r="H14" s="17">
        <f t="shared" si="1"/>
        <v>497.89473684210526</v>
      </c>
      <c r="I14" s="14">
        <f t="shared" si="2"/>
        <v>770</v>
      </c>
      <c r="J14" s="19">
        <f t="shared" si="3"/>
        <v>0.64661654135338342</v>
      </c>
      <c r="K14" s="14" t="s">
        <v>40</v>
      </c>
      <c r="L14" s="11"/>
      <c r="M14" s="22">
        <f t="shared" si="4"/>
        <v>22.631578947368421</v>
      </c>
      <c r="N14" s="12"/>
      <c r="O14" s="4"/>
    </row>
    <row r="15" spans="2:15" ht="14.1" x14ac:dyDescent="0.3">
      <c r="B15" s="15">
        <v>25</v>
      </c>
      <c r="C15" s="14">
        <v>1</v>
      </c>
      <c r="D15" s="14">
        <v>1</v>
      </c>
      <c r="E15" s="14">
        <f>215*1.5</f>
        <v>322.5</v>
      </c>
      <c r="F15" s="14">
        <f t="shared" si="5"/>
        <v>1.425</v>
      </c>
      <c r="G15" s="16">
        <f t="shared" si="0"/>
        <v>25</v>
      </c>
      <c r="H15" s="17">
        <f t="shared" si="1"/>
        <v>565.78947368421052</v>
      </c>
      <c r="I15" s="14">
        <f t="shared" si="2"/>
        <v>875</v>
      </c>
      <c r="J15" s="19">
        <f t="shared" si="3"/>
        <v>0.64661654135338342</v>
      </c>
      <c r="K15" s="14" t="s">
        <v>40</v>
      </c>
      <c r="L15" s="11"/>
      <c r="M15" s="22">
        <f t="shared" si="4"/>
        <v>22.631578947368421</v>
      </c>
      <c r="N15" s="12"/>
      <c r="O15" s="4"/>
    </row>
    <row r="16" spans="2:15" ht="14.1" x14ac:dyDescent="0.3">
      <c r="B16" s="15">
        <v>29</v>
      </c>
      <c r="C16" s="14">
        <v>1</v>
      </c>
      <c r="D16" s="14">
        <v>1</v>
      </c>
      <c r="E16" s="14">
        <f>215*1.5</f>
        <v>322.5</v>
      </c>
      <c r="F16" s="14">
        <f t="shared" si="5"/>
        <v>1.425</v>
      </c>
      <c r="G16" s="16">
        <f t="shared" si="0"/>
        <v>29</v>
      </c>
      <c r="H16" s="17">
        <f t="shared" si="1"/>
        <v>656.31578947368416</v>
      </c>
      <c r="I16" s="14">
        <f t="shared" si="2"/>
        <v>1015</v>
      </c>
      <c r="J16" s="19">
        <f t="shared" si="3"/>
        <v>0.64661654135338342</v>
      </c>
      <c r="K16" s="14" t="s">
        <v>40</v>
      </c>
      <c r="L16" s="11"/>
      <c r="M16" s="22">
        <f t="shared" si="4"/>
        <v>22.631578947368418</v>
      </c>
      <c r="N16" s="12"/>
      <c r="O16" s="4"/>
    </row>
    <row r="17" spans="2:15" ht="14.1" x14ac:dyDescent="0.3">
      <c r="B17" s="15">
        <v>32</v>
      </c>
      <c r="C17" s="14">
        <v>1</v>
      </c>
      <c r="D17" s="14">
        <v>1</v>
      </c>
      <c r="E17" s="14">
        <f>215*1.5</f>
        <v>322.5</v>
      </c>
      <c r="F17" s="14">
        <f t="shared" si="5"/>
        <v>1.425</v>
      </c>
      <c r="G17" s="16">
        <f t="shared" si="0"/>
        <v>32</v>
      </c>
      <c r="H17" s="17">
        <f t="shared" si="1"/>
        <v>724.21052631578948</v>
      </c>
      <c r="I17" s="14">
        <f t="shared" si="2"/>
        <v>1120</v>
      </c>
      <c r="J17" s="19">
        <f t="shared" si="3"/>
        <v>0.64661654135338342</v>
      </c>
      <c r="K17" s="14" t="s">
        <v>40</v>
      </c>
      <c r="L17" s="11"/>
      <c r="M17" s="22">
        <f t="shared" si="4"/>
        <v>22.631578947368421</v>
      </c>
      <c r="N17" s="12"/>
      <c r="O17" s="4"/>
    </row>
    <row r="18" spans="2:15" ht="14.1" x14ac:dyDescent="0.3">
      <c r="B18" s="13"/>
      <c r="C18" s="13"/>
      <c r="D18" s="13"/>
      <c r="E18" s="13"/>
      <c r="F18" s="13"/>
      <c r="G18" s="13"/>
      <c r="H18" s="13"/>
      <c r="I18" s="13"/>
      <c r="J18" s="13"/>
      <c r="K18" s="13"/>
    </row>
    <row r="19" spans="2:15" ht="14.1" x14ac:dyDescent="0.3">
      <c r="E19" s="13"/>
      <c r="F19" s="13"/>
      <c r="G19" s="13"/>
      <c r="H19" s="13"/>
      <c r="I19" s="13"/>
      <c r="J19" s="13"/>
      <c r="K19" s="13"/>
    </row>
    <row r="20" spans="2:15" ht="14.1" x14ac:dyDescent="0.3">
      <c r="B20" s="13" t="s">
        <v>47</v>
      </c>
      <c r="C20" s="13"/>
      <c r="D20" s="13"/>
      <c r="E20" s="13" t="s">
        <v>45</v>
      </c>
      <c r="F20" s="13"/>
      <c r="G20" s="13"/>
      <c r="H20" s="13"/>
      <c r="I20" s="13"/>
      <c r="J20" s="13"/>
      <c r="K20" s="13"/>
    </row>
    <row r="21" spans="2:15" ht="14.1" x14ac:dyDescent="0.3">
      <c r="B21" s="13"/>
      <c r="C21" s="13"/>
      <c r="D21" s="13"/>
      <c r="E21" s="13"/>
      <c r="F21" s="13"/>
      <c r="G21" s="13"/>
      <c r="H21" s="13"/>
      <c r="I21" s="13"/>
      <c r="J21" s="13"/>
      <c r="K21" s="13"/>
    </row>
    <row r="22" spans="2:15" ht="14.1" x14ac:dyDescent="0.3">
      <c r="B22" s="13"/>
      <c r="C22" s="18" t="s">
        <v>36</v>
      </c>
      <c r="D22" s="20">
        <v>21</v>
      </c>
      <c r="E22" s="13"/>
      <c r="F22" s="13"/>
      <c r="G22" s="13"/>
      <c r="H22" s="13"/>
      <c r="I22" s="13"/>
      <c r="J22" s="13"/>
      <c r="K22" s="13"/>
    </row>
    <row r="23" spans="2:15" ht="14.1" x14ac:dyDescent="0.3">
      <c r="B23" s="13"/>
      <c r="C23" s="18" t="s">
        <v>35</v>
      </c>
      <c r="D23" s="20">
        <f>+D22/40+0.9</f>
        <v>1.425</v>
      </c>
      <c r="F23" s="13" t="s">
        <v>46</v>
      </c>
      <c r="G23" s="13"/>
      <c r="H23" s="13"/>
      <c r="I23" s="13"/>
      <c r="J23" s="13"/>
      <c r="K23" s="13"/>
    </row>
    <row r="24" spans="2:15" ht="14.1" x14ac:dyDescent="0.3">
      <c r="B24" s="13"/>
      <c r="C24" s="18"/>
      <c r="D24" s="13"/>
      <c r="E24" s="13"/>
      <c r="F24" s="13"/>
      <c r="G24" s="13"/>
      <c r="H24" s="13"/>
      <c r="I24" s="13"/>
      <c r="J24" s="13"/>
      <c r="K24" s="13"/>
    </row>
    <row r="25" spans="2:15" ht="14.1" x14ac:dyDescent="0.3">
      <c r="B25" s="14" t="s">
        <v>27</v>
      </c>
      <c r="C25" s="14" t="s">
        <v>48</v>
      </c>
      <c r="D25" s="14" t="s">
        <v>49</v>
      </c>
      <c r="E25" s="14" t="s">
        <v>50</v>
      </c>
      <c r="F25" s="14" t="s">
        <v>51</v>
      </c>
      <c r="G25" s="14" t="s">
        <v>52</v>
      </c>
      <c r="H25" s="14" t="s">
        <v>41</v>
      </c>
      <c r="I25" s="14" t="s">
        <v>42</v>
      </c>
      <c r="J25" s="14" t="s">
        <v>38</v>
      </c>
      <c r="K25" s="14" t="s">
        <v>39</v>
      </c>
    </row>
    <row r="26" spans="2:15" ht="14.1" x14ac:dyDescent="0.3">
      <c r="B26" s="15">
        <v>10</v>
      </c>
      <c r="C26" s="14">
        <v>1.57</v>
      </c>
      <c r="D26" s="14">
        <v>295</v>
      </c>
      <c r="E26" s="14">
        <v>10</v>
      </c>
      <c r="F26" s="14">
        <f>D22</f>
        <v>21</v>
      </c>
      <c r="G26" s="21">
        <f>+F26/4+9</f>
        <v>14.25</v>
      </c>
      <c r="H26" s="17">
        <f>+C26*D26*E26/G26</f>
        <v>325.01754385964909</v>
      </c>
      <c r="I26" s="14">
        <f>+B26*35</f>
        <v>350</v>
      </c>
      <c r="J26" s="19">
        <f>+H26/I26</f>
        <v>0.92862155388471168</v>
      </c>
      <c r="K26" s="14" t="s">
        <v>40</v>
      </c>
      <c r="L26">
        <f>H26/E26</f>
        <v>32.501754385964908</v>
      </c>
    </row>
    <row r="27" spans="2:15" ht="14.1" x14ac:dyDescent="0.3">
      <c r="B27" s="15">
        <v>13</v>
      </c>
      <c r="C27" s="14">
        <v>1.57</v>
      </c>
      <c r="D27" s="14">
        <v>295</v>
      </c>
      <c r="E27" s="14">
        <v>13</v>
      </c>
      <c r="F27" s="14">
        <f>+F26</f>
        <v>21</v>
      </c>
      <c r="G27" s="21">
        <f t="shared" ref="G27:G33" si="6">+F27/4+9</f>
        <v>14.25</v>
      </c>
      <c r="H27" s="17">
        <f t="shared" ref="H27:H33" si="7">+C27*D27*E27/G27</f>
        <v>422.52280701754393</v>
      </c>
      <c r="I27" s="14">
        <f t="shared" ref="I27:I33" si="8">+B27*35</f>
        <v>455</v>
      </c>
      <c r="J27" s="19">
        <f t="shared" ref="J27:J33" si="9">+H27/I27</f>
        <v>0.9286215538847119</v>
      </c>
      <c r="K27" s="14" t="s">
        <v>40</v>
      </c>
      <c r="L27">
        <f t="shared" ref="L27:L33" si="10">H27/E27</f>
        <v>32.501754385964915</v>
      </c>
    </row>
    <row r="28" spans="2:15" ht="14.1" x14ac:dyDescent="0.3">
      <c r="B28" s="15">
        <v>16</v>
      </c>
      <c r="C28" s="14">
        <v>1.57</v>
      </c>
      <c r="D28" s="14">
        <v>295</v>
      </c>
      <c r="E28" s="14">
        <v>16</v>
      </c>
      <c r="F28" s="14">
        <f t="shared" ref="F28:F33" si="11">+F27</f>
        <v>21</v>
      </c>
      <c r="G28" s="21">
        <f t="shared" si="6"/>
        <v>14.25</v>
      </c>
      <c r="H28" s="17">
        <f t="shared" si="7"/>
        <v>520.02807017543864</v>
      </c>
      <c r="I28" s="14">
        <f t="shared" si="8"/>
        <v>560</v>
      </c>
      <c r="J28" s="19">
        <f t="shared" si="9"/>
        <v>0.9286215538847119</v>
      </c>
      <c r="K28" s="14" t="s">
        <v>40</v>
      </c>
      <c r="L28">
        <f t="shared" si="10"/>
        <v>32.501754385964915</v>
      </c>
    </row>
    <row r="29" spans="2:15" ht="14.1" x14ac:dyDescent="0.3">
      <c r="B29" s="15">
        <v>19</v>
      </c>
      <c r="C29" s="14">
        <v>1.57</v>
      </c>
      <c r="D29" s="14">
        <v>345</v>
      </c>
      <c r="E29" s="14">
        <v>19</v>
      </c>
      <c r="F29" s="14">
        <f t="shared" si="11"/>
        <v>21</v>
      </c>
      <c r="G29" s="21">
        <f t="shared" si="6"/>
        <v>14.25</v>
      </c>
      <c r="H29" s="17">
        <f t="shared" si="7"/>
        <v>722.2</v>
      </c>
      <c r="I29" s="14">
        <f t="shared" si="8"/>
        <v>665</v>
      </c>
      <c r="J29" s="19">
        <f t="shared" si="9"/>
        <v>1.086015037593985</v>
      </c>
      <c r="K29" s="14" t="s">
        <v>40</v>
      </c>
      <c r="L29">
        <f t="shared" si="10"/>
        <v>38.010526315789477</v>
      </c>
    </row>
    <row r="30" spans="2:15" ht="14.1" x14ac:dyDescent="0.3">
      <c r="B30" s="15">
        <v>22</v>
      </c>
      <c r="C30" s="14">
        <v>1.57</v>
      </c>
      <c r="D30" s="14">
        <v>345</v>
      </c>
      <c r="E30" s="14">
        <v>22</v>
      </c>
      <c r="F30" s="14">
        <f t="shared" si="11"/>
        <v>21</v>
      </c>
      <c r="G30" s="21">
        <f t="shared" si="6"/>
        <v>14.25</v>
      </c>
      <c r="H30" s="17">
        <f t="shared" si="7"/>
        <v>836.23157894736835</v>
      </c>
      <c r="I30" s="14">
        <f t="shared" si="8"/>
        <v>770</v>
      </c>
      <c r="J30" s="19">
        <f t="shared" si="9"/>
        <v>1.0860150375939848</v>
      </c>
      <c r="K30" s="14" t="s">
        <v>40</v>
      </c>
      <c r="L30">
        <f t="shared" si="10"/>
        <v>38.01052631578947</v>
      </c>
    </row>
    <row r="31" spans="2:15" ht="14.1" x14ac:dyDescent="0.3">
      <c r="B31" s="15">
        <v>25</v>
      </c>
      <c r="C31" s="14">
        <v>1.57</v>
      </c>
      <c r="D31" s="14">
        <v>345</v>
      </c>
      <c r="E31" s="14">
        <v>25</v>
      </c>
      <c r="F31" s="14">
        <f t="shared" si="11"/>
        <v>21</v>
      </c>
      <c r="G31" s="21">
        <f t="shared" si="6"/>
        <v>14.25</v>
      </c>
      <c r="H31" s="17">
        <f t="shared" si="7"/>
        <v>950.26315789473688</v>
      </c>
      <c r="I31" s="14">
        <f t="shared" si="8"/>
        <v>875</v>
      </c>
      <c r="J31" s="19">
        <f t="shared" si="9"/>
        <v>1.086015037593985</v>
      </c>
      <c r="K31" s="14" t="s">
        <v>40</v>
      </c>
      <c r="L31">
        <f t="shared" si="10"/>
        <v>38.010526315789477</v>
      </c>
    </row>
    <row r="32" spans="2:15" ht="14.1" x14ac:dyDescent="0.3">
      <c r="B32" s="15">
        <v>29</v>
      </c>
      <c r="C32" s="14">
        <v>1.57</v>
      </c>
      <c r="D32" s="14">
        <v>345</v>
      </c>
      <c r="E32" s="14">
        <v>29</v>
      </c>
      <c r="F32" s="14">
        <f t="shared" si="11"/>
        <v>21</v>
      </c>
      <c r="G32" s="21">
        <f t="shared" si="6"/>
        <v>14.25</v>
      </c>
      <c r="H32" s="17">
        <f t="shared" si="7"/>
        <v>1102.3052631578946</v>
      </c>
      <c r="I32" s="14">
        <f t="shared" si="8"/>
        <v>1015</v>
      </c>
      <c r="J32" s="19">
        <f t="shared" si="9"/>
        <v>1.0860150375939848</v>
      </c>
      <c r="K32" s="14" t="s">
        <v>40</v>
      </c>
      <c r="L32">
        <f t="shared" si="10"/>
        <v>38.01052631578947</v>
      </c>
    </row>
    <row r="33" spans="2:12" ht="14.1" x14ac:dyDescent="0.3">
      <c r="B33" s="15">
        <v>32</v>
      </c>
      <c r="C33" s="14">
        <v>1.57</v>
      </c>
      <c r="D33" s="14">
        <v>345</v>
      </c>
      <c r="E33" s="14">
        <v>32</v>
      </c>
      <c r="F33" s="14">
        <f t="shared" si="11"/>
        <v>21</v>
      </c>
      <c r="G33" s="21">
        <f t="shared" si="6"/>
        <v>14.25</v>
      </c>
      <c r="H33" s="17">
        <f t="shared" si="7"/>
        <v>1216.336842105263</v>
      </c>
      <c r="I33" s="14">
        <f t="shared" si="8"/>
        <v>1120</v>
      </c>
      <c r="J33" s="19">
        <f t="shared" si="9"/>
        <v>1.0860150375939848</v>
      </c>
      <c r="K33" s="14" t="s">
        <v>40</v>
      </c>
      <c r="L33">
        <f t="shared" si="10"/>
        <v>38.01052631578947</v>
      </c>
    </row>
  </sheetData>
  <phoneticPr fontId="1"/>
  <pageMargins left="0.75" right="0.75" top="1" bottom="1" header="0.51200000000000001" footer="0.51200000000000001"/>
  <pageSetup paperSize="9" orientation="portrait" copies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P30"/>
  <sheetViews>
    <sheetView workbookViewId="0">
      <selection activeCell="I29" sqref="I29"/>
    </sheetView>
  </sheetViews>
  <sheetFormatPr defaultRowHeight="11.7" x14ac:dyDescent="0.3"/>
  <cols>
    <col min="8" max="8" width="11.3515625" bestFit="1" customWidth="1"/>
  </cols>
  <sheetData>
    <row r="2" spans="2:16" x14ac:dyDescent="0.3">
      <c r="B2" s="4" t="s">
        <v>27</v>
      </c>
      <c r="C2" s="4"/>
      <c r="D2" s="4" t="s">
        <v>33</v>
      </c>
      <c r="E2" s="4" t="s">
        <v>10</v>
      </c>
      <c r="F2" s="4" t="s">
        <v>34</v>
      </c>
      <c r="G2" s="4" t="s">
        <v>37</v>
      </c>
      <c r="H2" s="4"/>
      <c r="I2" s="4"/>
      <c r="J2" s="4"/>
      <c r="K2" s="4"/>
      <c r="L2" s="4" t="s">
        <v>8</v>
      </c>
      <c r="M2" s="4" t="s">
        <v>11</v>
      </c>
      <c r="N2" s="4" t="s">
        <v>9</v>
      </c>
      <c r="O2" s="4"/>
      <c r="P2" s="4" t="s">
        <v>24</v>
      </c>
    </row>
    <row r="3" spans="2:16" x14ac:dyDescent="0.3">
      <c r="B3" s="9">
        <v>10</v>
      </c>
      <c r="C3">
        <v>1</v>
      </c>
      <c r="D3">
        <v>1.25</v>
      </c>
      <c r="E3">
        <v>295</v>
      </c>
      <c r="F3">
        <f>+D13</f>
        <v>1.425</v>
      </c>
      <c r="G3" s="5">
        <f>+B3</f>
        <v>10</v>
      </c>
      <c r="H3" s="10">
        <f>+D3*E3*G3/(10*F3)*C3</f>
        <v>258.77192982456143</v>
      </c>
      <c r="I3">
        <f>+H3/G3</f>
        <v>25.877192982456144</v>
      </c>
      <c r="K3">
        <f t="shared" ref="K3:K10" si="0">+H3/B3</f>
        <v>25.877192982456144</v>
      </c>
      <c r="L3" t="e">
        <f ca="1">[2]!Bar(B3, 11)*100</f>
        <v>#NAME?</v>
      </c>
      <c r="M3" s="2">
        <f t="shared" ref="M3:M10" si="1">E3*1.1</f>
        <v>324.5</v>
      </c>
      <c r="N3">
        <v>0.76</v>
      </c>
      <c r="O3" s="1" t="e">
        <f t="shared" ref="O3:O10" ca="1" si="2">L3/P3</f>
        <v>#NAME?</v>
      </c>
      <c r="P3" t="e">
        <f ca="1">[2]!Bar(B3, 12)*10</f>
        <v>#NAME?</v>
      </c>
    </row>
    <row r="4" spans="2:16" x14ac:dyDescent="0.3">
      <c r="B4" s="9">
        <v>13</v>
      </c>
      <c r="C4">
        <v>1</v>
      </c>
      <c r="D4">
        <v>1.25</v>
      </c>
      <c r="E4">
        <v>295</v>
      </c>
      <c r="F4">
        <f>+F3</f>
        <v>1.425</v>
      </c>
      <c r="G4" s="5">
        <f t="shared" ref="G4:G10" si="3">+B4</f>
        <v>13</v>
      </c>
      <c r="H4" s="10">
        <f t="shared" ref="H4:H10" si="4">+D4*E4*G4/(10*F4)*C4</f>
        <v>336.40350877192981</v>
      </c>
      <c r="I4">
        <f t="shared" ref="I4:I10" si="5">+H4/G4</f>
        <v>25.87719298245614</v>
      </c>
      <c r="K4">
        <f t="shared" si="0"/>
        <v>25.87719298245614</v>
      </c>
      <c r="L4" t="e">
        <f ca="1">[2]!Bar(B4, 11)*100</f>
        <v>#NAME?</v>
      </c>
      <c r="M4" s="2">
        <f t="shared" si="1"/>
        <v>324.5</v>
      </c>
      <c r="N4">
        <v>0.76</v>
      </c>
      <c r="O4" s="1" t="e">
        <f t="shared" ca="1" si="2"/>
        <v>#NAME?</v>
      </c>
      <c r="P4" t="e">
        <f ca="1">[2]!Bar(B4, 12)*10</f>
        <v>#NAME?</v>
      </c>
    </row>
    <row r="5" spans="2:16" x14ac:dyDescent="0.3">
      <c r="B5" s="9">
        <v>16</v>
      </c>
      <c r="C5">
        <v>1</v>
      </c>
      <c r="D5">
        <v>1.25</v>
      </c>
      <c r="E5">
        <v>295</v>
      </c>
      <c r="F5">
        <f t="shared" ref="F5:F10" si="6">+F4</f>
        <v>1.425</v>
      </c>
      <c r="G5" s="5">
        <f t="shared" si="3"/>
        <v>16</v>
      </c>
      <c r="H5" s="10">
        <f t="shared" si="4"/>
        <v>414.03508771929825</v>
      </c>
      <c r="I5">
        <f t="shared" si="5"/>
        <v>25.87719298245614</v>
      </c>
      <c r="K5">
        <f t="shared" si="0"/>
        <v>25.87719298245614</v>
      </c>
      <c r="L5" t="e">
        <f ca="1">[2]!Bar(B5, 11)*100</f>
        <v>#NAME?</v>
      </c>
      <c r="M5" s="2">
        <f t="shared" si="1"/>
        <v>324.5</v>
      </c>
      <c r="N5">
        <v>0.76</v>
      </c>
      <c r="O5" s="1" t="e">
        <f t="shared" ca="1" si="2"/>
        <v>#NAME?</v>
      </c>
      <c r="P5" t="e">
        <f ca="1">[2]!Bar(B5, 12)*10</f>
        <v>#NAME?</v>
      </c>
    </row>
    <row r="6" spans="2:16" x14ac:dyDescent="0.3">
      <c r="B6" s="9">
        <v>19</v>
      </c>
      <c r="C6">
        <v>1</v>
      </c>
      <c r="D6">
        <v>1.25</v>
      </c>
      <c r="E6">
        <v>345</v>
      </c>
      <c r="F6">
        <f t="shared" si="6"/>
        <v>1.425</v>
      </c>
      <c r="G6" s="5">
        <f t="shared" si="3"/>
        <v>19</v>
      </c>
      <c r="H6" s="10">
        <f t="shared" si="4"/>
        <v>575</v>
      </c>
      <c r="I6">
        <f t="shared" si="5"/>
        <v>30.263157894736842</v>
      </c>
      <c r="K6">
        <f t="shared" si="0"/>
        <v>30.263157894736842</v>
      </c>
      <c r="L6" t="e">
        <f ca="1">[2]!Bar(B6, 11)*100</f>
        <v>#NAME?</v>
      </c>
      <c r="M6" s="2">
        <f t="shared" si="1"/>
        <v>379.50000000000006</v>
      </c>
      <c r="N6">
        <v>0.76</v>
      </c>
      <c r="O6" s="1" t="e">
        <f t="shared" ca="1" si="2"/>
        <v>#NAME?</v>
      </c>
      <c r="P6" t="e">
        <f ca="1">[2]!Bar(B6, 12)*10</f>
        <v>#NAME?</v>
      </c>
    </row>
    <row r="7" spans="2:16" x14ac:dyDescent="0.3">
      <c r="B7" s="9">
        <v>22</v>
      </c>
      <c r="C7">
        <v>1</v>
      </c>
      <c r="D7">
        <v>1.25</v>
      </c>
      <c r="E7">
        <v>345</v>
      </c>
      <c r="F7">
        <f t="shared" si="6"/>
        <v>1.425</v>
      </c>
      <c r="G7" s="5">
        <f t="shared" si="3"/>
        <v>22</v>
      </c>
      <c r="H7" s="10">
        <f t="shared" si="4"/>
        <v>665.78947368421052</v>
      </c>
      <c r="I7">
        <f t="shared" si="5"/>
        <v>30.263157894736842</v>
      </c>
      <c r="K7">
        <f t="shared" si="0"/>
        <v>30.263157894736842</v>
      </c>
      <c r="L7" t="e">
        <f ca="1">[2]!Bar(B7, 11)*100</f>
        <v>#NAME?</v>
      </c>
      <c r="M7" s="2">
        <f t="shared" si="1"/>
        <v>379.50000000000006</v>
      </c>
      <c r="N7">
        <v>0.76</v>
      </c>
      <c r="O7" s="1" t="e">
        <f t="shared" ca="1" si="2"/>
        <v>#NAME?</v>
      </c>
      <c r="P7" t="e">
        <f ca="1">[2]!Bar(B7, 12)*10</f>
        <v>#NAME?</v>
      </c>
    </row>
    <row r="8" spans="2:16" x14ac:dyDescent="0.3">
      <c r="B8" s="9">
        <v>25</v>
      </c>
      <c r="C8">
        <v>1</v>
      </c>
      <c r="D8">
        <v>1.25</v>
      </c>
      <c r="E8">
        <v>345</v>
      </c>
      <c r="F8">
        <f t="shared" si="6"/>
        <v>1.425</v>
      </c>
      <c r="G8" s="5">
        <f t="shared" si="3"/>
        <v>25</v>
      </c>
      <c r="H8" s="10">
        <f t="shared" si="4"/>
        <v>756.57894736842104</v>
      </c>
      <c r="I8">
        <f t="shared" si="5"/>
        <v>30.263157894736842</v>
      </c>
      <c r="K8">
        <f t="shared" si="0"/>
        <v>30.263157894736842</v>
      </c>
      <c r="L8" t="e">
        <f ca="1">[2]!Bar(B8, 11)*100</f>
        <v>#NAME?</v>
      </c>
      <c r="M8" s="2">
        <f t="shared" si="1"/>
        <v>379.50000000000006</v>
      </c>
      <c r="N8">
        <v>0.76</v>
      </c>
      <c r="O8" s="1" t="e">
        <f t="shared" ca="1" si="2"/>
        <v>#NAME?</v>
      </c>
      <c r="P8" t="e">
        <f ca="1">[2]!Bar(B8, 12)*10</f>
        <v>#NAME?</v>
      </c>
    </row>
    <row r="9" spans="2:16" x14ac:dyDescent="0.3">
      <c r="B9" s="9">
        <v>29</v>
      </c>
      <c r="C9">
        <v>1</v>
      </c>
      <c r="D9">
        <v>1.25</v>
      </c>
      <c r="E9">
        <v>345</v>
      </c>
      <c r="F9">
        <f t="shared" si="6"/>
        <v>1.425</v>
      </c>
      <c r="G9" s="5">
        <f t="shared" si="3"/>
        <v>29</v>
      </c>
      <c r="H9" s="10">
        <f t="shared" si="4"/>
        <v>877.63157894736844</v>
      </c>
      <c r="I9">
        <f t="shared" si="5"/>
        <v>30.263157894736842</v>
      </c>
      <c r="K9">
        <f t="shared" si="0"/>
        <v>30.263157894736842</v>
      </c>
      <c r="L9" t="e">
        <f ca="1">[2]!Bar(B9, 11)*100</f>
        <v>#NAME?</v>
      </c>
      <c r="M9" s="2">
        <f t="shared" si="1"/>
        <v>379.50000000000006</v>
      </c>
      <c r="N9">
        <v>0.76</v>
      </c>
      <c r="O9" s="1" t="e">
        <f t="shared" ca="1" si="2"/>
        <v>#NAME?</v>
      </c>
      <c r="P9" t="e">
        <f ca="1">[2]!Bar(B9, 12)*10</f>
        <v>#NAME?</v>
      </c>
    </row>
    <row r="10" spans="2:16" x14ac:dyDescent="0.3">
      <c r="B10" s="9">
        <v>32</v>
      </c>
      <c r="C10">
        <v>1</v>
      </c>
      <c r="D10">
        <v>1.25</v>
      </c>
      <c r="E10">
        <v>345</v>
      </c>
      <c r="F10">
        <f t="shared" si="6"/>
        <v>1.425</v>
      </c>
      <c r="G10" s="5">
        <f t="shared" si="3"/>
        <v>32</v>
      </c>
      <c r="H10" s="10">
        <f t="shared" si="4"/>
        <v>968.42105263157896</v>
      </c>
      <c r="I10">
        <f t="shared" si="5"/>
        <v>30.263157894736842</v>
      </c>
      <c r="K10">
        <f t="shared" si="0"/>
        <v>30.263157894736842</v>
      </c>
      <c r="L10" t="e">
        <f ca="1">[2]!Bar(B10, 11)*100</f>
        <v>#NAME?</v>
      </c>
      <c r="M10" s="2">
        <f t="shared" si="1"/>
        <v>379.50000000000006</v>
      </c>
      <c r="N10">
        <v>1.76</v>
      </c>
      <c r="O10" s="1" t="e">
        <f t="shared" ca="1" si="2"/>
        <v>#NAME?</v>
      </c>
      <c r="P10" t="e">
        <f ca="1">[2]!Bar(B10, 12)*10</f>
        <v>#NAME?</v>
      </c>
    </row>
    <row r="12" spans="2:16" x14ac:dyDescent="0.3">
      <c r="C12" t="s">
        <v>36</v>
      </c>
      <c r="D12">
        <v>21</v>
      </c>
    </row>
    <row r="13" spans="2:16" x14ac:dyDescent="0.3">
      <c r="C13" s="8" t="s">
        <v>35</v>
      </c>
      <c r="D13">
        <f>+D12/40+0.9</f>
        <v>1.425</v>
      </c>
    </row>
    <row r="20" spans="2:13" x14ac:dyDescent="0.3">
      <c r="D20" t="s">
        <v>14</v>
      </c>
      <c r="E20" t="s">
        <v>17</v>
      </c>
      <c r="F20" t="s">
        <v>15</v>
      </c>
      <c r="H20" t="s">
        <v>16</v>
      </c>
      <c r="I20" s="3" t="s">
        <v>18</v>
      </c>
      <c r="J20" s="3" t="s">
        <v>19</v>
      </c>
      <c r="L20" t="s">
        <v>20</v>
      </c>
    </row>
    <row r="21" spans="2:13" x14ac:dyDescent="0.3">
      <c r="B21" t="s">
        <v>4</v>
      </c>
      <c r="C21">
        <v>11</v>
      </c>
    </row>
    <row r="22" spans="2:13" x14ac:dyDescent="0.3">
      <c r="B22" t="s">
        <v>3</v>
      </c>
      <c r="C22">
        <v>14</v>
      </c>
    </row>
    <row r="23" spans="2:13" x14ac:dyDescent="0.3">
      <c r="B23" t="s">
        <v>2</v>
      </c>
      <c r="C23">
        <v>18</v>
      </c>
    </row>
    <row r="24" spans="2:13" x14ac:dyDescent="0.3">
      <c r="B24" t="s">
        <v>0</v>
      </c>
      <c r="C24">
        <v>21</v>
      </c>
      <c r="D24">
        <v>350</v>
      </c>
      <c r="E24">
        <v>50</v>
      </c>
      <c r="F24">
        <f>+C21</f>
        <v>11</v>
      </c>
      <c r="G24">
        <v>3</v>
      </c>
      <c r="H24">
        <f>(D24-E24*2-F24*2-C24*G24)/(G24-1)</f>
        <v>82.5</v>
      </c>
      <c r="I24">
        <f>E24*3</f>
        <v>150</v>
      </c>
      <c r="J24">
        <f>C24*5</f>
        <v>105</v>
      </c>
      <c r="K24">
        <f>MIN(H24:I24)</f>
        <v>82.5</v>
      </c>
      <c r="L24">
        <f>C24</f>
        <v>21</v>
      </c>
      <c r="M24">
        <f>K24/L24</f>
        <v>3.9285714285714284</v>
      </c>
    </row>
    <row r="25" spans="2:13" x14ac:dyDescent="0.3">
      <c r="B25" t="s">
        <v>1</v>
      </c>
      <c r="C25">
        <v>25</v>
      </c>
    </row>
    <row r="26" spans="2:13" x14ac:dyDescent="0.3">
      <c r="B26" t="s">
        <v>5</v>
      </c>
      <c r="C26">
        <v>28</v>
      </c>
    </row>
    <row r="27" spans="2:13" x14ac:dyDescent="0.3">
      <c r="B27" t="s">
        <v>6</v>
      </c>
      <c r="C27">
        <v>33</v>
      </c>
    </row>
    <row r="28" spans="2:13" x14ac:dyDescent="0.3">
      <c r="B28" t="s">
        <v>7</v>
      </c>
      <c r="C28">
        <v>36</v>
      </c>
    </row>
    <row r="29" spans="2:13" x14ac:dyDescent="0.3">
      <c r="B29" t="s">
        <v>12</v>
      </c>
      <c r="C29">
        <v>40</v>
      </c>
    </row>
    <row r="30" spans="2:13" x14ac:dyDescent="0.3">
      <c r="B30" t="s">
        <v>13</v>
      </c>
      <c r="C30">
        <v>43</v>
      </c>
    </row>
  </sheetData>
  <phoneticPr fontId="1"/>
  <pageMargins left="0.75" right="0.75" top="1" bottom="1" header="0.51200000000000001" footer="0.5120000000000000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3:Q31"/>
  <sheetViews>
    <sheetView workbookViewId="0">
      <selection activeCell="O29" sqref="O29"/>
    </sheetView>
  </sheetViews>
  <sheetFormatPr defaultRowHeight="11.7" x14ac:dyDescent="0.3"/>
  <sheetData>
    <row r="3" spans="2:17" x14ac:dyDescent="0.3">
      <c r="C3" s="4" t="s">
        <v>21</v>
      </c>
      <c r="D3" s="4" t="s">
        <v>22</v>
      </c>
      <c r="E3" s="4">
        <v>0.8</v>
      </c>
      <c r="F3" s="4" t="s">
        <v>23</v>
      </c>
      <c r="G3" s="4" t="s">
        <v>24</v>
      </c>
      <c r="H3" s="4"/>
      <c r="N3" s="6" t="s">
        <v>31</v>
      </c>
      <c r="O3" t="s">
        <v>32</v>
      </c>
    </row>
    <row r="4" spans="2:17" x14ac:dyDescent="0.3">
      <c r="B4" t="s">
        <v>25</v>
      </c>
      <c r="C4" s="4">
        <v>71</v>
      </c>
      <c r="D4" s="4" t="e">
        <f ca="1">[3]!Bar(B4,11)*100</f>
        <v>#NAME?</v>
      </c>
      <c r="E4" s="4">
        <v>0.8</v>
      </c>
      <c r="F4" s="4">
        <v>2.1</v>
      </c>
      <c r="G4" s="4" t="e">
        <f ca="1">[3]!Bar(B4,12)*10</f>
        <v>#NAME?</v>
      </c>
      <c r="H4" s="7" t="e">
        <f ca="1">C4*D4/(E4*F4*G4)</f>
        <v>#NAME?</v>
      </c>
      <c r="J4" s="4" t="e">
        <f ca="1">[3]!Bar(B4,1)*10</f>
        <v>#NAME?</v>
      </c>
      <c r="K4">
        <v>15</v>
      </c>
      <c r="L4" t="e">
        <f ca="1">+J4*K4</f>
        <v>#NAME?</v>
      </c>
      <c r="M4">
        <v>1325</v>
      </c>
      <c r="N4">
        <f>M4/4</f>
        <v>331.25</v>
      </c>
      <c r="O4" t="e">
        <f ca="1">+L4+N4</f>
        <v>#NAME?</v>
      </c>
      <c r="Q4" t="e">
        <f ca="1">1325-O4</f>
        <v>#NAME?</v>
      </c>
    </row>
    <row r="5" spans="2:17" x14ac:dyDescent="0.3">
      <c r="C5" s="4"/>
      <c r="D5" s="4"/>
      <c r="E5" s="4"/>
      <c r="F5" s="4"/>
      <c r="G5" s="4"/>
      <c r="H5" s="4"/>
    </row>
    <row r="6" spans="2:17" x14ac:dyDescent="0.3">
      <c r="C6" s="4" t="s">
        <v>27</v>
      </c>
      <c r="D6" s="4" t="s">
        <v>28</v>
      </c>
      <c r="E6" s="4" t="s">
        <v>29</v>
      </c>
      <c r="F6" s="4" t="s">
        <v>26</v>
      </c>
      <c r="G6" s="4"/>
      <c r="H6" s="4"/>
    </row>
    <row r="7" spans="2:17" x14ac:dyDescent="0.3">
      <c r="C7" s="4">
        <v>700</v>
      </c>
      <c r="D7" s="4">
        <v>129</v>
      </c>
      <c r="E7" s="4">
        <f>C7-D7</f>
        <v>571</v>
      </c>
      <c r="F7" s="7">
        <f>E7*7/8</f>
        <v>499.625</v>
      </c>
      <c r="G7" s="4"/>
      <c r="H7" s="7" t="e">
        <f ca="1">F7+H4</f>
        <v>#NAME?</v>
      </c>
    </row>
    <row r="10" spans="2:17" x14ac:dyDescent="0.3">
      <c r="C10" s="4" t="s">
        <v>21</v>
      </c>
      <c r="D10" s="4" t="s">
        <v>22</v>
      </c>
      <c r="E10" s="4">
        <v>0.8</v>
      </c>
      <c r="F10" s="4" t="s">
        <v>23</v>
      </c>
      <c r="G10" s="4" t="s">
        <v>24</v>
      </c>
    </row>
    <row r="11" spans="2:17" x14ac:dyDescent="0.3">
      <c r="B11" t="s">
        <v>30</v>
      </c>
      <c r="C11" s="4">
        <v>36</v>
      </c>
      <c r="D11" s="4" t="e">
        <f ca="1">[3]!Bar(B11,11)*100</f>
        <v>#NAME?</v>
      </c>
      <c r="E11" s="4">
        <v>0.8</v>
      </c>
      <c r="F11">
        <v>2.1</v>
      </c>
      <c r="G11" s="4" t="e">
        <f ca="1">[3]!Bar(B11,12)*10</f>
        <v>#NAME?</v>
      </c>
      <c r="H11" s="5" t="e">
        <f ca="1">C11*D11/(E11*F11*G11)</f>
        <v>#NAME?</v>
      </c>
    </row>
    <row r="12" spans="2:17" x14ac:dyDescent="0.3">
      <c r="C12" s="4"/>
      <c r="D12" s="4"/>
      <c r="E12" s="4"/>
    </row>
    <row r="13" spans="2:17" x14ac:dyDescent="0.3">
      <c r="C13" s="4" t="s">
        <v>27</v>
      </c>
      <c r="D13" t="s">
        <v>28</v>
      </c>
      <c r="E13" t="s">
        <v>29</v>
      </c>
      <c r="F13" t="s">
        <v>26</v>
      </c>
    </row>
    <row r="14" spans="2:17" x14ac:dyDescent="0.3">
      <c r="C14">
        <v>700</v>
      </c>
      <c r="D14">
        <v>129</v>
      </c>
      <c r="E14">
        <f>C14-D14</f>
        <v>571</v>
      </c>
      <c r="F14" s="5">
        <f>E14*7/8</f>
        <v>499.625</v>
      </c>
      <c r="H14" s="5" t="e">
        <f ca="1">F14+H11</f>
        <v>#NAME?</v>
      </c>
    </row>
    <row r="17" spans="3:15" x14ac:dyDescent="0.3">
      <c r="C17">
        <v>1325</v>
      </c>
      <c r="D17">
        <v>4</v>
      </c>
      <c r="E17">
        <f>C17/D17</f>
        <v>331.25</v>
      </c>
      <c r="F17" s="5">
        <f>+F14+E17</f>
        <v>830.875</v>
      </c>
    </row>
    <row r="24" spans="3:15" x14ac:dyDescent="0.3">
      <c r="D24">
        <v>1.5</v>
      </c>
      <c r="E24">
        <v>21</v>
      </c>
      <c r="F24">
        <f>+D24+E24/10</f>
        <v>3.6</v>
      </c>
      <c r="G24">
        <v>295</v>
      </c>
      <c r="H24">
        <f>+F24/G24*3.6</f>
        <v>4.3932203389830511E-2</v>
      </c>
      <c r="J24">
        <v>295</v>
      </c>
      <c r="K24">
        <v>10</v>
      </c>
      <c r="L24">
        <v>600</v>
      </c>
      <c r="M24">
        <f>+K24/L24</f>
        <v>1.6666666666666666E-2</v>
      </c>
      <c r="O24" t="str">
        <f>IF(H24&gt;=M24,"OK","NG")</f>
        <v>OK</v>
      </c>
    </row>
    <row r="25" spans="3:15" x14ac:dyDescent="0.3">
      <c r="D25">
        <v>1.5</v>
      </c>
      <c r="E25">
        <v>21</v>
      </c>
      <c r="F25">
        <f t="shared" ref="F25:F31" si="0">+D25+E25/10</f>
        <v>3.6</v>
      </c>
      <c r="G25">
        <v>296</v>
      </c>
      <c r="H25">
        <f t="shared" ref="H25:H31" si="1">+F25/G25*3.6</f>
        <v>4.3783783783783788E-2</v>
      </c>
      <c r="J25">
        <v>295</v>
      </c>
      <c r="K25">
        <v>13</v>
      </c>
      <c r="L25">
        <v>600</v>
      </c>
      <c r="M25">
        <f t="shared" ref="M25:M31" si="2">+K25/L25</f>
        <v>2.1666666666666667E-2</v>
      </c>
      <c r="O25" t="str">
        <f t="shared" ref="O25:O31" si="3">IF(H25&gt;=M25,"OK","NG")</f>
        <v>OK</v>
      </c>
    </row>
    <row r="26" spans="3:15" x14ac:dyDescent="0.3">
      <c r="D26">
        <v>1.5</v>
      </c>
      <c r="E26">
        <v>21</v>
      </c>
      <c r="F26">
        <f t="shared" si="0"/>
        <v>3.6</v>
      </c>
      <c r="G26">
        <v>297</v>
      </c>
      <c r="H26">
        <f t="shared" si="1"/>
        <v>4.363636363636364E-2</v>
      </c>
      <c r="J26">
        <v>295</v>
      </c>
      <c r="K26">
        <v>16</v>
      </c>
      <c r="L26">
        <v>600</v>
      </c>
      <c r="M26">
        <f t="shared" si="2"/>
        <v>2.6666666666666668E-2</v>
      </c>
      <c r="O26" t="str">
        <f t="shared" si="3"/>
        <v>OK</v>
      </c>
    </row>
    <row r="27" spans="3:15" x14ac:dyDescent="0.3">
      <c r="D27">
        <v>1.5</v>
      </c>
      <c r="E27">
        <v>21</v>
      </c>
      <c r="F27">
        <f t="shared" si="0"/>
        <v>3.6</v>
      </c>
      <c r="G27">
        <v>345</v>
      </c>
      <c r="H27">
        <f t="shared" si="1"/>
        <v>3.7565217391304355E-2</v>
      </c>
      <c r="K27">
        <v>19</v>
      </c>
      <c r="L27">
        <v>600</v>
      </c>
      <c r="M27">
        <f t="shared" si="2"/>
        <v>3.1666666666666669E-2</v>
      </c>
      <c r="O27" t="str">
        <f t="shared" si="3"/>
        <v>OK</v>
      </c>
    </row>
    <row r="28" spans="3:15" x14ac:dyDescent="0.3">
      <c r="D28">
        <v>1.5</v>
      </c>
      <c r="E28">
        <v>21</v>
      </c>
      <c r="F28">
        <f t="shared" si="0"/>
        <v>3.6</v>
      </c>
      <c r="G28">
        <v>345</v>
      </c>
      <c r="H28">
        <f t="shared" si="1"/>
        <v>3.7565217391304355E-2</v>
      </c>
      <c r="K28">
        <v>22</v>
      </c>
      <c r="L28">
        <v>600</v>
      </c>
      <c r="M28">
        <f t="shared" si="2"/>
        <v>3.6666666666666667E-2</v>
      </c>
      <c r="O28" t="str">
        <f t="shared" si="3"/>
        <v>OK</v>
      </c>
    </row>
    <row r="29" spans="3:15" x14ac:dyDescent="0.3">
      <c r="D29">
        <v>1.5</v>
      </c>
      <c r="E29">
        <v>21</v>
      </c>
      <c r="F29">
        <f t="shared" si="0"/>
        <v>3.6</v>
      </c>
      <c r="G29">
        <v>345</v>
      </c>
      <c r="H29">
        <f t="shared" si="1"/>
        <v>3.7565217391304355E-2</v>
      </c>
      <c r="K29">
        <v>25</v>
      </c>
      <c r="L29">
        <v>600</v>
      </c>
      <c r="M29">
        <f t="shared" si="2"/>
        <v>4.1666666666666664E-2</v>
      </c>
      <c r="O29" t="str">
        <f t="shared" si="3"/>
        <v>NG</v>
      </c>
    </row>
    <row r="30" spans="3:15" x14ac:dyDescent="0.3">
      <c r="D30">
        <v>1.5</v>
      </c>
      <c r="E30">
        <v>21</v>
      </c>
      <c r="F30">
        <f t="shared" si="0"/>
        <v>3.6</v>
      </c>
      <c r="G30">
        <v>345</v>
      </c>
      <c r="H30">
        <f t="shared" si="1"/>
        <v>3.7565217391304355E-2</v>
      </c>
      <c r="K30">
        <v>29</v>
      </c>
      <c r="L30">
        <v>600</v>
      </c>
      <c r="M30">
        <f t="shared" si="2"/>
        <v>4.8333333333333332E-2</v>
      </c>
      <c r="O30" t="str">
        <f t="shared" si="3"/>
        <v>NG</v>
      </c>
    </row>
    <row r="31" spans="3:15" x14ac:dyDescent="0.3">
      <c r="D31">
        <v>1.5</v>
      </c>
      <c r="E31">
        <v>21</v>
      </c>
      <c r="F31">
        <f t="shared" si="0"/>
        <v>3.6</v>
      </c>
      <c r="G31">
        <v>345</v>
      </c>
      <c r="H31">
        <f t="shared" si="1"/>
        <v>3.7565217391304355E-2</v>
      </c>
      <c r="K31">
        <v>32</v>
      </c>
      <c r="L31">
        <v>600</v>
      </c>
      <c r="M31">
        <f t="shared" si="2"/>
        <v>5.3333333333333337E-2</v>
      </c>
      <c r="O31" t="str">
        <f t="shared" si="3"/>
        <v>NG</v>
      </c>
    </row>
  </sheetData>
  <phoneticPr fontId="1"/>
  <pageMargins left="0.75" right="0.75" top="1" bottom="1" header="0.51200000000000001" footer="0.51200000000000001"/>
  <pageSetup paperSize="9" orientation="portrait" copies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"/>
  <sheetViews>
    <sheetView topLeftCell="A4" workbookViewId="0"/>
  </sheetViews>
  <sheetFormatPr defaultRowHeight="11.7" x14ac:dyDescent="0.3"/>
  <sheetData/>
  <phoneticPr fontId="1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RC基準 (4)</vt:lpstr>
      <vt:lpstr>RC基準 (3)</vt:lpstr>
      <vt:lpstr>432</vt:lpstr>
      <vt:lpstr>RC基準 (2)</vt:lpstr>
      <vt:lpstr>RC基準</vt:lpstr>
      <vt:lpstr>Sheet1 (2)</vt:lpstr>
      <vt:lpstr>Sheet1</vt:lpstr>
      <vt:lpstr>Sheet2</vt:lpstr>
      <vt:lpstr>Sheet3</vt:lpstr>
    </vt:vector>
  </TitlesOfParts>
  <Company>情報システム部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大和ハウス工業株式会社</dc:creator>
  <cp:lastModifiedBy>Administrator</cp:lastModifiedBy>
  <cp:lastPrinted>2021-09-06T04:42:14Z</cp:lastPrinted>
  <dcterms:created xsi:type="dcterms:W3CDTF">2012-11-01T04:51:56Z</dcterms:created>
  <dcterms:modified xsi:type="dcterms:W3CDTF">2022-01-11T07:33:18Z</dcterms:modified>
</cp:coreProperties>
</file>