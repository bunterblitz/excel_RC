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8_{662A6B85-B1ED-49C4-8587-A18FCD9B6F84}" xr6:coauthVersionLast="36" xr6:coauthVersionMax="36" xr10:uidLastSave="{00000000-0000-0000-0000-000000000000}"/>
  <bookViews>
    <workbookView xWindow="-120" yWindow="-120" windowWidth="20736" windowHeight="11160" xr2:uid="{A691D628-1A29-47E4-8A23-DFDBF6C9A157}"/>
  </bookViews>
  <sheets>
    <sheet name="店舗売場" sheetId="11" r:id="rId1"/>
    <sheet name="展示スペース" sheetId="8" r:id="rId2"/>
    <sheet name="長辺下端" sheetId="7" r:id="rId3"/>
    <sheet name="洗車場" sheetId="9" r:id="rId4"/>
    <sheet name="洗車場一般" sheetId="10" r:id="rId5"/>
    <sheet name="長辺上端" sheetId="6" r:id="rId6"/>
    <sheet name="Sheet1 (3)" sheetId="5" r:id="rId7"/>
    <sheet name="Sheet1" sheetId="1" r:id="rId8"/>
    <sheet name="output" sheetId="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3" i="11" l="1"/>
  <c r="H3" i="9" l="1"/>
  <c r="S20" i="9"/>
  <c r="N37" i="9"/>
  <c r="C23" i="9"/>
  <c r="N23" i="9" s="1"/>
  <c r="S8" i="9"/>
  <c r="S12" i="9"/>
  <c r="H11" i="9"/>
  <c r="E3" i="9"/>
  <c r="G9" i="2" l="1"/>
  <c r="B71" i="11"/>
  <c r="B70" i="11"/>
  <c r="B69" i="11"/>
  <c r="P68" i="11"/>
  <c r="P69" i="11" s="1"/>
  <c r="P70" i="11" s="1"/>
  <c r="P71" i="11" s="1"/>
  <c r="E68" i="11"/>
  <c r="E69" i="11" s="1"/>
  <c r="E70" i="11" s="1"/>
  <c r="E71" i="11" s="1"/>
  <c r="B68" i="11"/>
  <c r="B67" i="11"/>
  <c r="B66" i="11"/>
  <c r="P65" i="11"/>
  <c r="E65" i="11"/>
  <c r="B65" i="11"/>
  <c r="B64" i="11"/>
  <c r="B63" i="11"/>
  <c r="P62" i="11"/>
  <c r="P63" i="11" s="1"/>
  <c r="E62" i="11"/>
  <c r="E63" i="11" s="1"/>
  <c r="B62" i="11"/>
  <c r="B61" i="11"/>
  <c r="M54" i="11"/>
  <c r="M53" i="11"/>
  <c r="M52" i="11"/>
  <c r="M51" i="11"/>
  <c r="M50" i="11"/>
  <c r="M49" i="11"/>
  <c r="J49" i="11"/>
  <c r="M48" i="11"/>
  <c r="M47" i="11"/>
  <c r="M46" i="11"/>
  <c r="M45" i="11"/>
  <c r="M44" i="11"/>
  <c r="Q42" i="11"/>
  <c r="M42" i="11"/>
  <c r="F42" i="11"/>
  <c r="B42" i="11"/>
  <c r="P34" i="11"/>
  <c r="P35" i="11" s="1"/>
  <c r="P36" i="11" s="1"/>
  <c r="P37" i="11" s="1"/>
  <c r="E34" i="11"/>
  <c r="E35" i="11" s="1"/>
  <c r="E36" i="11" s="1"/>
  <c r="E37" i="11" s="1"/>
  <c r="E31" i="11"/>
  <c r="P29" i="11"/>
  <c r="P30" i="11" s="1"/>
  <c r="P31" i="11" s="1"/>
  <c r="E29" i="11"/>
  <c r="P28" i="11"/>
  <c r="Q8" i="11"/>
  <c r="E4" i="11"/>
  <c r="E5" i="11" s="1"/>
  <c r="D8" i="11" s="1"/>
  <c r="F36" i="11" a="1"/>
  <c r="F30" i="11"/>
  <c r="F33" i="11" a="1"/>
  <c r="F28" i="11"/>
  <c r="F27" i="11"/>
  <c r="F65" i="11" a="1"/>
  <c r="F65" i="11" l="1"/>
  <c r="G65" i="11" s="1"/>
  <c r="G27" i="11"/>
  <c r="G30" i="11"/>
  <c r="F36" i="11"/>
  <c r="G36" i="11" s="1"/>
  <c r="G28" i="11"/>
  <c r="F33" i="11"/>
  <c r="G33" i="11" s="1"/>
  <c r="D42" i="11"/>
  <c r="C57" i="11"/>
  <c r="F61" i="11" a="1"/>
  <c r="F34" i="11" a="1"/>
  <c r="F71" i="11" a="1"/>
  <c r="F70" i="11" a="1"/>
  <c r="F67" i="11" a="1"/>
  <c r="F68" i="11" a="1"/>
  <c r="F31" i="11" a="1"/>
  <c r="F69" i="11" a="1"/>
  <c r="F35" i="11" a="1"/>
  <c r="F62" i="11" a="1"/>
  <c r="F37" i="11" a="1"/>
  <c r="F29" i="11" a="1"/>
  <c r="F64" i="11" a="1"/>
  <c r="F63" i="11" a="1"/>
  <c r="H14" i="11" a="1"/>
  <c r="C12" i="11" a="1"/>
  <c r="H13" i="11" a="1"/>
  <c r="H52" i="11"/>
  <c r="H19" i="11" a="1"/>
  <c r="H18" i="11" a="1"/>
  <c r="G47" i="11"/>
  <c r="G54" i="11"/>
  <c r="H16" i="11" a="1"/>
  <c r="H53" i="11"/>
  <c r="H12" i="11" a="1"/>
  <c r="H51" i="11"/>
  <c r="G44" i="11"/>
  <c r="H46" i="11"/>
  <c r="G53" i="11"/>
  <c r="C17" i="11" a="1"/>
  <c r="G12" i="11" a="1"/>
  <c r="G50" i="11"/>
  <c r="G19" i="11" a="1"/>
  <c r="G14" i="11" a="1"/>
  <c r="H17" i="11" a="1"/>
  <c r="C19" i="11" a="1"/>
  <c r="H48" i="11"/>
  <c r="G16" i="11" a="1"/>
  <c r="C44" i="11"/>
  <c r="C50" i="11"/>
  <c r="C47" i="11"/>
  <c r="C13" i="11" a="1"/>
  <c r="G11" i="11" a="1"/>
  <c r="H44" i="11"/>
  <c r="C10" i="11" a="1"/>
  <c r="C51" i="11"/>
  <c r="C48" i="11"/>
  <c r="G46" i="11"/>
  <c r="C53" i="11"/>
  <c r="H11" i="11" a="1"/>
  <c r="H50" i="11"/>
  <c r="G20" i="11" a="1"/>
  <c r="C52" i="11"/>
  <c r="H45" i="11"/>
  <c r="H10" i="11"/>
  <c r="H54" i="11"/>
  <c r="G10" i="11" a="1"/>
  <c r="C46" i="11"/>
  <c r="G17" i="11" a="1"/>
  <c r="C54" i="11"/>
  <c r="G51" i="11"/>
  <c r="C14" i="11" a="1"/>
  <c r="C16" i="11" a="1"/>
  <c r="G18" i="11" a="1"/>
  <c r="G45" i="11"/>
  <c r="G52" i="11"/>
  <c r="G48" i="11"/>
  <c r="H47" i="11"/>
  <c r="C18" i="11" a="1"/>
  <c r="C11" i="11" a="1"/>
  <c r="G13" i="11" a="1"/>
  <c r="H20" i="11" a="1"/>
  <c r="C45" i="11"/>
  <c r="C20" i="11" a="1"/>
  <c r="C65" i="11" l="1"/>
  <c r="H65" i="11" s="1"/>
  <c r="C64" i="11"/>
  <c r="C14" i="11"/>
  <c r="D31" i="11" s="1"/>
  <c r="C17" i="11"/>
  <c r="D34" i="11" s="1"/>
  <c r="G20" i="11"/>
  <c r="C19" i="11"/>
  <c r="D36" i="11" s="1"/>
  <c r="D64" i="11"/>
  <c r="F62" i="11"/>
  <c r="G62" i="11" s="1"/>
  <c r="F70" i="11"/>
  <c r="G70" i="11" s="1"/>
  <c r="C68" i="11"/>
  <c r="H68" i="11" s="1"/>
  <c r="H18" i="11"/>
  <c r="C20" i="11"/>
  <c r="D37" i="11" s="1"/>
  <c r="D65" i="11"/>
  <c r="F68" i="11"/>
  <c r="G68" i="11" s="1"/>
  <c r="G10" i="11"/>
  <c r="C67" i="11"/>
  <c r="D68" i="11"/>
  <c r="D67" i="11"/>
  <c r="F71" i="11"/>
  <c r="G71" i="11" s="1"/>
  <c r="F29" i="11"/>
  <c r="G29" i="11" s="1"/>
  <c r="H12" i="11"/>
  <c r="H19" i="11"/>
  <c r="D62" i="11"/>
  <c r="D69" i="11"/>
  <c r="F34" i="11"/>
  <c r="G34" i="11" s="1"/>
  <c r="F35" i="11"/>
  <c r="G35" i="11" s="1"/>
  <c r="C10" i="11"/>
  <c r="D27" i="11" s="1"/>
  <c r="D61" i="11"/>
  <c r="H17" i="11"/>
  <c r="C70" i="11"/>
  <c r="C69" i="11"/>
  <c r="H69" i="11" s="1"/>
  <c r="F69" i="11"/>
  <c r="G69" i="11" s="1"/>
  <c r="G12" i="11"/>
  <c r="D71" i="11"/>
  <c r="C71" i="11"/>
  <c r="H71" i="11" s="1"/>
  <c r="H11" i="11"/>
  <c r="C61" i="11"/>
  <c r="F31" i="11"/>
  <c r="G31" i="11" s="1"/>
  <c r="G14" i="11"/>
  <c r="C63" i="11"/>
  <c r="H16" i="11"/>
  <c r="H13" i="11"/>
  <c r="H20" i="11"/>
  <c r="C18" i="11"/>
  <c r="D35" i="11" s="1"/>
  <c r="F67" i="11"/>
  <c r="G67" i="11" s="1"/>
  <c r="G17" i="11"/>
  <c r="C27" i="11"/>
  <c r="H27" i="11" s="1"/>
  <c r="J44" i="11"/>
  <c r="I44" i="11" s="1"/>
  <c r="D70" i="11"/>
  <c r="G11" i="11"/>
  <c r="F61" i="11"/>
  <c r="G61" i="11" s="1"/>
  <c r="G19" i="11"/>
  <c r="C12" i="11"/>
  <c r="D29" i="11" s="1"/>
  <c r="G13" i="11"/>
  <c r="F63" i="11"/>
  <c r="G63" i="11" s="1"/>
  <c r="F37" i="11"/>
  <c r="G37" i="11" s="1"/>
  <c r="D63" i="11"/>
  <c r="C62" i="11"/>
  <c r="H62" i="11" s="1"/>
  <c r="C13" i="11"/>
  <c r="D30" i="11" s="1"/>
  <c r="G16" i="11"/>
  <c r="F64" i="11"/>
  <c r="G64" i="11" s="1"/>
  <c r="H14" i="11"/>
  <c r="C11" i="11"/>
  <c r="D28" i="11" s="1"/>
  <c r="C16" i="11"/>
  <c r="D33" i="11" s="1"/>
  <c r="G18" i="11"/>
  <c r="O42" i="11"/>
  <c r="N57" i="11"/>
  <c r="Q62" i="11" a="1"/>
  <c r="Q36" i="11"/>
  <c r="Q37" i="11"/>
  <c r="Q71" i="11" a="1"/>
  <c r="Q63" i="11" a="1"/>
  <c r="Q68" i="11" a="1"/>
  <c r="Q33" i="11"/>
  <c r="Q65" i="11" a="1"/>
  <c r="Q34" i="11"/>
  <c r="Q69" i="11" a="1"/>
  <c r="Q27" i="11"/>
  <c r="Q28" i="11"/>
  <c r="Q29" i="11"/>
  <c r="Q61" i="11"/>
  <c r="Q35" i="11"/>
  <c r="Q70" i="11" a="1"/>
  <c r="Q31" i="11"/>
  <c r="Q30" i="11"/>
  <c r="Q64" i="11" a="1"/>
  <c r="Q67" i="11" a="1"/>
  <c r="J69" i="11"/>
  <c r="J62" i="11"/>
  <c r="J68" i="11"/>
  <c r="J65" i="11"/>
  <c r="J27" i="11"/>
  <c r="J71" i="11"/>
  <c r="N51" i="11"/>
  <c r="R18" i="11" a="1"/>
  <c r="S48" i="11"/>
  <c r="R44" i="11"/>
  <c r="S10" i="11"/>
  <c r="N12" i="11" a="1"/>
  <c r="S47" i="11"/>
  <c r="R53" i="11"/>
  <c r="R16" i="11" a="1"/>
  <c r="S18" i="11" a="1"/>
  <c r="N44" i="11"/>
  <c r="S17" i="11" a="1"/>
  <c r="N10" i="11" a="1"/>
  <c r="R54" i="11"/>
  <c r="N20" i="11" a="1"/>
  <c r="N46" i="11"/>
  <c r="S14" i="11" a="1"/>
  <c r="R48" i="11"/>
  <c r="N19" i="11" a="1"/>
  <c r="R19" i="11" a="1"/>
  <c r="N45" i="11"/>
  <c r="R13" i="11" a="1"/>
  <c r="N50" i="11"/>
  <c r="S44" i="11"/>
  <c r="S54" i="11"/>
  <c r="R50" i="11"/>
  <c r="S45" i="11"/>
  <c r="N18" i="11" a="1"/>
  <c r="S53" i="11"/>
  <c r="R52" i="11"/>
  <c r="S50" i="11"/>
  <c r="N54" i="11"/>
  <c r="R17" i="11" a="1"/>
  <c r="S19" i="11" a="1"/>
  <c r="R45" i="11"/>
  <c r="R12" i="11" a="1"/>
  <c r="R10" i="11" a="1"/>
  <c r="N52" i="11"/>
  <c r="R47" i="11"/>
  <c r="S16" i="11" a="1"/>
  <c r="S12" i="11" a="1"/>
  <c r="N48" i="11"/>
  <c r="R20" i="11" a="1"/>
  <c r="N53" i="11"/>
  <c r="R14" i="11" a="1"/>
  <c r="S46" i="11"/>
  <c r="R51" i="11"/>
  <c r="R46" i="11"/>
  <c r="S13" i="11" a="1"/>
  <c r="N11" i="11" a="1"/>
  <c r="S52" i="11"/>
  <c r="N16" i="11" a="1"/>
  <c r="N13" i="11" a="1"/>
  <c r="S11" i="11" a="1"/>
  <c r="N47" i="11"/>
  <c r="S51" i="11"/>
  <c r="S20" i="11" a="1"/>
  <c r="N14" i="11" a="1"/>
  <c r="N17" i="11" a="1"/>
  <c r="R11" i="11" a="1"/>
  <c r="H70" i="11" l="1"/>
  <c r="H63" i="11"/>
  <c r="H61" i="11"/>
  <c r="Q69" i="11"/>
  <c r="R69" i="11" s="1"/>
  <c r="Q68" i="11"/>
  <c r="R68" i="11" s="1"/>
  <c r="N13" i="11"/>
  <c r="O30" i="11" s="1"/>
  <c r="S12" i="11"/>
  <c r="N27" i="11"/>
  <c r="U44" i="11"/>
  <c r="T44" i="11" s="1"/>
  <c r="N70" i="11"/>
  <c r="O67" i="11"/>
  <c r="S14" i="11"/>
  <c r="O61" i="11"/>
  <c r="R36" i="11"/>
  <c r="N16" i="11"/>
  <c r="O33" i="11" s="1"/>
  <c r="R11" i="11"/>
  <c r="S16" i="11"/>
  <c r="Q71" i="11"/>
  <c r="R71" i="11" s="1"/>
  <c r="R31" i="11"/>
  <c r="Q64" i="11"/>
  <c r="R64" i="11" s="1"/>
  <c r="N17" i="11"/>
  <c r="O34" i="11" s="1"/>
  <c r="R12" i="11"/>
  <c r="N69" i="11"/>
  <c r="S69" i="11" s="1"/>
  <c r="S17" i="11"/>
  <c r="N63" i="11"/>
  <c r="R29" i="11"/>
  <c r="R30" i="11"/>
  <c r="N18" i="11"/>
  <c r="O35" i="11" s="1"/>
  <c r="R13" i="11"/>
  <c r="O63" i="11"/>
  <c r="S18" i="11"/>
  <c r="N14" i="11"/>
  <c r="O31" i="11" s="1"/>
  <c r="R33" i="11"/>
  <c r="Q70" i="11"/>
  <c r="R70" i="11" s="1"/>
  <c r="N19" i="11"/>
  <c r="O36" i="11" s="1"/>
  <c r="R14" i="11"/>
  <c r="S19" i="11"/>
  <c r="N62" i="11"/>
  <c r="N20" i="11"/>
  <c r="O37" i="11" s="1"/>
  <c r="R16" i="11"/>
  <c r="N65" i="11"/>
  <c r="S20" i="11"/>
  <c r="N61" i="11"/>
  <c r="R61" i="11"/>
  <c r="O70" i="11"/>
  <c r="O69" i="11"/>
  <c r="R17" i="11"/>
  <c r="O62" i="11"/>
  <c r="R18" i="11"/>
  <c r="N68" i="11"/>
  <c r="R28" i="11"/>
  <c r="R34" i="11"/>
  <c r="Q63" i="11"/>
  <c r="R63" i="11" s="1"/>
  <c r="O71" i="11"/>
  <c r="N71" i="11"/>
  <c r="R19" i="11"/>
  <c r="N10" i="11"/>
  <c r="O27" i="11" s="1"/>
  <c r="N64" i="11"/>
  <c r="S64" i="11" s="1"/>
  <c r="Q62" i="11"/>
  <c r="R62" i="11" s="1"/>
  <c r="Q67" i="11"/>
  <c r="R67" i="11" s="1"/>
  <c r="Q65" i="11"/>
  <c r="R65" i="11" s="1"/>
  <c r="N11" i="11"/>
  <c r="O28" i="11" s="1"/>
  <c r="O65" i="11"/>
  <c r="R20" i="11"/>
  <c r="R10" i="11"/>
  <c r="N67" i="11"/>
  <c r="R35" i="11"/>
  <c r="R37" i="11"/>
  <c r="R27" i="11"/>
  <c r="N12" i="11"/>
  <c r="O29" i="11" s="1"/>
  <c r="O68" i="11"/>
  <c r="O64" i="11"/>
  <c r="S11" i="11"/>
  <c r="S13" i="11"/>
  <c r="J45" i="11"/>
  <c r="I45" i="11" s="1"/>
  <c r="C28" i="11"/>
  <c r="H28" i="11" s="1"/>
  <c r="J52" i="11"/>
  <c r="I52" i="11" s="1"/>
  <c r="C35" i="11"/>
  <c r="H35" i="11" s="1"/>
  <c r="C36" i="11"/>
  <c r="H36" i="11" s="1"/>
  <c r="J53" i="11"/>
  <c r="I53" i="11" s="1"/>
  <c r="C29" i="11"/>
  <c r="H29" i="11" s="1"/>
  <c r="J46" i="11"/>
  <c r="I46" i="11" s="1"/>
  <c r="J54" i="11"/>
  <c r="I54" i="11" s="1"/>
  <c r="C37" i="11"/>
  <c r="H37" i="11" s="1"/>
  <c r="J47" i="11"/>
  <c r="I47" i="11" s="1"/>
  <c r="C30" i="11"/>
  <c r="H30" i="11" s="1"/>
  <c r="C33" i="11"/>
  <c r="H33" i="11" s="1"/>
  <c r="J50" i="11"/>
  <c r="I50" i="11" s="1"/>
  <c r="J51" i="11"/>
  <c r="I51" i="11" s="1"/>
  <c r="C34" i="11"/>
  <c r="H34" i="11" s="1"/>
  <c r="H67" i="11"/>
  <c r="C31" i="11"/>
  <c r="H31" i="11" s="1"/>
  <c r="J48" i="11"/>
  <c r="I48" i="11" s="1"/>
  <c r="H64" i="11"/>
  <c r="J70" i="11"/>
  <c r="J63" i="11"/>
  <c r="J61" i="11"/>
  <c r="I71" i="11"/>
  <c r="J67" i="11"/>
  <c r="J37" i="11"/>
  <c r="I27" i="11" a="1"/>
  <c r="J31" i="11"/>
  <c r="J34" i="11"/>
  <c r="I65" i="11"/>
  <c r="J29" i="11"/>
  <c r="I70" i="11"/>
  <c r="I63" i="11"/>
  <c r="I68" i="11"/>
  <c r="J33" i="11"/>
  <c r="J28" i="11"/>
  <c r="I62" i="11"/>
  <c r="J64" i="11"/>
  <c r="J30" i="11"/>
  <c r="J35" i="11"/>
  <c r="I69" i="11"/>
  <c r="I61" i="11"/>
  <c r="J36" i="11"/>
  <c r="U69" i="11"/>
  <c r="U64" i="11"/>
  <c r="S61" i="11" l="1"/>
  <c r="S71" i="11"/>
  <c r="S68" i="11"/>
  <c r="S62" i="11"/>
  <c r="S63" i="11"/>
  <c r="I27" i="11"/>
  <c r="U45" i="11"/>
  <c r="T45" i="11" s="1"/>
  <c r="N28" i="11"/>
  <c r="S28" i="11" s="1"/>
  <c r="N36" i="11"/>
  <c r="S36" i="11" s="1"/>
  <c r="U53" i="11"/>
  <c r="T53" i="11" s="1"/>
  <c r="N34" i="11"/>
  <c r="S34" i="11" s="1"/>
  <c r="U51" i="11"/>
  <c r="T51" i="11" s="1"/>
  <c r="U48" i="11"/>
  <c r="T48" i="11" s="1"/>
  <c r="N31" i="11"/>
  <c r="S31" i="11" s="1"/>
  <c r="U47" i="11"/>
  <c r="T47" i="11" s="1"/>
  <c r="N30" i="11"/>
  <c r="S30" i="11" s="1"/>
  <c r="S70" i="11"/>
  <c r="U52" i="11"/>
  <c r="T52" i="11" s="1"/>
  <c r="N35" i="11"/>
  <c r="S35" i="11" s="1"/>
  <c r="S27" i="11"/>
  <c r="S67" i="11"/>
  <c r="U54" i="11"/>
  <c r="T54" i="11" s="1"/>
  <c r="N37" i="11"/>
  <c r="S37" i="11" s="1"/>
  <c r="U46" i="11"/>
  <c r="T46" i="11" s="1"/>
  <c r="N29" i="11"/>
  <c r="S29" i="11" s="1"/>
  <c r="S65" i="11"/>
  <c r="U50" i="11"/>
  <c r="T50" i="11" s="1"/>
  <c r="N33" i="11"/>
  <c r="S33" i="11" s="1"/>
  <c r="B71" i="10"/>
  <c r="E70" i="10"/>
  <c r="E71" i="10" s="1"/>
  <c r="B70" i="10"/>
  <c r="E69" i="10"/>
  <c r="B69" i="10"/>
  <c r="P68" i="10"/>
  <c r="P69" i="10" s="1"/>
  <c r="P70" i="10" s="1"/>
  <c r="P71" i="10" s="1"/>
  <c r="E68" i="10"/>
  <c r="B68" i="10"/>
  <c r="B67" i="10"/>
  <c r="B66" i="10"/>
  <c r="P65" i="10"/>
  <c r="E65" i="10"/>
  <c r="B65" i="10"/>
  <c r="B64" i="10"/>
  <c r="P63" i="10"/>
  <c r="B63" i="10"/>
  <c r="P62" i="10"/>
  <c r="E62" i="10"/>
  <c r="E63" i="10" s="1"/>
  <c r="B62" i="10"/>
  <c r="B61" i="10"/>
  <c r="M54" i="10"/>
  <c r="M53" i="10"/>
  <c r="M52" i="10"/>
  <c r="M51" i="10"/>
  <c r="M50" i="10"/>
  <c r="M49" i="10"/>
  <c r="J49" i="10"/>
  <c r="M48" i="10"/>
  <c r="M47" i="10"/>
  <c r="M46" i="10"/>
  <c r="M45" i="10"/>
  <c r="M44" i="10"/>
  <c r="Q42" i="10"/>
  <c r="M42" i="10"/>
  <c r="F42" i="10"/>
  <c r="B42" i="10"/>
  <c r="P34" i="10"/>
  <c r="P35" i="10" s="1"/>
  <c r="P36" i="10" s="1"/>
  <c r="P37" i="10" s="1"/>
  <c r="E34" i="10"/>
  <c r="E35" i="10" s="1"/>
  <c r="E36" i="10" s="1"/>
  <c r="E37" i="10" s="1"/>
  <c r="E31" i="10"/>
  <c r="E29" i="10"/>
  <c r="P28" i="10"/>
  <c r="P29" i="10" s="1"/>
  <c r="P30" i="10" s="1"/>
  <c r="P31" i="10" s="1"/>
  <c r="C23" i="10"/>
  <c r="Q8" i="10"/>
  <c r="E4" i="10"/>
  <c r="E5" i="10" s="1"/>
  <c r="D8" i="10" s="1"/>
  <c r="B71" i="9"/>
  <c r="B70" i="9"/>
  <c r="B69" i="9"/>
  <c r="P68" i="9"/>
  <c r="P69" i="9" s="1"/>
  <c r="P70" i="9" s="1"/>
  <c r="P71" i="9" s="1"/>
  <c r="E68" i="9"/>
  <c r="E69" i="9" s="1"/>
  <c r="E70" i="9" s="1"/>
  <c r="E71" i="9" s="1"/>
  <c r="B68" i="9"/>
  <c r="B67" i="9"/>
  <c r="B66" i="9"/>
  <c r="P65" i="9"/>
  <c r="E65" i="9"/>
  <c r="B65" i="9"/>
  <c r="B64" i="9"/>
  <c r="B63" i="9"/>
  <c r="P62" i="9"/>
  <c r="P63" i="9" s="1"/>
  <c r="E62" i="9"/>
  <c r="E63" i="9" s="1"/>
  <c r="B62" i="9"/>
  <c r="B61" i="9"/>
  <c r="M54" i="9"/>
  <c r="M53" i="9"/>
  <c r="M52" i="9"/>
  <c r="M51" i="9"/>
  <c r="M50" i="9"/>
  <c r="M49" i="9"/>
  <c r="J49" i="9"/>
  <c r="M48" i="9"/>
  <c r="M47" i="9"/>
  <c r="M46" i="9"/>
  <c r="M45" i="9"/>
  <c r="M44" i="9"/>
  <c r="M42" i="9"/>
  <c r="F42" i="9"/>
  <c r="B42" i="9"/>
  <c r="P35" i="9"/>
  <c r="P36" i="9" s="1"/>
  <c r="P34" i="9"/>
  <c r="E34" i="9"/>
  <c r="E35" i="9" s="1"/>
  <c r="E36" i="9" s="1"/>
  <c r="E37" i="9" s="1"/>
  <c r="E31" i="9"/>
  <c r="E29" i="9"/>
  <c r="P28" i="9"/>
  <c r="P29" i="9" s="1"/>
  <c r="P30" i="9" s="1"/>
  <c r="P31" i="9" s="1"/>
  <c r="Q42" i="9"/>
  <c r="E4" i="9"/>
  <c r="E5" i="9" s="1"/>
  <c r="D8" i="9" s="1"/>
  <c r="B71" i="8"/>
  <c r="P70" i="8"/>
  <c r="B70" i="8"/>
  <c r="B69" i="8"/>
  <c r="E68" i="8"/>
  <c r="E69" i="8" s="1"/>
  <c r="E70" i="8" s="1"/>
  <c r="E71" i="8" s="1"/>
  <c r="B68" i="8"/>
  <c r="P67" i="8"/>
  <c r="B67" i="8"/>
  <c r="B66" i="8"/>
  <c r="P65" i="8"/>
  <c r="E65" i="8"/>
  <c r="B65" i="8"/>
  <c r="P64" i="8"/>
  <c r="B64" i="8"/>
  <c r="E63" i="8"/>
  <c r="B63" i="8"/>
  <c r="P62" i="8"/>
  <c r="E62" i="8"/>
  <c r="B62" i="8"/>
  <c r="P61" i="8"/>
  <c r="B61" i="8"/>
  <c r="M54" i="8"/>
  <c r="M53" i="8"/>
  <c r="M52" i="8"/>
  <c r="M51" i="8"/>
  <c r="M50" i="8"/>
  <c r="M49" i="8"/>
  <c r="J49" i="8"/>
  <c r="M48" i="8"/>
  <c r="M47" i="8"/>
  <c r="M46" i="8"/>
  <c r="M45" i="8"/>
  <c r="M44" i="8"/>
  <c r="M42" i="8"/>
  <c r="F42" i="8"/>
  <c r="B42" i="8"/>
  <c r="N40" i="8"/>
  <c r="C40" i="8"/>
  <c r="P37" i="8"/>
  <c r="P71" i="8" s="1"/>
  <c r="E37" i="8"/>
  <c r="P34" i="8"/>
  <c r="P68" i="8" s="1"/>
  <c r="E34" i="8"/>
  <c r="E35" i="8" s="1"/>
  <c r="E31" i="8"/>
  <c r="P29" i="8"/>
  <c r="P63" i="8" s="1"/>
  <c r="E29" i="8"/>
  <c r="C23" i="8"/>
  <c r="Q8" i="8"/>
  <c r="Q42" i="8" s="1"/>
  <c r="O8" i="8"/>
  <c r="D8" i="8"/>
  <c r="E5" i="8"/>
  <c r="E4" i="8"/>
  <c r="F35" i="10" a="1"/>
  <c r="F29" i="10" a="1"/>
  <c r="F65" i="10" a="1"/>
  <c r="C11" i="8" a="1"/>
  <c r="C12" i="8" a="1"/>
  <c r="C18" i="8" a="1"/>
  <c r="H47" i="8"/>
  <c r="C19" i="8" a="1"/>
  <c r="C45" i="8"/>
  <c r="C14" i="8" a="1"/>
  <c r="C17" i="8" a="1"/>
  <c r="C20" i="8" a="1"/>
  <c r="C16" i="8" a="1"/>
  <c r="G46" i="8"/>
  <c r="C13" i="8" a="1"/>
  <c r="H51" i="8"/>
  <c r="N53" i="8"/>
  <c r="F71" i="8" a="1"/>
  <c r="U61" i="11"/>
  <c r="U71" i="11"/>
  <c r="U68" i="11"/>
  <c r="U62" i="11"/>
  <c r="U63" i="11"/>
  <c r="I36" i="11"/>
  <c r="I35" i="11"/>
  <c r="I30" i="11" a="1"/>
  <c r="I64" i="11"/>
  <c r="I28" i="11" a="1"/>
  <c r="I33" i="11"/>
  <c r="I29" i="11" a="1"/>
  <c r="I34" i="11"/>
  <c r="I31" i="11"/>
  <c r="I37" i="11"/>
  <c r="I67" i="11"/>
  <c r="T64" i="11"/>
  <c r="U33" i="11"/>
  <c r="T68" i="11"/>
  <c r="U70" i="11"/>
  <c r="T71" i="11"/>
  <c r="U35" i="11"/>
  <c r="U65" i="11"/>
  <c r="T61" i="11"/>
  <c r="U28" i="11"/>
  <c r="T62" i="11"/>
  <c r="U27" i="11"/>
  <c r="T63" i="11"/>
  <c r="U36" i="11"/>
  <c r="T69" i="11"/>
  <c r="U67" i="11"/>
  <c r="U34" i="11"/>
  <c r="U37" i="11"/>
  <c r="U29" i="11"/>
  <c r="U30" i="11"/>
  <c r="U31" i="11"/>
  <c r="I29" i="11" l="1"/>
  <c r="I28" i="11"/>
  <c r="I30" i="11"/>
  <c r="H8" i="9"/>
  <c r="H10" i="9" s="1"/>
  <c r="O8" i="9"/>
  <c r="F65" i="10"/>
  <c r="G65" i="10" s="1"/>
  <c r="F29" i="10"/>
  <c r="G29" i="10" s="1"/>
  <c r="F35" i="10"/>
  <c r="G35" i="10" s="1"/>
  <c r="D42" i="10"/>
  <c r="O8" i="10"/>
  <c r="N23" i="10"/>
  <c r="C57" i="10"/>
  <c r="C57" i="9"/>
  <c r="D42" i="9"/>
  <c r="F71" i="8"/>
  <c r="G71" i="8" s="1"/>
  <c r="O70" i="8"/>
  <c r="C68" i="8"/>
  <c r="C13" i="8"/>
  <c r="D30" i="8" s="1"/>
  <c r="C16" i="8"/>
  <c r="D33" i="8" s="1"/>
  <c r="C20" i="8"/>
  <c r="D37" i="8" s="1"/>
  <c r="C17" i="8"/>
  <c r="D34" i="8" s="1"/>
  <c r="C14" i="8"/>
  <c r="D31" i="8" s="1"/>
  <c r="D62" i="8"/>
  <c r="C19" i="8"/>
  <c r="D36" i="8" s="1"/>
  <c r="C64" i="8"/>
  <c r="C18" i="8"/>
  <c r="D35" i="8" s="1"/>
  <c r="C12" i="8"/>
  <c r="D29" i="8" s="1"/>
  <c r="C11" i="8"/>
  <c r="D28" i="8" s="1"/>
  <c r="P35" i="8"/>
  <c r="P69" i="8" s="1"/>
  <c r="N23" i="8"/>
  <c r="C57" i="8"/>
  <c r="D42" i="8"/>
  <c r="O42" i="8"/>
  <c r="G16" i="10" a="1"/>
  <c r="C19" i="10" a="1"/>
  <c r="G10" i="10" a="1"/>
  <c r="C13" i="10" a="1"/>
  <c r="H48" i="10"/>
  <c r="F64" i="10" a="1"/>
  <c r="G14" i="10" a="1"/>
  <c r="H54" i="10"/>
  <c r="C16" i="10" a="1"/>
  <c r="H46" i="10"/>
  <c r="G47" i="10"/>
  <c r="F27" i="10"/>
  <c r="G13" i="10" a="1"/>
  <c r="G53" i="10"/>
  <c r="H20" i="10" a="1"/>
  <c r="G45" i="10"/>
  <c r="C46" i="10"/>
  <c r="F37" i="10" a="1"/>
  <c r="H52" i="10"/>
  <c r="G12" i="10" a="1"/>
  <c r="C52" i="10"/>
  <c r="H13" i="10" a="1"/>
  <c r="C44" i="10"/>
  <c r="G52" i="10"/>
  <c r="G51" i="10"/>
  <c r="G11" i="10" a="1"/>
  <c r="C20" i="10" a="1"/>
  <c r="C12" i="10" a="1"/>
  <c r="H50" i="10"/>
  <c r="C14" i="10" a="1"/>
  <c r="F67" i="10" a="1"/>
  <c r="C50" i="10"/>
  <c r="C10" i="10" a="1"/>
  <c r="G54" i="10"/>
  <c r="H44" i="10"/>
  <c r="H47" i="10"/>
  <c r="F34" i="10" a="1"/>
  <c r="G48" i="10"/>
  <c r="H53" i="10"/>
  <c r="C53" i="10"/>
  <c r="G44" i="10"/>
  <c r="G46" i="10"/>
  <c r="F68" i="10" a="1"/>
  <c r="F31" i="10" a="1"/>
  <c r="C47" i="10"/>
  <c r="C51" i="10"/>
  <c r="C54" i="10"/>
  <c r="H17" i="10" a="1"/>
  <c r="C45" i="10"/>
  <c r="F30" i="10"/>
  <c r="F69" i="10" a="1"/>
  <c r="F36" i="10" a="1"/>
  <c r="G20" i="10" a="1"/>
  <c r="C48" i="10"/>
  <c r="H45" i="10"/>
  <c r="H11" i="10" a="1"/>
  <c r="H19" i="10" a="1"/>
  <c r="F70" i="10" a="1"/>
  <c r="F71" i="10" a="1"/>
  <c r="G19" i="10" a="1"/>
  <c r="H10" i="10"/>
  <c r="C17" i="10" a="1"/>
  <c r="H14" i="10" a="1"/>
  <c r="F28" i="10"/>
  <c r="F33" i="10" a="1"/>
  <c r="G18" i="10" a="1"/>
  <c r="C18" i="10" a="1"/>
  <c r="H12" i="10" a="1"/>
  <c r="H51" i="10"/>
  <c r="F62" i="10" a="1"/>
  <c r="F61" i="10" a="1"/>
  <c r="G17" i="10" a="1"/>
  <c r="C11" i="10" a="1"/>
  <c r="H16" i="10" a="1"/>
  <c r="H18" i="10" a="1"/>
  <c r="G50" i="10"/>
  <c r="F63" i="10" a="1"/>
  <c r="G16" i="8" a="1"/>
  <c r="R52" i="8"/>
  <c r="S52" i="8"/>
  <c r="N46" i="8"/>
  <c r="H17" i="8" a="1"/>
  <c r="C54" i="8"/>
  <c r="R19" i="8" a="1"/>
  <c r="R44" i="8"/>
  <c r="S19" i="8" a="1"/>
  <c r="G48" i="8"/>
  <c r="S16" i="8" a="1"/>
  <c r="R54" i="8"/>
  <c r="S53" i="8"/>
  <c r="F62" i="8" a="1"/>
  <c r="R47" i="8"/>
  <c r="H10" i="8"/>
  <c r="H50" i="8"/>
  <c r="R20" i="8" a="1"/>
  <c r="S45" i="8"/>
  <c r="S20" i="8" a="1"/>
  <c r="C50" i="8"/>
  <c r="F67" i="8" a="1"/>
  <c r="G13" i="8" a="1"/>
  <c r="H13" i="8" a="1"/>
  <c r="F70" i="8" a="1"/>
  <c r="S48" i="8"/>
  <c r="N12" i="8" a="1"/>
  <c r="F65" i="8" a="1"/>
  <c r="F31" i="8" a="1"/>
  <c r="C52" i="8"/>
  <c r="S44" i="8"/>
  <c r="G51" i="8"/>
  <c r="G47" i="8"/>
  <c r="R10" i="8" a="1"/>
  <c r="G20" i="8" a="1"/>
  <c r="H19" i="8" a="1"/>
  <c r="G12" i="8" a="1"/>
  <c r="G14" i="8" a="1"/>
  <c r="R50" i="8"/>
  <c r="N13" i="8" a="1"/>
  <c r="G19" i="8" a="1"/>
  <c r="F35" i="8" a="1"/>
  <c r="G53" i="8"/>
  <c r="C48" i="8"/>
  <c r="H52" i="8"/>
  <c r="S10" i="8"/>
  <c r="S17" i="8" a="1"/>
  <c r="F34" i="8" a="1"/>
  <c r="H20" i="8" a="1"/>
  <c r="G18" i="8" a="1"/>
  <c r="H11" i="8" a="1"/>
  <c r="S51" i="8"/>
  <c r="N16" i="8" a="1"/>
  <c r="G45" i="8"/>
  <c r="N44" i="8"/>
  <c r="H54" i="8"/>
  <c r="C51" i="8"/>
  <c r="F61" i="8" a="1"/>
  <c r="G54" i="8"/>
  <c r="F33" i="8" a="1"/>
  <c r="G44" i="8"/>
  <c r="F27" i="8"/>
  <c r="H46" i="8"/>
  <c r="H14" i="8" a="1"/>
  <c r="N18" i="8" a="1"/>
  <c r="R11" i="8" a="1"/>
  <c r="R45" i="8"/>
  <c r="S11" i="8" a="1"/>
  <c r="G52" i="8"/>
  <c r="F36" i="8" a="1"/>
  <c r="R14" i="8" a="1"/>
  <c r="H45" i="8"/>
  <c r="F30" i="8"/>
  <c r="G10" i="8" a="1"/>
  <c r="H18" i="8" a="1"/>
  <c r="F64" i="8" a="1"/>
  <c r="N10" i="8" a="1"/>
  <c r="R12" i="8" a="1"/>
  <c r="S46" i="8"/>
  <c r="S12" i="8" a="1"/>
  <c r="H53" i="8"/>
  <c r="S14" i="8" a="1"/>
  <c r="H48" i="8"/>
  <c r="N52" i="8"/>
  <c r="H16" i="8" a="1"/>
  <c r="N11" i="8" a="1"/>
  <c r="N54" i="8"/>
  <c r="F28" i="8"/>
  <c r="R13" i="8" a="1"/>
  <c r="C53" i="8"/>
  <c r="S13" i="8" a="1"/>
  <c r="F69" i="8" a="1"/>
  <c r="C46" i="8"/>
  <c r="F29" i="8" a="1"/>
  <c r="R53" i="8"/>
  <c r="F37" i="8" a="1"/>
  <c r="N47" i="8"/>
  <c r="N14" i="8" a="1"/>
  <c r="C10" i="8" a="1"/>
  <c r="N45" i="8"/>
  <c r="G50" i="8"/>
  <c r="S54" i="8"/>
  <c r="H44" i="8"/>
  <c r="R48" i="8"/>
  <c r="N17" i="8" a="1"/>
  <c r="G17" i="8" a="1"/>
  <c r="R46" i="8"/>
  <c r="R16" i="8" a="1"/>
  <c r="F68" i="8" a="1"/>
  <c r="N48" i="8"/>
  <c r="N50" i="8"/>
  <c r="N19" i="8" a="1"/>
  <c r="C44" i="8"/>
  <c r="S47" i="8"/>
  <c r="R17" i="8" a="1"/>
  <c r="G11" i="8" a="1"/>
  <c r="N51" i="8"/>
  <c r="R51" i="8"/>
  <c r="N20" i="8" a="1"/>
  <c r="H12" i="8" a="1"/>
  <c r="S50" i="8"/>
  <c r="R18" i="8" a="1"/>
  <c r="S18" i="8" a="1"/>
  <c r="C47" i="8"/>
  <c r="F63" i="8" a="1"/>
  <c r="F29" i="9" a="1"/>
  <c r="F33" i="9" a="1"/>
  <c r="F34" i="9" a="1"/>
  <c r="F31" i="9" a="1"/>
  <c r="F35" i="9" a="1"/>
  <c r="F67" i="9" a="1"/>
  <c r="F27" i="9"/>
  <c r="F65" i="9" a="1"/>
  <c r="F30" i="9"/>
  <c r="F70" i="9" a="1"/>
  <c r="F36" i="9" a="1"/>
  <c r="F37" i="9" a="1"/>
  <c r="F63" i="9" a="1"/>
  <c r="F64" i="9" a="1"/>
  <c r="F61" i="9" a="1"/>
  <c r="F69" i="9" a="1"/>
  <c r="F68" i="9" a="1"/>
  <c r="F71" i="9" a="1"/>
  <c r="F28" i="9"/>
  <c r="F62" i="9" a="1"/>
  <c r="H54" i="9"/>
  <c r="C14" i="9" a="1"/>
  <c r="G17" i="9" a="1"/>
  <c r="G50" i="9"/>
  <c r="C16" i="9" a="1"/>
  <c r="C13" i="9" a="1"/>
  <c r="H50" i="9"/>
  <c r="G44" i="9"/>
  <c r="H44" i="9"/>
  <c r="G13" i="9" a="1"/>
  <c r="C45" i="9"/>
  <c r="G54" i="9"/>
  <c r="H13" i="9" a="1"/>
  <c r="C47" i="9"/>
  <c r="H16" i="9" a="1"/>
  <c r="C17" i="9" a="1"/>
  <c r="C10" i="9" a="1"/>
  <c r="C11" i="9" a="1"/>
  <c r="C20" i="9" a="1"/>
  <c r="G18" i="9" a="1"/>
  <c r="H51" i="9"/>
  <c r="H20" i="9" a="1"/>
  <c r="C52" i="9"/>
  <c r="H14" i="9" a="1"/>
  <c r="C19" i="9" a="1"/>
  <c r="C12" i="9" a="1"/>
  <c r="H52" i="9"/>
  <c r="C48" i="9"/>
  <c r="H17" i="9" a="1"/>
  <c r="G14" i="9" a="1"/>
  <c r="G16" i="9" a="1"/>
  <c r="G53" i="9"/>
  <c r="H47" i="9"/>
  <c r="H53" i="9"/>
  <c r="C18" i="9" a="1"/>
  <c r="C51" i="9"/>
  <c r="G46" i="9"/>
  <c r="H48" i="9"/>
  <c r="G51" i="9"/>
  <c r="C53" i="9"/>
  <c r="G12" i="9" a="1"/>
  <c r="G52" i="9"/>
  <c r="H45" i="9"/>
  <c r="C54" i="9"/>
  <c r="H19" i="9" a="1"/>
  <c r="H18" i="9" a="1"/>
  <c r="C46" i="9"/>
  <c r="C50" i="9"/>
  <c r="H46" i="9"/>
  <c r="G45" i="9"/>
  <c r="G20" i="9" a="1"/>
  <c r="C44" i="9"/>
  <c r="G19" i="9" a="1"/>
  <c r="H12" i="9" a="1"/>
  <c r="G47" i="9"/>
  <c r="G48" i="9"/>
  <c r="T31" i="11"/>
  <c r="T33" i="11"/>
  <c r="T30" i="11"/>
  <c r="T29" i="11"/>
  <c r="T37" i="11"/>
  <c r="T34" i="11"/>
  <c r="T67" i="11"/>
  <c r="T36" i="11"/>
  <c r="T27" i="11"/>
  <c r="T28" i="11"/>
  <c r="T65" i="11"/>
  <c r="T35" i="11"/>
  <c r="T70" i="11"/>
  <c r="C71" i="9" l="1"/>
  <c r="F63" i="10"/>
  <c r="G63" i="10" s="1"/>
  <c r="H18" i="10"/>
  <c r="H16" i="10"/>
  <c r="C11" i="10"/>
  <c r="D28" i="10" s="1"/>
  <c r="G17" i="10"/>
  <c r="F61" i="10"/>
  <c r="G61" i="10" s="1"/>
  <c r="F62" i="10"/>
  <c r="G62" i="10" s="1"/>
  <c r="C68" i="10"/>
  <c r="H12" i="10"/>
  <c r="C18" i="10"/>
  <c r="D35" i="10" s="1"/>
  <c r="G18" i="10"/>
  <c r="F33" i="10"/>
  <c r="G33" i="10" s="1"/>
  <c r="G28" i="10"/>
  <c r="H14" i="10"/>
  <c r="C17" i="10"/>
  <c r="D34" i="10" s="1"/>
  <c r="C27" i="10"/>
  <c r="J44" i="10"/>
  <c r="I44" i="10" s="1"/>
  <c r="G19" i="10"/>
  <c r="F71" i="10"/>
  <c r="G71" i="10" s="1"/>
  <c r="F70" i="10"/>
  <c r="G70" i="10" s="1"/>
  <c r="H19" i="10"/>
  <c r="H11" i="10"/>
  <c r="C62" i="10"/>
  <c r="H62" i="10" s="1"/>
  <c r="D65" i="10"/>
  <c r="G20" i="10"/>
  <c r="F36" i="10"/>
  <c r="G36" i="10" s="1"/>
  <c r="F69" i="10"/>
  <c r="G69" i="10" s="1"/>
  <c r="G30" i="10"/>
  <c r="D62" i="10"/>
  <c r="H17" i="10"/>
  <c r="D71" i="10"/>
  <c r="D68" i="10"/>
  <c r="D64" i="10"/>
  <c r="F31" i="10"/>
  <c r="G31" i="10" s="1"/>
  <c r="F68" i="10"/>
  <c r="G68" i="10" s="1"/>
  <c r="D70" i="10"/>
  <c r="C70" i="10"/>
  <c r="F34" i="10"/>
  <c r="G34" i="10" s="1"/>
  <c r="C64" i="10"/>
  <c r="C61" i="10"/>
  <c r="H61" i="10" s="1"/>
  <c r="C10" i="10"/>
  <c r="D27" i="10" s="1"/>
  <c r="D67" i="10"/>
  <c r="F67" i="10"/>
  <c r="G67" i="10" s="1"/>
  <c r="C14" i="10"/>
  <c r="D31" i="10" s="1"/>
  <c r="C67" i="10"/>
  <c r="C12" i="10"/>
  <c r="D29" i="10" s="1"/>
  <c r="C20" i="10"/>
  <c r="D37" i="10" s="1"/>
  <c r="G11" i="10"/>
  <c r="D61" i="10"/>
  <c r="H13" i="10"/>
  <c r="D69" i="10"/>
  <c r="G12" i="10"/>
  <c r="C69" i="10"/>
  <c r="H69" i="10" s="1"/>
  <c r="F37" i="10"/>
  <c r="G37" i="10" s="1"/>
  <c r="D63" i="10"/>
  <c r="H20" i="10"/>
  <c r="G13" i="10"/>
  <c r="G27" i="10"/>
  <c r="C63" i="10"/>
  <c r="H63" i="10" s="1"/>
  <c r="C16" i="10"/>
  <c r="D33" i="10" s="1"/>
  <c r="C71" i="10"/>
  <c r="H71" i="10" s="1"/>
  <c r="G14" i="10"/>
  <c r="F64" i="10"/>
  <c r="G64" i="10" s="1"/>
  <c r="C65" i="10"/>
  <c r="H65" i="10" s="1"/>
  <c r="C13" i="10"/>
  <c r="D30" i="10" s="1"/>
  <c r="G10" i="10"/>
  <c r="C19" i="10"/>
  <c r="D36" i="10" s="1"/>
  <c r="G16" i="10"/>
  <c r="O42" i="10"/>
  <c r="N57" i="10"/>
  <c r="H14" i="9"/>
  <c r="C11" i="9"/>
  <c r="D28" i="9" s="1"/>
  <c r="C13" i="9"/>
  <c r="D30" i="9" s="1"/>
  <c r="F37" i="9"/>
  <c r="G37" i="9" s="1"/>
  <c r="C12" i="9"/>
  <c r="D29" i="9" s="1"/>
  <c r="D67" i="9"/>
  <c r="C62" i="9"/>
  <c r="F36" i="9"/>
  <c r="G36" i="9" s="1"/>
  <c r="D69" i="9"/>
  <c r="C61" i="9"/>
  <c r="H13" i="9"/>
  <c r="D62" i="9"/>
  <c r="F67" i="9"/>
  <c r="G67" i="9" s="1"/>
  <c r="F31" i="9"/>
  <c r="G31" i="9" s="1"/>
  <c r="C70" i="9"/>
  <c r="D63" i="9"/>
  <c r="C64" i="9"/>
  <c r="F33" i="9"/>
  <c r="G33" i="9" s="1"/>
  <c r="F69" i="9"/>
  <c r="G69" i="9" s="1"/>
  <c r="C20" i="9"/>
  <c r="D37" i="9" s="1"/>
  <c r="C10" i="9"/>
  <c r="D27" i="9" s="1"/>
  <c r="C16" i="9"/>
  <c r="D33" i="9" s="1"/>
  <c r="F61" i="9"/>
  <c r="G61" i="9" s="1"/>
  <c r="F71" i="9"/>
  <c r="G71" i="9" s="1"/>
  <c r="H71" i="9" s="1"/>
  <c r="H18" i="9"/>
  <c r="G12" i="9"/>
  <c r="C65" i="9"/>
  <c r="G16" i="9"/>
  <c r="H20" i="9"/>
  <c r="F68" i="9"/>
  <c r="G68" i="9" s="1"/>
  <c r="F63" i="9"/>
  <c r="G63" i="9" s="1"/>
  <c r="H12" i="9"/>
  <c r="G13" i="9"/>
  <c r="G19" i="9"/>
  <c r="D71" i="9"/>
  <c r="G30" i="9"/>
  <c r="F65" i="9"/>
  <c r="G65" i="9" s="1"/>
  <c r="G14" i="9"/>
  <c r="C68" i="9"/>
  <c r="C69" i="9"/>
  <c r="G27" i="9"/>
  <c r="F70" i="9"/>
  <c r="G70" i="9" s="1"/>
  <c r="F35" i="9"/>
  <c r="G35" i="9" s="1"/>
  <c r="G17" i="9"/>
  <c r="D61" i="9"/>
  <c r="C19" i="9"/>
  <c r="D36" i="9" s="1"/>
  <c r="F34" i="9"/>
  <c r="G34" i="9" s="1"/>
  <c r="D70" i="9"/>
  <c r="D68" i="9"/>
  <c r="H17" i="9"/>
  <c r="G18" i="9"/>
  <c r="F29" i="9"/>
  <c r="G29" i="9" s="1"/>
  <c r="C67" i="9"/>
  <c r="F62" i="9"/>
  <c r="G62" i="9" s="1"/>
  <c r="C14" i="9"/>
  <c r="D31" i="9" s="1"/>
  <c r="G20" i="9"/>
  <c r="C63" i="9"/>
  <c r="H19" i="9"/>
  <c r="G28" i="9"/>
  <c r="C18" i="9"/>
  <c r="D35" i="9" s="1"/>
  <c r="D65" i="9"/>
  <c r="D64" i="9"/>
  <c r="J44" i="9"/>
  <c r="I44" i="9" s="1"/>
  <c r="C27" i="9"/>
  <c r="H27" i="9" s="1"/>
  <c r="C17" i="9"/>
  <c r="D34" i="9" s="1"/>
  <c r="H16" i="9"/>
  <c r="F64" i="9"/>
  <c r="G64" i="9" s="1"/>
  <c r="O42" i="9"/>
  <c r="N57" i="9"/>
  <c r="F63" i="8"/>
  <c r="G63" i="8" s="1"/>
  <c r="D64" i="8"/>
  <c r="S18" i="8"/>
  <c r="R18" i="8"/>
  <c r="N67" i="8"/>
  <c r="H12" i="8"/>
  <c r="N20" i="8"/>
  <c r="O37" i="8" s="1"/>
  <c r="O68" i="8"/>
  <c r="G11" i="8"/>
  <c r="R17" i="8"/>
  <c r="N64" i="8"/>
  <c r="D61" i="8"/>
  <c r="N19" i="8"/>
  <c r="O36" i="8" s="1"/>
  <c r="O67" i="8"/>
  <c r="O65" i="8"/>
  <c r="F68" i="8"/>
  <c r="G68" i="8" s="1"/>
  <c r="R16" i="8"/>
  <c r="G17" i="8"/>
  <c r="N17" i="8"/>
  <c r="O34" i="8" s="1"/>
  <c r="C61" i="8"/>
  <c r="N71" i="8"/>
  <c r="O62" i="8"/>
  <c r="C10" i="8"/>
  <c r="D27" i="8" s="1"/>
  <c r="N14" i="8"/>
  <c r="O31" i="8" s="1"/>
  <c r="O64" i="8"/>
  <c r="F37" i="8"/>
  <c r="G37" i="8" s="1"/>
  <c r="F29" i="8"/>
  <c r="G29" i="8" s="1"/>
  <c r="D63" i="8"/>
  <c r="F69" i="8"/>
  <c r="G69" i="8" s="1"/>
  <c r="S13" i="8"/>
  <c r="D70" i="8"/>
  <c r="R13" i="8"/>
  <c r="G28" i="8"/>
  <c r="O71" i="8"/>
  <c r="N11" i="8"/>
  <c r="O28" i="8" s="1"/>
  <c r="H16" i="8"/>
  <c r="O69" i="8"/>
  <c r="C65" i="8"/>
  <c r="S14" i="8"/>
  <c r="C70" i="8"/>
  <c r="S12" i="8"/>
  <c r="N63" i="8"/>
  <c r="R12" i="8"/>
  <c r="N10" i="8"/>
  <c r="O27" i="8" s="1"/>
  <c r="F64" i="8"/>
  <c r="G64" i="8" s="1"/>
  <c r="H64" i="8" s="1"/>
  <c r="H18" i="8"/>
  <c r="G10" i="8"/>
  <c r="G30" i="8"/>
  <c r="C62" i="8"/>
  <c r="R14" i="8"/>
  <c r="F36" i="8"/>
  <c r="G36" i="8" s="1"/>
  <c r="S11" i="8"/>
  <c r="R11" i="8"/>
  <c r="N18" i="8"/>
  <c r="O35" i="8" s="1"/>
  <c r="H14" i="8"/>
  <c r="C63" i="8"/>
  <c r="G27" i="8"/>
  <c r="F33" i="8"/>
  <c r="G33" i="8" s="1"/>
  <c r="F61" i="8"/>
  <c r="G61" i="8" s="1"/>
  <c r="D68" i="8"/>
  <c r="C71" i="8"/>
  <c r="H71" i="8" s="1"/>
  <c r="O61" i="8"/>
  <c r="N16" i="8"/>
  <c r="O33" i="8" s="1"/>
  <c r="N68" i="8"/>
  <c r="H11" i="8"/>
  <c r="G18" i="8"/>
  <c r="H20" i="8"/>
  <c r="F34" i="8"/>
  <c r="G34" i="8" s="1"/>
  <c r="S17" i="8"/>
  <c r="U44" i="8"/>
  <c r="T44" i="8" s="1"/>
  <c r="N27" i="8"/>
  <c r="C69" i="8"/>
  <c r="D65" i="8"/>
  <c r="F35" i="8"/>
  <c r="G35" i="8" s="1"/>
  <c r="G19" i="8"/>
  <c r="N13" i="8"/>
  <c r="O30" i="8" s="1"/>
  <c r="G14" i="8"/>
  <c r="G12" i="8"/>
  <c r="H19" i="8"/>
  <c r="G20" i="8"/>
  <c r="R10" i="8"/>
  <c r="N61" i="8"/>
  <c r="D69" i="8"/>
  <c r="F31" i="8"/>
  <c r="G31" i="8" s="1"/>
  <c r="F65" i="8"/>
  <c r="G65" i="8" s="1"/>
  <c r="N12" i="8"/>
  <c r="O29" i="8" s="1"/>
  <c r="N65" i="8"/>
  <c r="F70" i="8"/>
  <c r="G70" i="8" s="1"/>
  <c r="H13" i="8"/>
  <c r="G13" i="8"/>
  <c r="F67" i="8"/>
  <c r="G67" i="8" s="1"/>
  <c r="D67" i="8"/>
  <c r="S20" i="8"/>
  <c r="N62" i="8"/>
  <c r="R20" i="8"/>
  <c r="C67" i="8"/>
  <c r="H67" i="8" s="1"/>
  <c r="J44" i="8"/>
  <c r="I44" i="8" s="1"/>
  <c r="C27" i="8"/>
  <c r="F62" i="8"/>
  <c r="G62" i="8" s="1"/>
  <c r="N70" i="8"/>
  <c r="S16" i="8"/>
  <c r="S19" i="8"/>
  <c r="R19" i="8"/>
  <c r="D71" i="8"/>
  <c r="H17" i="8"/>
  <c r="O63" i="8"/>
  <c r="N69" i="8"/>
  <c r="G16" i="8"/>
  <c r="N57" i="8"/>
  <c r="H68" i="8"/>
  <c r="J71" i="10"/>
  <c r="I71" i="10" s="1"/>
  <c r="S50" i="10"/>
  <c r="S11" i="10" a="1"/>
  <c r="R51" i="10"/>
  <c r="R11" i="10" a="1"/>
  <c r="N20" i="10" a="1"/>
  <c r="Q68" i="10" a="1"/>
  <c r="S13" i="10" a="1"/>
  <c r="S47" i="10"/>
  <c r="R10" i="10" a="1"/>
  <c r="N50" i="10"/>
  <c r="N17" i="10" a="1"/>
  <c r="N16" i="10" a="1"/>
  <c r="Q65" i="10" a="1"/>
  <c r="R46" i="10"/>
  <c r="N18" i="10" a="1"/>
  <c r="R48" i="10"/>
  <c r="N12" i="10" a="1"/>
  <c r="S46" i="10"/>
  <c r="Q63" i="10" a="1"/>
  <c r="Q67" i="10" a="1"/>
  <c r="J61" i="10"/>
  <c r="I61" i="10" s="1"/>
  <c r="J65" i="10"/>
  <c r="I65" i="10" s="1"/>
  <c r="N45" i="10"/>
  <c r="N14" i="10" a="1"/>
  <c r="N47" i="10"/>
  <c r="N44" i="10"/>
  <c r="S10" i="10"/>
  <c r="Q61" i="10"/>
  <c r="Q64" i="10" a="1"/>
  <c r="R45" i="10"/>
  <c r="J69" i="10"/>
  <c r="I69" i="10" s="1"/>
  <c r="S20" i="10" a="1"/>
  <c r="S51" i="10"/>
  <c r="R20" i="10" a="1"/>
  <c r="S53" i="10"/>
  <c r="N13" i="10" a="1"/>
  <c r="Q62" i="10" a="1"/>
  <c r="R13" i="10" a="1"/>
  <c r="S19" i="10" a="1"/>
  <c r="R50" i="10"/>
  <c r="R19" i="10" a="1"/>
  <c r="R52" i="10"/>
  <c r="R54" i="10"/>
  <c r="J63" i="10"/>
  <c r="I63" i="10" s="1"/>
  <c r="S18" i="10" a="1"/>
  <c r="S48" i="10"/>
  <c r="R18" i="10" a="1"/>
  <c r="N51" i="10"/>
  <c r="N53" i="10"/>
  <c r="N11" i="10" a="1"/>
  <c r="S17" i="10" a="1"/>
  <c r="R47" i="10"/>
  <c r="R17" i="10" a="1"/>
  <c r="N48" i="10"/>
  <c r="N54" i="10"/>
  <c r="R53" i="10"/>
  <c r="S44" i="10"/>
  <c r="S16" i="10" a="1"/>
  <c r="N46" i="10"/>
  <c r="R16" i="10" a="1"/>
  <c r="N10" i="10" a="1"/>
  <c r="Q71" i="10" a="1"/>
  <c r="J62" i="10"/>
  <c r="I62" i="10" s="1"/>
  <c r="S45" i="10"/>
  <c r="S14" i="10" a="1"/>
  <c r="N19" i="10" a="1"/>
  <c r="R14" i="10" a="1"/>
  <c r="S54" i="10"/>
  <c r="Q70" i="10" a="1"/>
  <c r="R44" i="10"/>
  <c r="S12" i="10" a="1"/>
  <c r="S52" i="10"/>
  <c r="R12" i="10" a="1"/>
  <c r="N52" i="10"/>
  <c r="Q69" i="10" a="1"/>
  <c r="J71" i="8"/>
  <c r="I71" i="8" s="1"/>
  <c r="J64" i="8"/>
  <c r="I64" i="8" s="1"/>
  <c r="Q33" i="8"/>
  <c r="Q68" i="8" a="1"/>
  <c r="Q35" i="8"/>
  <c r="Q69" i="8" a="1"/>
  <c r="Q34" i="8"/>
  <c r="Q37" i="8"/>
  <c r="Q62" i="8" a="1"/>
  <c r="Q30" i="8"/>
  <c r="Q67" i="8" a="1"/>
  <c r="Q70" i="8" a="1"/>
  <c r="Q65" i="8" a="1"/>
  <c r="Q31" i="8"/>
  <c r="Q28" i="8"/>
  <c r="Q71" i="8" a="1"/>
  <c r="Q27" i="8"/>
  <c r="Q64" i="8" a="1"/>
  <c r="Q63" i="8" a="1"/>
  <c r="Q29" i="8"/>
  <c r="Q61" i="8"/>
  <c r="J68" i="8"/>
  <c r="I68" i="8" s="1"/>
  <c r="Q36" i="8"/>
  <c r="J67" i="8"/>
  <c r="I67" i="8" s="1"/>
  <c r="Q36" i="10"/>
  <c r="Q34" i="10"/>
  <c r="Q33" i="10"/>
  <c r="Q37" i="10"/>
  <c r="Q35" i="10"/>
  <c r="Q28" i="10"/>
  <c r="Q27" i="10"/>
  <c r="Q29" i="10"/>
  <c r="Q31" i="10"/>
  <c r="Q30" i="10"/>
  <c r="Q69" i="9" a="1"/>
  <c r="Q62" i="9" a="1"/>
  <c r="Q37" i="9"/>
  <c r="Q68" i="9" a="1"/>
  <c r="Q28" i="9"/>
  <c r="Q29" i="9"/>
  <c r="Q67" i="9" a="1"/>
  <c r="Q65" i="9" a="1"/>
  <c r="Q64" i="9" a="1"/>
  <c r="Q36" i="9"/>
  <c r="Q34" i="9"/>
  <c r="Q71" i="9" a="1"/>
  <c r="Q30" i="9"/>
  <c r="Q31" i="9"/>
  <c r="Q63" i="9" a="1"/>
  <c r="Q33" i="9"/>
  <c r="Q70" i="9" a="1"/>
  <c r="Q35" i="9"/>
  <c r="Q61" i="9"/>
  <c r="Q27" i="9"/>
  <c r="N52" i="9"/>
  <c r="N19" i="9" a="1"/>
  <c r="S11" i="9" a="1"/>
  <c r="R52" i="9"/>
  <c r="R45" i="9"/>
  <c r="N54" i="9"/>
  <c r="R46" i="9"/>
  <c r="N50" i="9"/>
  <c r="N13" i="9" a="1"/>
  <c r="S51" i="9"/>
  <c r="N44" i="9"/>
  <c r="S16" i="9" a="1"/>
  <c r="R16" i="9" a="1"/>
  <c r="S46" i="9"/>
  <c r="R17" i="9" a="1"/>
  <c r="S48" i="9"/>
  <c r="N17" i="9" a="1"/>
  <c r="S47" i="9"/>
  <c r="N48" i="9"/>
  <c r="R13" i="9" a="1"/>
  <c r="N47" i="9"/>
  <c r="N11" i="9" a="1"/>
  <c r="R53" i="9"/>
  <c r="N46" i="9"/>
  <c r="S18" i="9" a="1"/>
  <c r="S53" i="9"/>
  <c r="J71" i="9"/>
  <c r="S13" i="9" a="1"/>
  <c r="N53" i="9"/>
  <c r="N10" i="9" a="1"/>
  <c r="S52" i="9"/>
  <c r="N14" i="9" a="1"/>
  <c r="R18" i="9" a="1"/>
  <c r="S44" i="9"/>
  <c r="R44" i="9"/>
  <c r="N20" i="9" a="1"/>
  <c r="R19" i="9" a="1"/>
  <c r="S19" i="9" a="1"/>
  <c r="N51" i="9"/>
  <c r="N45" i="9"/>
  <c r="N18" i="9" a="1"/>
  <c r="J27" i="9"/>
  <c r="S14" i="9" a="1"/>
  <c r="N12" i="9" a="1"/>
  <c r="R50" i="9"/>
  <c r="S17" i="9" a="1"/>
  <c r="R48" i="9"/>
  <c r="S45" i="9"/>
  <c r="R14" i="9" a="1"/>
  <c r="R47" i="9"/>
  <c r="R10" i="9" a="1"/>
  <c r="S10" i="9"/>
  <c r="S50" i="9"/>
  <c r="S54" i="9"/>
  <c r="R11" i="9" a="1"/>
  <c r="R51" i="9"/>
  <c r="N16" i="9" a="1"/>
  <c r="R54" i="9"/>
  <c r="H69" i="9" l="1"/>
  <c r="H63" i="9"/>
  <c r="H63" i="8"/>
  <c r="H67" i="9"/>
  <c r="H67" i="10"/>
  <c r="Q69" i="10"/>
  <c r="R69" i="10" s="1"/>
  <c r="R36" i="10"/>
  <c r="O69" i="10"/>
  <c r="R12" i="10"/>
  <c r="N69" i="10"/>
  <c r="S69" i="10" s="1"/>
  <c r="S12" i="10"/>
  <c r="R27" i="10"/>
  <c r="R35" i="10"/>
  <c r="Q70" i="10"/>
  <c r="R70" i="10" s="1"/>
  <c r="N71" i="10"/>
  <c r="R14" i="10"/>
  <c r="N19" i="10"/>
  <c r="O36" i="10" s="1"/>
  <c r="S14" i="10"/>
  <c r="N62" i="10"/>
  <c r="Q71" i="10"/>
  <c r="R71" i="10" s="1"/>
  <c r="N10" i="10"/>
  <c r="O27" i="10" s="1"/>
  <c r="R16" i="10"/>
  <c r="O63" i="10"/>
  <c r="S16" i="10"/>
  <c r="N61" i="10"/>
  <c r="R37" i="10"/>
  <c r="O71" i="10"/>
  <c r="O65" i="10"/>
  <c r="R17" i="10"/>
  <c r="S17" i="10"/>
  <c r="N11" i="10"/>
  <c r="O28" i="10" s="1"/>
  <c r="R29" i="10"/>
  <c r="O70" i="10"/>
  <c r="O68" i="10"/>
  <c r="R18" i="10"/>
  <c r="N65" i="10"/>
  <c r="S18" i="10"/>
  <c r="R34" i="10"/>
  <c r="R33" i="10"/>
  <c r="R19" i="10"/>
  <c r="S19" i="10"/>
  <c r="R13" i="10"/>
  <c r="Q62" i="10"/>
  <c r="R62" i="10" s="1"/>
  <c r="N13" i="10"/>
  <c r="O30" i="10" s="1"/>
  <c r="N70" i="10"/>
  <c r="R20" i="10"/>
  <c r="N68" i="10"/>
  <c r="S20" i="10"/>
  <c r="Q64" i="10"/>
  <c r="R64" i="10" s="1"/>
  <c r="R61" i="10"/>
  <c r="N27" i="10"/>
  <c r="U44" i="10"/>
  <c r="T44" i="10" s="1"/>
  <c r="O61" i="10"/>
  <c r="O64" i="10"/>
  <c r="N14" i="10"/>
  <c r="O31" i="10" s="1"/>
  <c r="O62" i="10"/>
  <c r="R30" i="10"/>
  <c r="Q67" i="10"/>
  <c r="R67" i="10" s="1"/>
  <c r="Q63" i="10"/>
  <c r="R63" i="10" s="1"/>
  <c r="N63" i="10"/>
  <c r="N12" i="10"/>
  <c r="O29" i="10" s="1"/>
  <c r="N18" i="10"/>
  <c r="O35" i="10" s="1"/>
  <c r="R28" i="10"/>
  <c r="Q65" i="10"/>
  <c r="R65" i="10" s="1"/>
  <c r="N16" i="10"/>
  <c r="O33" i="10" s="1"/>
  <c r="N17" i="10"/>
  <c r="O34" i="10" s="1"/>
  <c r="O67" i="10"/>
  <c r="R10" i="10"/>
  <c r="N64" i="10"/>
  <c r="S13" i="10"/>
  <c r="R31" i="10"/>
  <c r="Q68" i="10"/>
  <c r="R68" i="10" s="1"/>
  <c r="N20" i="10"/>
  <c r="O37" i="10" s="1"/>
  <c r="R11" i="10"/>
  <c r="S11" i="10"/>
  <c r="N67" i="10"/>
  <c r="J45" i="10"/>
  <c r="I45" i="10" s="1"/>
  <c r="C28" i="10"/>
  <c r="H28" i="10" s="1"/>
  <c r="J53" i="10"/>
  <c r="I53" i="10" s="1"/>
  <c r="C36" i="10"/>
  <c r="H36" i="10" s="1"/>
  <c r="C29" i="10"/>
  <c r="H29" i="10" s="1"/>
  <c r="J46" i="10"/>
  <c r="I46" i="10" s="1"/>
  <c r="J54" i="10"/>
  <c r="I54" i="10" s="1"/>
  <c r="C37" i="10"/>
  <c r="H37" i="10" s="1"/>
  <c r="H68" i="10"/>
  <c r="H69" i="8"/>
  <c r="J51" i="10"/>
  <c r="I51" i="10" s="1"/>
  <c r="C34" i="10"/>
  <c r="H34" i="10" s="1"/>
  <c r="H27" i="10"/>
  <c r="H64" i="10"/>
  <c r="C33" i="10"/>
  <c r="H33" i="10" s="1"/>
  <c r="J50" i="10"/>
  <c r="I50" i="10" s="1"/>
  <c r="J47" i="10"/>
  <c r="I47" i="10" s="1"/>
  <c r="C30" i="10"/>
  <c r="H30" i="10" s="1"/>
  <c r="C31" i="10"/>
  <c r="H31" i="10" s="1"/>
  <c r="J48" i="10"/>
  <c r="I48" i="10" s="1"/>
  <c r="C35" i="10"/>
  <c r="H35" i="10" s="1"/>
  <c r="J52" i="10"/>
  <c r="I52" i="10" s="1"/>
  <c r="H70" i="10"/>
  <c r="R61" i="9"/>
  <c r="Q70" i="9"/>
  <c r="R70" i="9" s="1"/>
  <c r="N71" i="9"/>
  <c r="R14" i="9"/>
  <c r="Q63" i="9"/>
  <c r="R63" i="9" s="1"/>
  <c r="N61" i="9"/>
  <c r="S13" i="9"/>
  <c r="N11" i="9"/>
  <c r="O28" i="9" s="1"/>
  <c r="O65" i="9"/>
  <c r="R17" i="9"/>
  <c r="N68" i="9"/>
  <c r="R30" i="9"/>
  <c r="N67" i="9"/>
  <c r="N62" i="9"/>
  <c r="N12" i="9"/>
  <c r="O29" i="9" s="1"/>
  <c r="O68" i="9"/>
  <c r="R18" i="9"/>
  <c r="R34" i="9"/>
  <c r="N64" i="9"/>
  <c r="N63" i="9"/>
  <c r="N13" i="9"/>
  <c r="O30" i="9" s="1"/>
  <c r="Q64" i="9"/>
  <c r="R64" i="9" s="1"/>
  <c r="Q67" i="9"/>
  <c r="R67" i="9" s="1"/>
  <c r="S14" i="9"/>
  <c r="S19" i="9"/>
  <c r="N14" i="9"/>
  <c r="O31" i="9" s="1"/>
  <c r="N70" i="9"/>
  <c r="S70" i="9" s="1"/>
  <c r="O64" i="9"/>
  <c r="R28" i="9"/>
  <c r="R37" i="9"/>
  <c r="S11" i="9"/>
  <c r="N16" i="9"/>
  <c r="O33" i="9" s="1"/>
  <c r="Q62" i="9"/>
  <c r="R62" i="9" s="1"/>
  <c r="Q69" i="9"/>
  <c r="R69" i="9" s="1"/>
  <c r="S18" i="9"/>
  <c r="N17" i="9"/>
  <c r="O34" i="9" s="1"/>
  <c r="R16" i="9"/>
  <c r="O67" i="9"/>
  <c r="R27" i="9"/>
  <c r="R35" i="9"/>
  <c r="U44" i="9"/>
  <c r="T44" i="9" s="1"/>
  <c r="S17" i="9"/>
  <c r="N18" i="9"/>
  <c r="O35" i="9" s="1"/>
  <c r="R19" i="9"/>
  <c r="N69" i="9"/>
  <c r="R33" i="9"/>
  <c r="R31" i="9"/>
  <c r="S16" i="9"/>
  <c r="N19" i="9"/>
  <c r="O36" i="9" s="1"/>
  <c r="R10" i="9"/>
  <c r="Q71" i="9"/>
  <c r="R71" i="9" s="1"/>
  <c r="O62" i="9"/>
  <c r="N20" i="9"/>
  <c r="O37" i="9" s="1"/>
  <c r="N10" i="9"/>
  <c r="O27" i="9" s="1"/>
  <c r="O63" i="9"/>
  <c r="R36" i="9"/>
  <c r="Q65" i="9"/>
  <c r="R65" i="9" s="1"/>
  <c r="O61" i="9"/>
  <c r="O71" i="9"/>
  <c r="O69" i="9"/>
  <c r="R11" i="9"/>
  <c r="R29" i="9"/>
  <c r="Q68" i="9"/>
  <c r="R68" i="9" s="1"/>
  <c r="O70" i="9"/>
  <c r="R13" i="9"/>
  <c r="N65" i="9"/>
  <c r="J53" i="9"/>
  <c r="I53" i="9" s="1"/>
  <c r="C36" i="9"/>
  <c r="H36" i="9" s="1"/>
  <c r="J47" i="9"/>
  <c r="I47" i="9" s="1"/>
  <c r="C30" i="9"/>
  <c r="H30" i="9" s="1"/>
  <c r="H61" i="9"/>
  <c r="J50" i="9"/>
  <c r="I50" i="9" s="1"/>
  <c r="C33" i="9"/>
  <c r="H33" i="9" s="1"/>
  <c r="J46" i="9"/>
  <c r="I46" i="9" s="1"/>
  <c r="H62" i="9"/>
  <c r="C37" i="9"/>
  <c r="H37" i="9" s="1"/>
  <c r="J54" i="9"/>
  <c r="I54" i="9" s="1"/>
  <c r="H64" i="9"/>
  <c r="J45" i="9"/>
  <c r="I45" i="9" s="1"/>
  <c r="C28" i="9"/>
  <c r="J51" i="9"/>
  <c r="I51" i="9" s="1"/>
  <c r="C34" i="9"/>
  <c r="H34" i="9" s="1"/>
  <c r="H68" i="9"/>
  <c r="H65" i="9"/>
  <c r="H70" i="9"/>
  <c r="C35" i="9"/>
  <c r="H35" i="9" s="1"/>
  <c r="J52" i="9"/>
  <c r="I52" i="9" s="1"/>
  <c r="C31" i="9"/>
  <c r="H31" i="9" s="1"/>
  <c r="J48" i="9"/>
  <c r="I48" i="9" s="1"/>
  <c r="R36" i="8"/>
  <c r="R61" i="8"/>
  <c r="R29" i="8"/>
  <c r="Q63" i="8"/>
  <c r="R63" i="8" s="1"/>
  <c r="Q64" i="8"/>
  <c r="R64" i="8" s="1"/>
  <c r="S64" i="8" s="1"/>
  <c r="R27" i="8"/>
  <c r="Q71" i="8"/>
  <c r="R71" i="8" s="1"/>
  <c r="R28" i="8"/>
  <c r="R31" i="8"/>
  <c r="Q65" i="8"/>
  <c r="R65" i="8" s="1"/>
  <c r="S65" i="8" s="1"/>
  <c r="Q70" i="8"/>
  <c r="R70" i="8" s="1"/>
  <c r="S70" i="8" s="1"/>
  <c r="Q67" i="8"/>
  <c r="R67" i="8" s="1"/>
  <c r="S67" i="8" s="1"/>
  <c r="R30" i="8"/>
  <c r="Q62" i="8"/>
  <c r="R62" i="8" s="1"/>
  <c r="R37" i="8"/>
  <c r="R34" i="8"/>
  <c r="Q69" i="8"/>
  <c r="R69" i="8" s="1"/>
  <c r="R35" i="8"/>
  <c r="Q68" i="8"/>
  <c r="R68" i="8" s="1"/>
  <c r="S68" i="8" s="1"/>
  <c r="R33" i="8"/>
  <c r="C33" i="8"/>
  <c r="H33" i="8" s="1"/>
  <c r="J50" i="8"/>
  <c r="I50" i="8" s="1"/>
  <c r="S69" i="8"/>
  <c r="S27" i="8"/>
  <c r="S62" i="8"/>
  <c r="S61" i="8"/>
  <c r="J52" i="8"/>
  <c r="I52" i="8" s="1"/>
  <c r="C35" i="8"/>
  <c r="H35" i="8" s="1"/>
  <c r="C34" i="8"/>
  <c r="H34" i="8" s="1"/>
  <c r="J51" i="8"/>
  <c r="I51" i="8" s="1"/>
  <c r="N37" i="8"/>
  <c r="S37" i="8" s="1"/>
  <c r="U54" i="8"/>
  <c r="T54" i="8" s="1"/>
  <c r="N34" i="8"/>
  <c r="S34" i="8" s="1"/>
  <c r="U51" i="8"/>
  <c r="T51" i="8" s="1"/>
  <c r="S71" i="8"/>
  <c r="H61" i="8"/>
  <c r="J53" i="8"/>
  <c r="I53" i="8" s="1"/>
  <c r="C36" i="8"/>
  <c r="H36" i="8" s="1"/>
  <c r="J54" i="8"/>
  <c r="I54" i="8" s="1"/>
  <c r="C37" i="8"/>
  <c r="H37" i="8" s="1"/>
  <c r="C31" i="8"/>
  <c r="H31" i="8" s="1"/>
  <c r="J48" i="8"/>
  <c r="I48" i="8" s="1"/>
  <c r="U53" i="8"/>
  <c r="T53" i="8" s="1"/>
  <c r="N36" i="8"/>
  <c r="S63" i="8"/>
  <c r="N30" i="8"/>
  <c r="U47" i="8"/>
  <c r="T47" i="8" s="1"/>
  <c r="C29" i="8"/>
  <c r="H29" i="8" s="1"/>
  <c r="J46" i="8"/>
  <c r="I46" i="8" s="1"/>
  <c r="U50" i="8"/>
  <c r="T50" i="8" s="1"/>
  <c r="N33" i="8"/>
  <c r="C30" i="8"/>
  <c r="H30" i="8" s="1"/>
  <c r="J47" i="8"/>
  <c r="I47" i="8" s="1"/>
  <c r="J45" i="8"/>
  <c r="I45" i="8" s="1"/>
  <c r="C28" i="8"/>
  <c r="H28" i="8" s="1"/>
  <c r="U46" i="8"/>
  <c r="T46" i="8" s="1"/>
  <c r="N29" i="8"/>
  <c r="S29" i="8" s="1"/>
  <c r="N28" i="8"/>
  <c r="S28" i="8" s="1"/>
  <c r="U45" i="8"/>
  <c r="T45" i="8" s="1"/>
  <c r="H70" i="8"/>
  <c r="U48" i="8"/>
  <c r="T48" i="8" s="1"/>
  <c r="N31" i="8"/>
  <c r="U52" i="8"/>
  <c r="T52" i="8" s="1"/>
  <c r="N35" i="8"/>
  <c r="S35" i="8" s="1"/>
  <c r="H27" i="8"/>
  <c r="H65" i="8"/>
  <c r="H62" i="8"/>
  <c r="J63" i="8"/>
  <c r="I63" i="8" s="1"/>
  <c r="J67" i="10"/>
  <c r="I67" i="10" s="1"/>
  <c r="J28" i="10"/>
  <c r="I28" i="10" s="1" a="1"/>
  <c r="J64" i="10"/>
  <c r="I64" i="10" s="1"/>
  <c r="J33" i="10"/>
  <c r="I33" i="10" s="1"/>
  <c r="J35" i="10"/>
  <c r="I35" i="10" s="1"/>
  <c r="J36" i="10"/>
  <c r="I36" i="10" s="1"/>
  <c r="J29" i="10"/>
  <c r="I29" i="10" s="1" a="1"/>
  <c r="U69" i="10"/>
  <c r="T69" i="10" s="1"/>
  <c r="J30" i="10"/>
  <c r="I30" i="10" s="1" a="1"/>
  <c r="J31" i="10"/>
  <c r="I31" i="10" s="1"/>
  <c r="J68" i="10"/>
  <c r="I68" i="10" s="1"/>
  <c r="J37" i="10"/>
  <c r="I37" i="10" s="1"/>
  <c r="J69" i="8"/>
  <c r="I69" i="8" s="1"/>
  <c r="J70" i="10"/>
  <c r="I70" i="10" s="1"/>
  <c r="J27" i="10"/>
  <c r="I27" i="10" s="1" a="1"/>
  <c r="J34" i="10"/>
  <c r="I34" i="10" s="1"/>
  <c r="J61" i="8"/>
  <c r="I61" i="8" s="1"/>
  <c r="J29" i="8"/>
  <c r="I29" i="8" s="1" a="1"/>
  <c r="J31" i="8"/>
  <c r="I31" i="8" s="1"/>
  <c r="U62" i="8"/>
  <c r="T62" i="8" s="1"/>
  <c r="U28" i="8"/>
  <c r="T28" i="8" s="1"/>
  <c r="U69" i="8"/>
  <c r="T69" i="8" s="1"/>
  <c r="U61" i="8"/>
  <c r="T61" i="8" s="1"/>
  <c r="J36" i="8"/>
  <c r="I36" i="8" s="1"/>
  <c r="J70" i="8"/>
  <c r="I70" i="8" s="1"/>
  <c r="U35" i="8"/>
  <c r="T35" i="8" s="1"/>
  <c r="J35" i="8"/>
  <c r="I35" i="8" s="1"/>
  <c r="J37" i="8"/>
  <c r="I37" i="8" s="1"/>
  <c r="J30" i="8"/>
  <c r="I30" i="8" s="1" a="1"/>
  <c r="U34" i="8"/>
  <c r="T34" i="8" s="1"/>
  <c r="J34" i="8"/>
  <c r="I34" i="8" s="1"/>
  <c r="U63" i="8"/>
  <c r="T63" i="8" s="1"/>
  <c r="J27" i="8"/>
  <c r="I27" i="8" s="1" a="1"/>
  <c r="U70" i="8"/>
  <c r="T70" i="8" s="1"/>
  <c r="U29" i="8"/>
  <c r="T29" i="8" s="1"/>
  <c r="J65" i="8"/>
  <c r="I65" i="8" s="1"/>
  <c r="J62" i="8"/>
  <c r="I62" i="8" s="1"/>
  <c r="U37" i="8"/>
  <c r="T37" i="8" s="1"/>
  <c r="J28" i="8"/>
  <c r="I28" i="8" s="1" a="1"/>
  <c r="U27" i="8"/>
  <c r="T27" i="8" s="1"/>
  <c r="J33" i="8"/>
  <c r="I33" i="8" s="1"/>
  <c r="U71" i="8"/>
  <c r="T71" i="8" s="1"/>
  <c r="U68" i="8"/>
  <c r="T68" i="8" s="1"/>
  <c r="U64" i="8"/>
  <c r="T64" i="8" s="1"/>
  <c r="U67" i="8"/>
  <c r="T67" i="8" s="1"/>
  <c r="U65" i="8"/>
  <c r="T65" i="8" s="1"/>
  <c r="J69" i="9"/>
  <c r="J63" i="9"/>
  <c r="I27" i="9" a="1"/>
  <c r="U70" i="9"/>
  <c r="J62" i="9"/>
  <c r="I71" i="9"/>
  <c r="J67" i="9"/>
  <c r="J30" i="9"/>
  <c r="I69" i="9"/>
  <c r="J61" i="9"/>
  <c r="I63" i="9"/>
  <c r="J34" i="9"/>
  <c r="J68" i="9"/>
  <c r="J33" i="9"/>
  <c r="J64" i="9"/>
  <c r="J65" i="9"/>
  <c r="J36" i="9"/>
  <c r="J70" i="9"/>
  <c r="J37" i="9"/>
  <c r="J31" i="9"/>
  <c r="J35" i="9"/>
  <c r="S69" i="9" l="1"/>
  <c r="S65" i="9"/>
  <c r="S63" i="9"/>
  <c r="H28" i="9"/>
  <c r="C29" i="9"/>
  <c r="H29" i="9" s="1"/>
  <c r="I27" i="9"/>
  <c r="S67" i="10"/>
  <c r="S27" i="10"/>
  <c r="S71" i="10"/>
  <c r="S61" i="10"/>
  <c r="S63" i="10"/>
  <c r="I27" i="10"/>
  <c r="I30" i="10"/>
  <c r="I29" i="10"/>
  <c r="I28" i="10"/>
  <c r="N36" i="10"/>
  <c r="S36" i="10" s="1"/>
  <c r="U53" i="10"/>
  <c r="T53" i="10" s="1"/>
  <c r="U52" i="10"/>
  <c r="T52" i="10" s="1"/>
  <c r="N35" i="10"/>
  <c r="S35" i="10" s="1"/>
  <c r="U54" i="10"/>
  <c r="T54" i="10" s="1"/>
  <c r="N37" i="10"/>
  <c r="S37" i="10" s="1"/>
  <c r="S65" i="10"/>
  <c r="U50" i="10"/>
  <c r="T50" i="10" s="1"/>
  <c r="N33" i="10"/>
  <c r="S33" i="10" s="1"/>
  <c r="S36" i="8"/>
  <c r="S68" i="10"/>
  <c r="U46" i="10"/>
  <c r="T46" i="10" s="1"/>
  <c r="N29" i="10"/>
  <c r="S29" i="10" s="1"/>
  <c r="U47" i="10"/>
  <c r="T47" i="10" s="1"/>
  <c r="N30" i="10"/>
  <c r="S30" i="10" s="1"/>
  <c r="S61" i="9"/>
  <c r="S64" i="10"/>
  <c r="S70" i="10"/>
  <c r="S30" i="8"/>
  <c r="S62" i="10"/>
  <c r="U45" i="10"/>
  <c r="T45" i="10" s="1"/>
  <c r="N28" i="10"/>
  <c r="S28" i="10" s="1"/>
  <c r="N34" i="10"/>
  <c r="S34" i="10" s="1"/>
  <c r="U51" i="10"/>
  <c r="T51" i="10" s="1"/>
  <c r="U48" i="10"/>
  <c r="T48" i="10" s="1"/>
  <c r="N31" i="10"/>
  <c r="S31" i="10" s="1"/>
  <c r="S68" i="9"/>
  <c r="U51" i="9"/>
  <c r="T51" i="9" s="1"/>
  <c r="N34" i="9"/>
  <c r="S34" i="9" s="1"/>
  <c r="U45" i="9"/>
  <c r="T45" i="9" s="1"/>
  <c r="N28" i="9"/>
  <c r="N29" i="9"/>
  <c r="S29" i="9" s="1"/>
  <c r="U46" i="9"/>
  <c r="T46" i="9" s="1"/>
  <c r="S64" i="9"/>
  <c r="U47" i="9"/>
  <c r="T47" i="9" s="1"/>
  <c r="N30" i="9"/>
  <c r="S30" i="9" s="1"/>
  <c r="N33" i="9"/>
  <c r="S33" i="9" s="1"/>
  <c r="U50" i="9"/>
  <c r="T50" i="9" s="1"/>
  <c r="U54" i="9"/>
  <c r="T54" i="9" s="1"/>
  <c r="S37" i="9"/>
  <c r="S31" i="8"/>
  <c r="N35" i="9"/>
  <c r="S35" i="9" s="1"/>
  <c r="U52" i="9"/>
  <c r="T52" i="9" s="1"/>
  <c r="S71" i="9"/>
  <c r="U53" i="9"/>
  <c r="T53" i="9" s="1"/>
  <c r="N36" i="9"/>
  <c r="S36" i="9" s="1"/>
  <c r="S62" i="9"/>
  <c r="U48" i="9"/>
  <c r="T48" i="9" s="1"/>
  <c r="N31" i="9"/>
  <c r="S31" i="9" s="1"/>
  <c r="S67" i="9"/>
  <c r="S33" i="8"/>
  <c r="I28" i="8"/>
  <c r="I27" i="8"/>
  <c r="I30" i="8"/>
  <c r="I29" i="8"/>
  <c r="U67" i="10"/>
  <c r="T67" i="10" s="1"/>
  <c r="U71" i="10"/>
  <c r="T71" i="10" s="1"/>
  <c r="U61" i="10"/>
  <c r="T61" i="10" s="1"/>
  <c r="U63" i="10"/>
  <c r="T63" i="10" s="1"/>
  <c r="U36" i="8"/>
  <c r="T36" i="8" s="1"/>
  <c r="U68" i="10"/>
  <c r="T68" i="10" s="1"/>
  <c r="U64" i="10"/>
  <c r="T64" i="10" s="1"/>
  <c r="U70" i="10"/>
  <c r="T70" i="10" s="1"/>
  <c r="U30" i="8"/>
  <c r="T30" i="8" s="1"/>
  <c r="U65" i="10"/>
  <c r="T65" i="10" s="1"/>
  <c r="U62" i="10"/>
  <c r="T62" i="10" s="1"/>
  <c r="U31" i="8"/>
  <c r="T31" i="8" s="1"/>
  <c r="U33" i="8"/>
  <c r="T33" i="8" s="1"/>
  <c r="U33" i="10"/>
  <c r="U34" i="10"/>
  <c r="U36" i="10"/>
  <c r="U35" i="10"/>
  <c r="U37" i="10"/>
  <c r="U28" i="10"/>
  <c r="U31" i="10"/>
  <c r="U29" i="10"/>
  <c r="U27" i="10"/>
  <c r="U30" i="10"/>
  <c r="U65" i="9"/>
  <c r="U63" i="9"/>
  <c r="U69" i="9"/>
  <c r="J29" i="9"/>
  <c r="J28" i="9"/>
  <c r="I35" i="9"/>
  <c r="I33" i="9"/>
  <c r="U29" i="9"/>
  <c r="I68" i="9"/>
  <c r="I31" i="9"/>
  <c r="U71" i="9"/>
  <c r="I37" i="9"/>
  <c r="I34" i="9"/>
  <c r="U64" i="9"/>
  <c r="I28" i="9" a="1"/>
  <c r="I61" i="9"/>
  <c r="U68" i="9"/>
  <c r="U36" i="9"/>
  <c r="I70" i="9"/>
  <c r="T65" i="9"/>
  <c r="U33" i="9"/>
  <c r="U62" i="9"/>
  <c r="U30" i="9"/>
  <c r="U37" i="9"/>
  <c r="U35" i="9"/>
  <c r="T69" i="9"/>
  <c r="I30" i="9" a="1"/>
  <c r="U31" i="9"/>
  <c r="I29" i="9" a="1"/>
  <c r="I67" i="9"/>
  <c r="U67" i="9"/>
  <c r="I62" i="9"/>
  <c r="T63" i="9"/>
  <c r="T70" i="9"/>
  <c r="U61" i="9"/>
  <c r="U34" i="9"/>
  <c r="I36" i="9"/>
  <c r="I65" i="9"/>
  <c r="I64" i="9"/>
  <c r="S28" i="9" l="1"/>
  <c r="N27" i="9"/>
  <c r="S27" i="9" s="1"/>
  <c r="I29" i="9"/>
  <c r="I30" i="9"/>
  <c r="I28" i="9"/>
  <c r="P70" i="7"/>
  <c r="P71" i="7"/>
  <c r="P67" i="7"/>
  <c r="P61" i="7"/>
  <c r="N40" i="7"/>
  <c r="C40" i="7"/>
  <c r="B71" i="7"/>
  <c r="B70" i="7"/>
  <c r="B69" i="7"/>
  <c r="E68" i="7"/>
  <c r="E69" i="7" s="1"/>
  <c r="E70" i="7" s="1"/>
  <c r="E71" i="7" s="1"/>
  <c r="B68" i="7"/>
  <c r="B67" i="7"/>
  <c r="B66" i="7"/>
  <c r="E65" i="7"/>
  <c r="B65" i="7"/>
  <c r="B64" i="7"/>
  <c r="B63" i="7"/>
  <c r="E62" i="7"/>
  <c r="E63" i="7" s="1"/>
  <c r="B62" i="7"/>
  <c r="B61" i="7"/>
  <c r="M54" i="7"/>
  <c r="M53" i="7"/>
  <c r="M52" i="7"/>
  <c r="M51" i="7"/>
  <c r="M50" i="7"/>
  <c r="M49" i="7"/>
  <c r="J49" i="7"/>
  <c r="M48" i="7"/>
  <c r="M47" i="7"/>
  <c r="M46" i="7"/>
  <c r="M45" i="7"/>
  <c r="M44" i="7"/>
  <c r="M42" i="7"/>
  <c r="F42" i="7"/>
  <c r="B42" i="7"/>
  <c r="P34" i="7"/>
  <c r="P35" i="7" s="1"/>
  <c r="P37" i="7" s="1"/>
  <c r="E34" i="7"/>
  <c r="E35" i="7" s="1"/>
  <c r="E37" i="7" s="1"/>
  <c r="E31" i="7"/>
  <c r="E29" i="7"/>
  <c r="P29" i="7"/>
  <c r="P65" i="7" s="1"/>
  <c r="N23" i="7"/>
  <c r="C23" i="7"/>
  <c r="Q8" i="7"/>
  <c r="Q42" i="7" s="1"/>
  <c r="E4" i="7"/>
  <c r="E5" i="7" s="1"/>
  <c r="D8" i="7" s="1"/>
  <c r="B42" i="6"/>
  <c r="F27" i="7"/>
  <c r="F61" i="7" a="1"/>
  <c r="F62" i="7" a="1"/>
  <c r="F65" i="7" a="1"/>
  <c r="F28" i="7"/>
  <c r="F63" i="7" a="1"/>
  <c r="F30" i="7"/>
  <c r="F33" i="7" a="1"/>
  <c r="Q70" i="7" a="1"/>
  <c r="F71" i="7" a="1"/>
  <c r="F28" i="6"/>
  <c r="F36" i="7" a="1"/>
  <c r="T37" i="10"/>
  <c r="T35" i="10"/>
  <c r="T36" i="10"/>
  <c r="T34" i="10"/>
  <c r="T33" i="10"/>
  <c r="T30" i="10"/>
  <c r="T27" i="10"/>
  <c r="T29" i="10"/>
  <c r="T31" i="10"/>
  <c r="T28" i="10"/>
  <c r="U28" i="9"/>
  <c r="U27" i="9"/>
  <c r="T27" i="9" s="1"/>
  <c r="T28" i="9"/>
  <c r="T36" i="9"/>
  <c r="T34" i="9"/>
  <c r="T68" i="9"/>
  <c r="T61" i="9"/>
  <c r="T67" i="9"/>
  <c r="T64" i="9"/>
  <c r="T71" i="9"/>
  <c r="T31" i="9"/>
  <c r="T29" i="9"/>
  <c r="T62" i="9"/>
  <c r="T35" i="9"/>
  <c r="T37" i="9"/>
  <c r="T30" i="9"/>
  <c r="T33" i="9"/>
  <c r="P69" i="7" l="1"/>
  <c r="P68" i="7"/>
  <c r="P64" i="7"/>
  <c r="P63" i="7"/>
  <c r="P62" i="7"/>
  <c r="F71" i="7"/>
  <c r="G71" i="7" s="1"/>
  <c r="Q70" i="7"/>
  <c r="R70" i="7" s="1"/>
  <c r="F33" i="7"/>
  <c r="G33" i="7" s="1"/>
  <c r="G30" i="7"/>
  <c r="G28" i="7"/>
  <c r="F62" i="7"/>
  <c r="G62" i="7" s="1"/>
  <c r="G27" i="7"/>
  <c r="F36" i="7"/>
  <c r="G36" i="7" s="1"/>
  <c r="F61" i="7"/>
  <c r="G61" i="7" s="1"/>
  <c r="F63" i="7"/>
  <c r="G63" i="7" s="1"/>
  <c r="F65" i="7"/>
  <c r="G65" i="7" s="1"/>
  <c r="D42" i="7"/>
  <c r="O8" i="7"/>
  <c r="C57" i="7"/>
  <c r="N57" i="7"/>
  <c r="P30" i="6"/>
  <c r="C47" i="7"/>
  <c r="G54" i="7"/>
  <c r="F37" i="7" a="1"/>
  <c r="F69" i="7" a="1"/>
  <c r="C11" i="7" a="1"/>
  <c r="G46" i="7"/>
  <c r="G13" i="7" a="1"/>
  <c r="G14" i="7" a="1"/>
  <c r="Q37" i="7"/>
  <c r="Q34" i="7"/>
  <c r="H53" i="7"/>
  <c r="Q62" i="7" a="1"/>
  <c r="C17" i="7" a="1"/>
  <c r="G18" i="7" a="1"/>
  <c r="G19" i="7" a="1"/>
  <c r="Q68" i="7" a="1"/>
  <c r="G48" i="7"/>
  <c r="H13" i="7" a="1"/>
  <c r="F35" i="7" a="1"/>
  <c r="G52" i="7"/>
  <c r="H18" i="7" a="1"/>
  <c r="C20" i="7" a="1"/>
  <c r="C50" i="7"/>
  <c r="Q36" i="7"/>
  <c r="H52" i="7"/>
  <c r="G10" i="7" a="1"/>
  <c r="H10" i="7"/>
  <c r="Q29" i="7"/>
  <c r="H46" i="7"/>
  <c r="C45" i="7"/>
  <c r="C52" i="7"/>
  <c r="H50" i="7"/>
  <c r="Q27" i="7"/>
  <c r="Q35" i="7"/>
  <c r="Q64" i="7" a="1"/>
  <c r="G50" i="7"/>
  <c r="Q65" i="7" a="1"/>
  <c r="H17" i="7" a="1"/>
  <c r="H44" i="7"/>
  <c r="Q61" i="7"/>
  <c r="H48" i="7"/>
  <c r="C48" i="7"/>
  <c r="C44" i="7"/>
  <c r="G20" i="7" a="1"/>
  <c r="C13" i="7" a="1"/>
  <c r="G51" i="7"/>
  <c r="C14" i="7" a="1"/>
  <c r="C19" i="7" a="1"/>
  <c r="C18" i="7" a="1"/>
  <c r="C12" i="7" a="1"/>
  <c r="F70" i="7" a="1"/>
  <c r="G17" i="7" a="1"/>
  <c r="Q33" i="7"/>
  <c r="F64" i="7" a="1"/>
  <c r="F31" i="7" a="1"/>
  <c r="Q31" i="7"/>
  <c r="H45" i="7"/>
  <c r="Q67" i="7" a="1"/>
  <c r="Q63" i="7" a="1"/>
  <c r="G47" i="7"/>
  <c r="H20" i="7" a="1"/>
  <c r="H51" i="7"/>
  <c r="G45" i="7"/>
  <c r="G53" i="7"/>
  <c r="C54" i="7"/>
  <c r="F34" i="7" a="1"/>
  <c r="H12" i="7" a="1"/>
  <c r="Q69" i="7" a="1"/>
  <c r="Q28" i="7"/>
  <c r="F27" i="6"/>
  <c r="Q71" i="7" a="1"/>
  <c r="H19" i="7" a="1"/>
  <c r="F67" i="7" a="1"/>
  <c r="C46" i="7"/>
  <c r="G44" i="7"/>
  <c r="H47" i="7"/>
  <c r="H14" i="7" a="1"/>
  <c r="H16" i="7" a="1"/>
  <c r="G12" i="7" a="1"/>
  <c r="C51" i="7"/>
  <c r="H54" i="7"/>
  <c r="G11" i="7" a="1"/>
  <c r="C10" i="7" a="1"/>
  <c r="C16" i="7" a="1"/>
  <c r="G16" i="7" a="1"/>
  <c r="F30" i="6"/>
  <c r="F68" i="7" a="1"/>
  <c r="C53" i="7"/>
  <c r="F29" i="7" a="1"/>
  <c r="H11" i="7" a="1"/>
  <c r="Q30" i="7"/>
  <c r="Q62" i="7" l="1"/>
  <c r="R62" i="7" s="1"/>
  <c r="C65" i="7"/>
  <c r="H65" i="7" s="1"/>
  <c r="C62" i="7"/>
  <c r="H62" i="7" s="1"/>
  <c r="C67" i="7"/>
  <c r="C20" i="7"/>
  <c r="D37" i="7" s="1"/>
  <c r="H19" i="7"/>
  <c r="D70" i="7"/>
  <c r="R35" i="7"/>
  <c r="C68" i="7"/>
  <c r="H68" i="7" s="1"/>
  <c r="C64" i="7"/>
  <c r="D69" i="7"/>
  <c r="G12" i="7"/>
  <c r="R31" i="7"/>
  <c r="G13" i="7"/>
  <c r="H11" i="7"/>
  <c r="G10" i="7"/>
  <c r="R36" i="7"/>
  <c r="R33" i="7"/>
  <c r="R37" i="7"/>
  <c r="G16" i="7"/>
  <c r="H18" i="7"/>
  <c r="H17" i="7"/>
  <c r="C11" i="7"/>
  <c r="D28" i="7" s="1"/>
  <c r="C71" i="7"/>
  <c r="H71" i="7" s="1"/>
  <c r="R61" i="7"/>
  <c r="Q68" i="7"/>
  <c r="R68" i="7" s="1"/>
  <c r="F31" i="7"/>
  <c r="G31" i="7" s="1"/>
  <c r="F34" i="7"/>
  <c r="G34" i="7" s="1"/>
  <c r="G18" i="7"/>
  <c r="D61" i="7"/>
  <c r="H16" i="7"/>
  <c r="C12" i="7"/>
  <c r="D29" i="7" s="1"/>
  <c r="C70" i="7"/>
  <c r="R29" i="7"/>
  <c r="F70" i="7"/>
  <c r="G70" i="7" s="1"/>
  <c r="G20" i="7"/>
  <c r="C63" i="7"/>
  <c r="H63" i="7" s="1"/>
  <c r="C13" i="7"/>
  <c r="D30" i="7" s="1"/>
  <c r="D68" i="7"/>
  <c r="F69" i="7"/>
  <c r="G69" i="7" s="1"/>
  <c r="R27" i="7"/>
  <c r="R28" i="7"/>
  <c r="Q67" i="7"/>
  <c r="R67" i="7" s="1"/>
  <c r="D64" i="7"/>
  <c r="H13" i="7"/>
  <c r="C61" i="7"/>
  <c r="H61" i="7" s="1"/>
  <c r="C14" i="7"/>
  <c r="D31" i="7" s="1"/>
  <c r="G11" i="7"/>
  <c r="F29" i="7"/>
  <c r="G29" i="7" s="1"/>
  <c r="Q64" i="7"/>
  <c r="R64" i="7" s="1"/>
  <c r="Q71" i="7"/>
  <c r="R71" i="7" s="1"/>
  <c r="F68" i="7"/>
  <c r="G68" i="7" s="1"/>
  <c r="D67" i="7"/>
  <c r="H20" i="7"/>
  <c r="H14" i="7"/>
  <c r="C16" i="7"/>
  <c r="D33" i="7" s="1"/>
  <c r="G14" i="7"/>
  <c r="C10" i="7"/>
  <c r="D27" i="7" s="1"/>
  <c r="Q65" i="7"/>
  <c r="R65" i="7" s="1"/>
  <c r="F67" i="7"/>
  <c r="G67" i="7" s="1"/>
  <c r="R34" i="7"/>
  <c r="C69" i="7"/>
  <c r="H69" i="7" s="1"/>
  <c r="D62" i="7"/>
  <c r="C17" i="7"/>
  <c r="D34" i="7" s="1"/>
  <c r="G17" i="7"/>
  <c r="Q69" i="7"/>
  <c r="R69" i="7" s="1"/>
  <c r="Q63" i="7"/>
  <c r="R63" i="7" s="1"/>
  <c r="R30" i="7"/>
  <c r="D63" i="7"/>
  <c r="J44" i="7"/>
  <c r="I44" i="7" s="1"/>
  <c r="C27" i="7"/>
  <c r="H27" i="7" s="1"/>
  <c r="D71" i="7"/>
  <c r="C18" i="7"/>
  <c r="D35" i="7" s="1"/>
  <c r="G19" i="7"/>
  <c r="F64" i="7"/>
  <c r="G64" i="7" s="1"/>
  <c r="F35" i="7"/>
  <c r="G35" i="7" s="1"/>
  <c r="F37" i="7"/>
  <c r="G37" i="7" s="1"/>
  <c r="D65" i="7"/>
  <c r="H12" i="7"/>
  <c r="C19" i="7"/>
  <c r="D36" i="7" s="1"/>
  <c r="O42" i="7"/>
  <c r="E8" i="2"/>
  <c r="S10" i="7"/>
  <c r="N20" i="7" a="1"/>
  <c r="N51" i="7"/>
  <c r="R53" i="7"/>
  <c r="S20" i="7" a="1"/>
  <c r="N16" i="7" a="1"/>
  <c r="N13" i="7" a="1"/>
  <c r="R52" i="7"/>
  <c r="S18" i="7" a="1"/>
  <c r="S54" i="7"/>
  <c r="N52" i="7"/>
  <c r="J61" i="7"/>
  <c r="F18" i="2"/>
  <c r="S48" i="7"/>
  <c r="S51" i="7"/>
  <c r="N17" i="7" a="1"/>
  <c r="J65" i="7"/>
  <c r="S46" i="7"/>
  <c r="S52" i="7"/>
  <c r="R48" i="7"/>
  <c r="J68" i="7"/>
  <c r="N11" i="7" a="1"/>
  <c r="R19" i="7" a="1"/>
  <c r="R20" i="7" a="1"/>
  <c r="S16" i="7" a="1"/>
  <c r="R13" i="7" a="1"/>
  <c r="N44" i="7"/>
  <c r="S50" i="7"/>
  <c r="R46" i="7"/>
  <c r="J69" i="7"/>
  <c r="N46" i="7"/>
  <c r="R11" i="7" a="1"/>
  <c r="N10" i="7" a="1"/>
  <c r="N50" i="7"/>
  <c r="J62" i="7"/>
  <c r="S47" i="7"/>
  <c r="N47" i="7"/>
  <c r="N53" i="7"/>
  <c r="R44" i="7"/>
  <c r="J71" i="7"/>
  <c r="R12" i="7" a="1"/>
  <c r="N14" i="7" a="1"/>
  <c r="S13" i="7" a="1"/>
  <c r="N19" i="7" a="1"/>
  <c r="S45" i="7"/>
  <c r="R50" i="7"/>
  <c r="S44" i="7"/>
  <c r="S19" i="7" a="1"/>
  <c r="N48" i="7"/>
  <c r="R54" i="7"/>
  <c r="R47" i="7"/>
  <c r="N18" i="7" a="1"/>
  <c r="S17" i="7" a="1"/>
  <c r="J63" i="7"/>
  <c r="R16" i="7" a="1"/>
  <c r="R45" i="7"/>
  <c r="S53" i="7"/>
  <c r="R17" i="7" a="1"/>
  <c r="N45" i="7"/>
  <c r="S14" i="7" a="1"/>
  <c r="R14" i="7" a="1"/>
  <c r="R18" i="7" a="1"/>
  <c r="R51" i="7"/>
  <c r="N12" i="7" a="1"/>
  <c r="S12" i="7" a="1"/>
  <c r="J27" i="7"/>
  <c r="N54" i="7"/>
  <c r="R10" i="7" a="1"/>
  <c r="S11" i="7" a="1"/>
  <c r="N18" i="7" l="1"/>
  <c r="O35" i="7" s="1"/>
  <c r="R17" i="7"/>
  <c r="S19" i="7"/>
  <c r="N70" i="7"/>
  <c r="S70" i="7" s="1"/>
  <c r="N65" i="7"/>
  <c r="S65" i="7" s="1"/>
  <c r="S20" i="7"/>
  <c r="O62" i="7"/>
  <c r="N62" i="7"/>
  <c r="S62" i="7" s="1"/>
  <c r="N19" i="7"/>
  <c r="O36" i="7" s="1"/>
  <c r="O69" i="7"/>
  <c r="R20" i="7"/>
  <c r="N68" i="7"/>
  <c r="S68" i="7" s="1"/>
  <c r="N61" i="7"/>
  <c r="S61" i="7" s="1"/>
  <c r="R19" i="7"/>
  <c r="O70" i="7"/>
  <c r="O64" i="7"/>
  <c r="O68" i="7"/>
  <c r="N64" i="7"/>
  <c r="S64" i="7" s="1"/>
  <c r="N20" i="7"/>
  <c r="O37" i="7" s="1"/>
  <c r="N71" i="7"/>
  <c r="S71" i="7" s="1"/>
  <c r="S11" i="7"/>
  <c r="N67" i="7"/>
  <c r="S67" i="7" s="1"/>
  <c r="O67" i="7"/>
  <c r="S12" i="7"/>
  <c r="N10" i="7"/>
  <c r="O27" i="7" s="1"/>
  <c r="N12" i="7"/>
  <c r="O29" i="7" s="1"/>
  <c r="R11" i="7"/>
  <c r="S13" i="7"/>
  <c r="N27" i="7"/>
  <c r="S27" i="7" s="1"/>
  <c r="U44" i="7"/>
  <c r="T44" i="7" s="1"/>
  <c r="N13" i="7"/>
  <c r="O30" i="7" s="1"/>
  <c r="R12" i="7"/>
  <c r="N69" i="7"/>
  <c r="S69" i="7" s="1"/>
  <c r="S14" i="7"/>
  <c r="O61" i="7"/>
  <c r="N14" i="7"/>
  <c r="O31" i="7" s="1"/>
  <c r="R13" i="7"/>
  <c r="O65" i="7"/>
  <c r="S16" i="7"/>
  <c r="R18" i="7"/>
  <c r="N16" i="7"/>
  <c r="O33" i="7" s="1"/>
  <c r="R14" i="7"/>
  <c r="R10" i="7"/>
  <c r="S17" i="7"/>
  <c r="N63" i="7"/>
  <c r="S63" i="7" s="1"/>
  <c r="N11" i="7"/>
  <c r="O28" i="7" s="1"/>
  <c r="N17" i="7"/>
  <c r="O34" i="7" s="1"/>
  <c r="R16" i="7"/>
  <c r="O63" i="7"/>
  <c r="S18" i="7"/>
  <c r="O71" i="7"/>
  <c r="J51" i="7"/>
  <c r="I51" i="7" s="1"/>
  <c r="C34" i="7"/>
  <c r="H34" i="7" s="1"/>
  <c r="H64" i="7"/>
  <c r="J47" i="7"/>
  <c r="I47" i="7" s="1"/>
  <c r="C30" i="7"/>
  <c r="H30" i="7" s="1"/>
  <c r="H70" i="7"/>
  <c r="J52" i="7"/>
  <c r="I52" i="7" s="1"/>
  <c r="C35" i="7"/>
  <c r="H35" i="7" s="1"/>
  <c r="J46" i="7"/>
  <c r="I46" i="7" s="1"/>
  <c r="C29" i="7"/>
  <c r="H29" i="7" s="1"/>
  <c r="C31" i="7"/>
  <c r="H31" i="7" s="1"/>
  <c r="J48" i="7"/>
  <c r="I48" i="7" s="1"/>
  <c r="C33" i="7"/>
  <c r="H33" i="7" s="1"/>
  <c r="J50" i="7"/>
  <c r="I50" i="7" s="1"/>
  <c r="C37" i="7"/>
  <c r="H37" i="7" s="1"/>
  <c r="J54" i="7"/>
  <c r="I54" i="7" s="1"/>
  <c r="C36" i="7"/>
  <c r="H36" i="7" s="1"/>
  <c r="J53" i="7"/>
  <c r="I53" i="7" s="1"/>
  <c r="H67" i="7"/>
  <c r="J45" i="7"/>
  <c r="I45" i="7" s="1"/>
  <c r="C28" i="7"/>
  <c r="H28" i="7" s="1"/>
  <c r="B71" i="6"/>
  <c r="B70" i="6"/>
  <c r="B69" i="6"/>
  <c r="P68" i="6"/>
  <c r="P69" i="6" s="1"/>
  <c r="P70" i="6" s="1"/>
  <c r="P71" i="6" s="1"/>
  <c r="E68" i="6"/>
  <c r="E69" i="6" s="1"/>
  <c r="E70" i="6" s="1"/>
  <c r="E71" i="6" s="1"/>
  <c r="B68" i="6"/>
  <c r="B67" i="6"/>
  <c r="B66" i="6"/>
  <c r="P65" i="6"/>
  <c r="E65" i="6"/>
  <c r="B65" i="6"/>
  <c r="B64" i="6"/>
  <c r="B63" i="6"/>
  <c r="P62" i="6"/>
  <c r="P63" i="6" s="1"/>
  <c r="E62" i="6"/>
  <c r="E63" i="6" s="1"/>
  <c r="B62" i="6"/>
  <c r="B61" i="6"/>
  <c r="M54" i="6"/>
  <c r="M53" i="6"/>
  <c r="M52" i="6"/>
  <c r="M51" i="6"/>
  <c r="M50" i="6"/>
  <c r="M49" i="6"/>
  <c r="J49" i="6"/>
  <c r="M48" i="6"/>
  <c r="M47" i="6"/>
  <c r="M46" i="6"/>
  <c r="M45" i="6"/>
  <c r="M44" i="6"/>
  <c r="M42" i="6"/>
  <c r="F42" i="6"/>
  <c r="P34" i="6"/>
  <c r="P35" i="6" s="1"/>
  <c r="P36" i="6" s="1"/>
  <c r="P37" i="6" s="1"/>
  <c r="E34" i="6"/>
  <c r="E35" i="6" s="1"/>
  <c r="E36" i="6" s="1"/>
  <c r="E37" i="6" s="1"/>
  <c r="P31" i="6"/>
  <c r="E31" i="6"/>
  <c r="E29" i="6"/>
  <c r="P28" i="6"/>
  <c r="P29" i="6" s="1"/>
  <c r="C23" i="6"/>
  <c r="Q8" i="6"/>
  <c r="Q42" i="6" s="1"/>
  <c r="E4" i="6"/>
  <c r="E5" i="6" s="1"/>
  <c r="D8" i="6" s="1"/>
  <c r="U27" i="7"/>
  <c r="T27" i="7" s="1"/>
  <c r="J28" i="7"/>
  <c r="J31" i="7"/>
  <c r="U63" i="7"/>
  <c r="J67" i="7"/>
  <c r="J37" i="7"/>
  <c r="U71" i="7"/>
  <c r="F65" i="6" a="1"/>
  <c r="F70" i="6" a="1"/>
  <c r="F69" i="6" a="1"/>
  <c r="F63" i="6" a="1"/>
  <c r="J33" i="7"/>
  <c r="U67" i="7"/>
  <c r="J36" i="7"/>
  <c r="I27" i="7" a="1"/>
  <c r="I61" i="7"/>
  <c r="U69" i="7"/>
  <c r="U61" i="7"/>
  <c r="J64" i="7"/>
  <c r="I71" i="7"/>
  <c r="U64" i="7"/>
  <c r="J70" i="7"/>
  <c r="J30" i="7"/>
  <c r="J34" i="7"/>
  <c r="U62" i="7"/>
  <c r="F37" i="6" a="1"/>
  <c r="F19" i="2"/>
  <c r="F67" i="6" a="1"/>
  <c r="J35" i="7"/>
  <c r="F29" i="6" a="1"/>
  <c r="I63" i="7"/>
  <c r="I69" i="7"/>
  <c r="I62" i="7"/>
  <c r="U68" i="7"/>
  <c r="J29" i="7"/>
  <c r="U70" i="7"/>
  <c r="G44" i="6"/>
  <c r="I68" i="7"/>
  <c r="I65" i="7"/>
  <c r="U65" i="7"/>
  <c r="I27" i="7" l="1"/>
  <c r="U48" i="7"/>
  <c r="T48" i="7" s="1"/>
  <c r="N31" i="7"/>
  <c r="S31" i="7" s="1"/>
  <c r="U45" i="7"/>
  <c r="T45" i="7" s="1"/>
  <c r="N28" i="7"/>
  <c r="S28" i="7" s="1"/>
  <c r="N34" i="7"/>
  <c r="S34" i="7" s="1"/>
  <c r="U51" i="7"/>
  <c r="T51" i="7" s="1"/>
  <c r="U54" i="7"/>
  <c r="T54" i="7" s="1"/>
  <c r="N37" i="7"/>
  <c r="S37" i="7" s="1"/>
  <c r="U47" i="7"/>
  <c r="T47" i="7" s="1"/>
  <c r="N30" i="7"/>
  <c r="S30" i="7" s="1"/>
  <c r="U50" i="7"/>
  <c r="T50" i="7" s="1"/>
  <c r="N33" i="7"/>
  <c r="S33" i="7" s="1"/>
  <c r="U52" i="7"/>
  <c r="T52" i="7" s="1"/>
  <c r="N35" i="7"/>
  <c r="S35" i="7" s="1"/>
  <c r="N36" i="7"/>
  <c r="S36" i="7" s="1"/>
  <c r="U53" i="7"/>
  <c r="T53" i="7" s="1"/>
  <c r="U46" i="7"/>
  <c r="T46" i="7" s="1"/>
  <c r="N29" i="7"/>
  <c r="S29" i="7" s="1"/>
  <c r="F63" i="6"/>
  <c r="G63" i="6" s="1"/>
  <c r="F29" i="6"/>
  <c r="G29" i="6" s="1"/>
  <c r="F37" i="6"/>
  <c r="G37" i="6" s="1"/>
  <c r="F65" i="6"/>
  <c r="G65" i="6" s="1"/>
  <c r="F69" i="6"/>
  <c r="G69" i="6" s="1"/>
  <c r="F67" i="6"/>
  <c r="G67" i="6" s="1"/>
  <c r="F70" i="6"/>
  <c r="G70" i="6" s="1"/>
  <c r="O8" i="6"/>
  <c r="D42" i="6"/>
  <c r="N23" i="6"/>
  <c r="C57" i="6"/>
  <c r="B71" i="5"/>
  <c r="B70" i="5"/>
  <c r="B69" i="5"/>
  <c r="P68" i="5"/>
  <c r="P69" i="5" s="1"/>
  <c r="P70" i="5" s="1"/>
  <c r="P71" i="5" s="1"/>
  <c r="E68" i="5"/>
  <c r="E69" i="5" s="1"/>
  <c r="E70" i="5" s="1"/>
  <c r="E71" i="5" s="1"/>
  <c r="B68" i="5"/>
  <c r="B67" i="5"/>
  <c r="B66" i="5"/>
  <c r="P65" i="5"/>
  <c r="E65" i="5"/>
  <c r="B65" i="5"/>
  <c r="B64" i="5"/>
  <c r="B63" i="5"/>
  <c r="P62" i="5"/>
  <c r="P63" i="5" s="1"/>
  <c r="E62" i="5"/>
  <c r="E63" i="5" s="1"/>
  <c r="B62" i="5"/>
  <c r="B61" i="5"/>
  <c r="M54" i="5"/>
  <c r="M53" i="5"/>
  <c r="M52" i="5"/>
  <c r="M51" i="5"/>
  <c r="M50" i="5"/>
  <c r="M49" i="5"/>
  <c r="J49" i="5"/>
  <c r="M48" i="5"/>
  <c r="M47" i="5"/>
  <c r="M46" i="5"/>
  <c r="M45" i="5"/>
  <c r="M44" i="5"/>
  <c r="M42" i="5"/>
  <c r="F42" i="5"/>
  <c r="P34" i="5"/>
  <c r="P35" i="5" s="1"/>
  <c r="P36" i="5" s="1"/>
  <c r="P37" i="5" s="1"/>
  <c r="E34" i="5"/>
  <c r="E35" i="5" s="1"/>
  <c r="E36" i="5" s="1"/>
  <c r="E37" i="5" s="1"/>
  <c r="P31" i="5"/>
  <c r="E31" i="5"/>
  <c r="E29" i="5"/>
  <c r="P28" i="5"/>
  <c r="P29" i="5" s="1"/>
  <c r="C23" i="5"/>
  <c r="N23" i="5" s="1"/>
  <c r="Q8" i="5"/>
  <c r="E4" i="5"/>
  <c r="E5" i="5" s="1"/>
  <c r="D8" i="5" s="1"/>
  <c r="U28" i="7"/>
  <c r="T28" i="7" s="1"/>
  <c r="U29" i="7"/>
  <c r="T29" i="7" s="1"/>
  <c r="T71" i="7"/>
  <c r="H46" i="6"/>
  <c r="F62" i="6" a="1"/>
  <c r="H45" i="6"/>
  <c r="I33" i="7"/>
  <c r="H12" i="6" a="1"/>
  <c r="C10" i="6" a="1"/>
  <c r="T70" i="7"/>
  <c r="F31" i="6" a="1"/>
  <c r="H20" i="6" a="1"/>
  <c r="C14" i="6" a="1"/>
  <c r="H47" i="6"/>
  <c r="H13" i="6" a="1"/>
  <c r="Q61" i="6"/>
  <c r="G45" i="6"/>
  <c r="G52" i="6"/>
  <c r="T61" i="7"/>
  <c r="F61" i="6" a="1"/>
  <c r="H53" i="6"/>
  <c r="I64" i="7"/>
  <c r="F35" i="6" a="1"/>
  <c r="C44" i="6"/>
  <c r="U30" i="7"/>
  <c r="T30" i="7" s="1"/>
  <c r="C45" i="6"/>
  <c r="G46" i="6"/>
  <c r="F33" i="5" a="1"/>
  <c r="F34" i="6" a="1"/>
  <c r="T69" i="7"/>
  <c r="U36" i="7"/>
  <c r="T36" i="7" s="1"/>
  <c r="C19" i="6" a="1"/>
  <c r="C50" i="6"/>
  <c r="U37" i="7"/>
  <c r="T37" i="7" s="1"/>
  <c r="H14" i="6" a="1"/>
  <c r="G47" i="6"/>
  <c r="H16" i="6" a="1"/>
  <c r="F71" i="5" a="1"/>
  <c r="C52" i="6"/>
  <c r="C53" i="6"/>
  <c r="G14" i="6" a="1"/>
  <c r="I70" i="7"/>
  <c r="H48" i="6"/>
  <c r="H19" i="6" a="1"/>
  <c r="I36" i="7"/>
  <c r="G54" i="6"/>
  <c r="G16" i="6" a="1"/>
  <c r="F68" i="5" a="1"/>
  <c r="C20" i="6" a="1"/>
  <c r="H10" i="6"/>
  <c r="U35" i="7"/>
  <c r="T35" i="7" s="1"/>
  <c r="G19" i="6" a="1"/>
  <c r="G10" i="6" a="1"/>
  <c r="I28" i="7" a="1"/>
  <c r="F34" i="5" a="1"/>
  <c r="C18" i="6" a="1"/>
  <c r="F63" i="5" a="1"/>
  <c r="G11" i="6" a="1"/>
  <c r="G50" i="6"/>
  <c r="C54" i="6"/>
  <c r="I29" i="7" a="1"/>
  <c r="G51" i="6"/>
  <c r="H17" i="6" a="1"/>
  <c r="C13" i="5" a="1"/>
  <c r="F64" i="6" a="1"/>
  <c r="H11" i="6" a="1"/>
  <c r="C13" i="6" a="1"/>
  <c r="F35" i="5" a="1"/>
  <c r="G12" i="6" a="1"/>
  <c r="T67" i="7"/>
  <c r="U31" i="7"/>
  <c r="T31" i="7" s="1"/>
  <c r="C12" i="6" a="1"/>
  <c r="H52" i="6"/>
  <c r="T65" i="7"/>
  <c r="G18" i="6" a="1"/>
  <c r="G17" i="6" a="1"/>
  <c r="I67" i="7"/>
  <c r="T68" i="7"/>
  <c r="I35" i="7"/>
  <c r="F64" i="5" a="1"/>
  <c r="F31" i="5" a="1"/>
  <c r="T62" i="7"/>
  <c r="H51" i="6"/>
  <c r="H50" i="6"/>
  <c r="H18" i="6" a="1"/>
  <c r="I37" i="7"/>
  <c r="F36" i="6" a="1"/>
  <c r="H44" i="6"/>
  <c r="T64" i="7"/>
  <c r="G20" i="6" a="1"/>
  <c r="T63" i="7"/>
  <c r="I34" i="7"/>
  <c r="U33" i="7"/>
  <c r="T33" i="7" s="1"/>
  <c r="C51" i="6"/>
  <c r="H12" i="5" a="1"/>
  <c r="C11" i="6" a="1"/>
  <c r="U34" i="7"/>
  <c r="T34" i="7" s="1"/>
  <c r="F71" i="6" a="1"/>
  <c r="C47" i="6"/>
  <c r="G13" i="6" a="1"/>
  <c r="F33" i="6" a="1"/>
  <c r="I31" i="7"/>
  <c r="F68" i="6" a="1"/>
  <c r="H54" i="6"/>
  <c r="C17" i="6" a="1"/>
  <c r="G53" i="6"/>
  <c r="C16" i="6" a="1"/>
  <c r="C46" i="6"/>
  <c r="I30" i="7" a="1"/>
  <c r="G48" i="6"/>
  <c r="C48" i="6"/>
  <c r="I30" i="7" l="1"/>
  <c r="I28" i="7"/>
  <c r="I29" i="7"/>
  <c r="J44" i="6"/>
  <c r="I44" i="6" s="1"/>
  <c r="C27" i="6"/>
  <c r="D62" i="6"/>
  <c r="D61" i="6"/>
  <c r="F35" i="6"/>
  <c r="G35" i="6" s="1"/>
  <c r="C64" i="6"/>
  <c r="C18" i="6"/>
  <c r="D35" i="6" s="1"/>
  <c r="G13" i="6"/>
  <c r="H11" i="6"/>
  <c r="D69" i="6"/>
  <c r="C63" i="6"/>
  <c r="H63" i="6" s="1"/>
  <c r="G28" i="6"/>
  <c r="F68" i="6"/>
  <c r="G68" i="6" s="1"/>
  <c r="G17" i="6"/>
  <c r="C67" i="6"/>
  <c r="H67" i="6" s="1"/>
  <c r="G16" i="6"/>
  <c r="C14" i="6"/>
  <c r="D31" i="6" s="1"/>
  <c r="C71" i="6"/>
  <c r="C65" i="6"/>
  <c r="H65" i="6" s="1"/>
  <c r="F34" i="6"/>
  <c r="G34" i="6" s="1"/>
  <c r="G19" i="6"/>
  <c r="G18" i="6"/>
  <c r="H16" i="6"/>
  <c r="C68" i="6"/>
  <c r="D67" i="6"/>
  <c r="G27" i="6"/>
  <c r="F62" i="6"/>
  <c r="G62" i="6" s="1"/>
  <c r="F33" i="6"/>
  <c r="G33" i="6" s="1"/>
  <c r="H14" i="6"/>
  <c r="C31" i="6" s="1"/>
  <c r="G10" i="6"/>
  <c r="D65" i="6"/>
  <c r="G20" i="6"/>
  <c r="C17" i="6"/>
  <c r="D34" i="6" s="1"/>
  <c r="C69" i="6"/>
  <c r="H69" i="6" s="1"/>
  <c r="C16" i="6"/>
  <c r="D33" i="6" s="1"/>
  <c r="C62" i="6"/>
  <c r="C10" i="6"/>
  <c r="D27" i="6" s="1"/>
  <c r="D71" i="6"/>
  <c r="D70" i="6"/>
  <c r="F61" i="6"/>
  <c r="G61" i="6" s="1"/>
  <c r="F31" i="6"/>
  <c r="G31" i="6" s="1"/>
  <c r="H17" i="6"/>
  <c r="C11" i="6"/>
  <c r="D28" i="6" s="1"/>
  <c r="D68" i="6"/>
  <c r="H18" i="6"/>
  <c r="C61" i="6"/>
  <c r="F36" i="6"/>
  <c r="G36" i="6" s="1"/>
  <c r="D64" i="6"/>
  <c r="H19" i="6"/>
  <c r="H12" i="6"/>
  <c r="C29" i="6" s="1"/>
  <c r="C70" i="6"/>
  <c r="H70" i="6" s="1"/>
  <c r="C19" i="6"/>
  <c r="D36" i="6" s="1"/>
  <c r="C12" i="6"/>
  <c r="D29" i="6" s="1"/>
  <c r="G30" i="6"/>
  <c r="F71" i="6"/>
  <c r="G71" i="6" s="1"/>
  <c r="G14" i="6"/>
  <c r="C20" i="6"/>
  <c r="D37" i="6" s="1"/>
  <c r="C13" i="6"/>
  <c r="D30" i="6" s="1"/>
  <c r="H20" i="6"/>
  <c r="H13" i="6"/>
  <c r="C30" i="6" s="1"/>
  <c r="F64" i="6"/>
  <c r="G64" i="6" s="1"/>
  <c r="G11" i="6"/>
  <c r="G12" i="6"/>
  <c r="D63" i="6"/>
  <c r="N57" i="6"/>
  <c r="O42" i="6"/>
  <c r="H12" i="5"/>
  <c r="C29" i="5" s="1"/>
  <c r="F63" i="5"/>
  <c r="G63" i="5" s="1"/>
  <c r="C13" i="5"/>
  <c r="D30" i="5" s="1"/>
  <c r="F34" i="5"/>
  <c r="G34" i="5" s="1"/>
  <c r="F68" i="5"/>
  <c r="G68" i="5" s="1"/>
  <c r="F31" i="5"/>
  <c r="G31" i="5" s="1"/>
  <c r="F64" i="5"/>
  <c r="G64" i="5" s="1"/>
  <c r="F35" i="5"/>
  <c r="G35" i="5" s="1"/>
  <c r="F33" i="5"/>
  <c r="G33" i="5" s="1"/>
  <c r="F71" i="5"/>
  <c r="G71" i="5" s="1"/>
  <c r="O8" i="5"/>
  <c r="D42" i="5"/>
  <c r="C57" i="5"/>
  <c r="N57" i="5"/>
  <c r="Z13" i="1"/>
  <c r="G11" i="5" a="1"/>
  <c r="C44" i="5"/>
  <c r="H45" i="5"/>
  <c r="Q62" i="5" a="1"/>
  <c r="N14" i="6" a="1"/>
  <c r="N46" i="6"/>
  <c r="N19" i="6" a="1"/>
  <c r="R46" i="6"/>
  <c r="Q29" i="5"/>
  <c r="Q70" i="6" a="1"/>
  <c r="C50" i="5"/>
  <c r="S47" i="6"/>
  <c r="R54" i="6"/>
  <c r="H18" i="5" a="1"/>
  <c r="F29" i="5" a="1"/>
  <c r="C11" i="5" a="1"/>
  <c r="S19" i="6" a="1"/>
  <c r="C52" i="5"/>
  <c r="H14" i="5" a="1"/>
  <c r="N11" i="6" a="1"/>
  <c r="C10" i="5" a="1"/>
  <c r="G52" i="5"/>
  <c r="N44" i="6"/>
  <c r="H54" i="5"/>
  <c r="Q37" i="5"/>
  <c r="Q65" i="5" a="1"/>
  <c r="S14" i="6" a="1"/>
  <c r="G53" i="5"/>
  <c r="R45" i="6"/>
  <c r="R47" i="6"/>
  <c r="Q63" i="6" a="1"/>
  <c r="N16" i="6" a="1"/>
  <c r="N18" i="6" a="1"/>
  <c r="C19" i="5" a="1"/>
  <c r="Q71" i="5" a="1"/>
  <c r="N53" i="6"/>
  <c r="H17" i="5" a="1"/>
  <c r="F28" i="5"/>
  <c r="Q27" i="6"/>
  <c r="R20" i="6" a="1"/>
  <c r="N51" i="6"/>
  <c r="G13" i="5" a="1"/>
  <c r="F36" i="5" a="1"/>
  <c r="F30" i="5" a="1"/>
  <c r="F37" i="5" a="1"/>
  <c r="Q64" i="6" a="1"/>
  <c r="H11" i="5" a="1"/>
  <c r="N45" i="6"/>
  <c r="Q28" i="5"/>
  <c r="H47" i="5"/>
  <c r="C46" i="5"/>
  <c r="J63" i="6"/>
  <c r="C20" i="5" a="1"/>
  <c r="Q71" i="6" a="1"/>
  <c r="H48" i="5"/>
  <c r="G44" i="5"/>
  <c r="R12" i="6" a="1"/>
  <c r="N50" i="6"/>
  <c r="Q33" i="5"/>
  <c r="N13" i="6" a="1"/>
  <c r="H10" i="5"/>
  <c r="C45" i="5"/>
  <c r="S53" i="6"/>
  <c r="R17" i="6" a="1"/>
  <c r="S11" i="6" a="1"/>
  <c r="F62" i="5" a="1"/>
  <c r="Q27" i="5"/>
  <c r="Q69" i="6" a="1"/>
  <c r="N10" i="6" a="1"/>
  <c r="C14" i="5" a="1"/>
  <c r="S13" i="6" a="1"/>
  <c r="Q29" i="6"/>
  <c r="S12" i="6" a="1"/>
  <c r="S10" i="6"/>
  <c r="R53" i="6"/>
  <c r="R14" i="6" a="1"/>
  <c r="R10" i="6" a="1"/>
  <c r="N52" i="6"/>
  <c r="F65" i="5" a="1"/>
  <c r="H44" i="5"/>
  <c r="G10" i="5" a="1"/>
  <c r="F27" i="5"/>
  <c r="S45" i="6"/>
  <c r="S16" i="6" a="1"/>
  <c r="G12" i="5" a="1"/>
  <c r="C54" i="5"/>
  <c r="Q35" i="6"/>
  <c r="H16" i="5" a="1"/>
  <c r="G19" i="5" a="1"/>
  <c r="G54" i="5"/>
  <c r="N47" i="6"/>
  <c r="Q61" i="5" a="1"/>
  <c r="C53" i="5"/>
  <c r="H13" i="5" a="1"/>
  <c r="C16" i="5" a="1"/>
  <c r="N17" i="6" a="1"/>
  <c r="Q62" i="6" a="1"/>
  <c r="C51" i="5"/>
  <c r="S54" i="6"/>
  <c r="C17" i="5" a="1"/>
  <c r="Q34" i="6"/>
  <c r="F67" i="5" a="1"/>
  <c r="S51" i="6"/>
  <c r="S52" i="6"/>
  <c r="H46" i="5"/>
  <c r="C12" i="5" a="1"/>
  <c r="Q31" i="6"/>
  <c r="R51" i="6"/>
  <c r="G47" i="5"/>
  <c r="Q36" i="5"/>
  <c r="Q28" i="6"/>
  <c r="Q68" i="6" a="1"/>
  <c r="S18" i="6" a="1"/>
  <c r="H53" i="5"/>
  <c r="S48" i="6"/>
  <c r="F61" i="5" a="1"/>
  <c r="R19" i="6" a="1"/>
  <c r="R52" i="6"/>
  <c r="F69" i="5" a="1"/>
  <c r="C48" i="5"/>
  <c r="G14" i="5" a="1"/>
  <c r="R18" i="6" a="1"/>
  <c r="N54" i="6"/>
  <c r="G50" i="5"/>
  <c r="Q63" i="5" a="1"/>
  <c r="R48" i="6"/>
  <c r="J67" i="6"/>
  <c r="Q34" i="5"/>
  <c r="Q30" i="6"/>
  <c r="S17" i="6" a="1"/>
  <c r="Q36" i="6"/>
  <c r="S50" i="6"/>
  <c r="Q65" i="6" a="1"/>
  <c r="R44" i="6"/>
  <c r="H51" i="5"/>
  <c r="Q67" i="6" a="1"/>
  <c r="H52" i="5"/>
  <c r="H20" i="5" a="1"/>
  <c r="N12" i="6" a="1"/>
  <c r="Q68" i="5" a="1"/>
  <c r="G20" i="5" a="1"/>
  <c r="G51" i="5"/>
  <c r="Q30" i="5"/>
  <c r="Q35" i="5"/>
  <c r="J70" i="6"/>
  <c r="G46" i="5"/>
  <c r="C18" i="5" a="1"/>
  <c r="G48" i="5"/>
  <c r="C47" i="5"/>
  <c r="Q67" i="5" a="1"/>
  <c r="S20" i="6" a="1"/>
  <c r="Q64" i="5" a="1"/>
  <c r="G17" i="5" a="1"/>
  <c r="H19" i="5" a="1"/>
  <c r="R11" i="6" a="1"/>
  <c r="G45" i="5"/>
  <c r="G18" i="5" a="1"/>
  <c r="Q70" i="5" a="1"/>
  <c r="J69" i="6"/>
  <c r="F70" i="5" a="1"/>
  <c r="J65" i="6"/>
  <c r="Q33" i="6"/>
  <c r="R13" i="6" a="1"/>
  <c r="Q31" i="5"/>
  <c r="N48" i="6"/>
  <c r="S46" i="6"/>
  <c r="Q69" i="5" a="1"/>
  <c r="R16" i="6" a="1"/>
  <c r="S44" i="6"/>
  <c r="G16" i="5" a="1"/>
  <c r="R50" i="6"/>
  <c r="Q37" i="6"/>
  <c r="N20" i="6" a="1"/>
  <c r="H50" i="5"/>
  <c r="H27" i="6" l="1"/>
  <c r="C27" i="5"/>
  <c r="J45" i="6"/>
  <c r="I45" i="6" s="1"/>
  <c r="C28" i="6"/>
  <c r="H28" i="6" s="1"/>
  <c r="Q70" i="5"/>
  <c r="R70" i="5" s="1"/>
  <c r="R31" i="5"/>
  <c r="R33" i="5"/>
  <c r="Q68" i="5"/>
  <c r="R68" i="5" s="1"/>
  <c r="R29" i="5"/>
  <c r="R30" i="5"/>
  <c r="Q64" i="5"/>
  <c r="R64" i="5" s="1"/>
  <c r="R34" i="5"/>
  <c r="Q63" i="5"/>
  <c r="R63" i="5" s="1"/>
  <c r="H62" i="6"/>
  <c r="H68" i="6"/>
  <c r="H61" i="6"/>
  <c r="O61" i="6"/>
  <c r="Q62" i="6"/>
  <c r="R62" i="6" s="1"/>
  <c r="N63" i="6"/>
  <c r="N64" i="6"/>
  <c r="S14" i="6"/>
  <c r="R18" i="6"/>
  <c r="N65" i="6"/>
  <c r="N17" i="6"/>
  <c r="O34" i="6" s="1"/>
  <c r="R19" i="6"/>
  <c r="R17" i="6"/>
  <c r="R33" i="6"/>
  <c r="R35" i="6"/>
  <c r="Q70" i="6"/>
  <c r="R70" i="6" s="1"/>
  <c r="O62" i="6"/>
  <c r="N16" i="6"/>
  <c r="O33" i="6" s="1"/>
  <c r="R20" i="6"/>
  <c r="N68" i="6"/>
  <c r="S18" i="6"/>
  <c r="R10" i="6"/>
  <c r="O65" i="6"/>
  <c r="Q63" i="6"/>
  <c r="R63" i="6" s="1"/>
  <c r="R61" i="6"/>
  <c r="R11" i="6"/>
  <c r="R16" i="6"/>
  <c r="S12" i="6"/>
  <c r="N11" i="6"/>
  <c r="O28" i="6" s="1"/>
  <c r="N62" i="6"/>
  <c r="N19" i="6"/>
  <c r="O36" i="6" s="1"/>
  <c r="N61" i="6"/>
  <c r="O68" i="6"/>
  <c r="Q71" i="6"/>
  <c r="R71" i="6" s="1"/>
  <c r="N67" i="6"/>
  <c r="N10" i="6"/>
  <c r="O27" i="6" s="1"/>
  <c r="S11" i="6"/>
  <c r="S20" i="6"/>
  <c r="O64" i="6"/>
  <c r="N70" i="6"/>
  <c r="Q67" i="6"/>
  <c r="R67" i="6" s="1"/>
  <c r="R37" i="6"/>
  <c r="N71" i="6"/>
  <c r="N12" i="6"/>
  <c r="O29" i="6" s="1"/>
  <c r="R13" i="6"/>
  <c r="S17" i="6"/>
  <c r="N13" i="6"/>
  <c r="O30" i="6" s="1"/>
  <c r="N20" i="6"/>
  <c r="O37" i="6" s="1"/>
  <c r="O67" i="6"/>
  <c r="R36" i="6"/>
  <c r="R31" i="6"/>
  <c r="Q65" i="6"/>
  <c r="R65" i="6" s="1"/>
  <c r="S19" i="6"/>
  <c r="O71" i="6"/>
  <c r="S13" i="6"/>
  <c r="O69" i="6"/>
  <c r="N69" i="6"/>
  <c r="O70" i="6"/>
  <c r="R28" i="6"/>
  <c r="R34" i="6"/>
  <c r="Q69" i="6"/>
  <c r="R69" i="6" s="1"/>
  <c r="N14" i="6"/>
  <c r="O31" i="6" s="1"/>
  <c r="Q64" i="6"/>
  <c r="R64" i="6" s="1"/>
  <c r="R29" i="6"/>
  <c r="N18" i="6"/>
  <c r="O35" i="6" s="1"/>
  <c r="O63" i="6"/>
  <c r="S16" i="6"/>
  <c r="R12" i="6"/>
  <c r="R14" i="6"/>
  <c r="U44" i="6"/>
  <c r="T44" i="6" s="1"/>
  <c r="N27" i="6"/>
  <c r="R30" i="6"/>
  <c r="Q68" i="6"/>
  <c r="R68" i="6" s="1"/>
  <c r="R27" i="6"/>
  <c r="J46" i="6"/>
  <c r="I46" i="6" s="1"/>
  <c r="H29" i="6"/>
  <c r="J51" i="6"/>
  <c r="I51" i="6" s="1"/>
  <c r="C34" i="6"/>
  <c r="H34" i="6" s="1"/>
  <c r="H71" i="6"/>
  <c r="C36" i="6"/>
  <c r="H36" i="6" s="1"/>
  <c r="J53" i="6"/>
  <c r="I53" i="6" s="1"/>
  <c r="J54" i="6"/>
  <c r="I54" i="6" s="1"/>
  <c r="C37" i="6"/>
  <c r="H37" i="6" s="1"/>
  <c r="J50" i="6"/>
  <c r="I50" i="6" s="1"/>
  <c r="C33" i="6"/>
  <c r="H33" i="6" s="1"/>
  <c r="H64" i="6"/>
  <c r="H30" i="6"/>
  <c r="J47" i="6"/>
  <c r="I47" i="6" s="1"/>
  <c r="J52" i="6"/>
  <c r="I52" i="6" s="1"/>
  <c r="C35" i="6"/>
  <c r="H35" i="6" s="1"/>
  <c r="J48" i="6"/>
  <c r="I48" i="6" s="1"/>
  <c r="H31" i="6"/>
  <c r="Q62" i="5"/>
  <c r="R62" i="5" s="1"/>
  <c r="G20" i="5"/>
  <c r="F30" i="5"/>
  <c r="G30" i="5" s="1"/>
  <c r="R28" i="5"/>
  <c r="F69" i="5"/>
  <c r="G69" i="5" s="1"/>
  <c r="R35" i="5"/>
  <c r="C64" i="5"/>
  <c r="H64" i="5" s="1"/>
  <c r="G18" i="5"/>
  <c r="C68" i="5"/>
  <c r="H68" i="5" s="1"/>
  <c r="C12" i="5"/>
  <c r="D29" i="5" s="1"/>
  <c r="G12" i="5"/>
  <c r="H17" i="5"/>
  <c r="G27" i="5"/>
  <c r="H27" i="5" s="1"/>
  <c r="F37" i="5"/>
  <c r="G37" i="5" s="1"/>
  <c r="H19" i="5"/>
  <c r="C62" i="5"/>
  <c r="C14" i="5"/>
  <c r="D31" i="5" s="1"/>
  <c r="C71" i="5"/>
  <c r="H71" i="5" s="1"/>
  <c r="G17" i="5"/>
  <c r="C61" i="5"/>
  <c r="F70" i="5"/>
  <c r="G70" i="5" s="1"/>
  <c r="G28" i="5"/>
  <c r="R36" i="5"/>
  <c r="C11" i="5"/>
  <c r="D28" i="5" s="1"/>
  <c r="C18" i="5"/>
  <c r="D35" i="5" s="1"/>
  <c r="H16" i="5"/>
  <c r="C33" i="5" s="1"/>
  <c r="D61" i="5"/>
  <c r="G19" i="5"/>
  <c r="F65" i="5"/>
  <c r="G65" i="5" s="1"/>
  <c r="G14" i="5"/>
  <c r="Q67" i="5"/>
  <c r="R67" i="5" s="1"/>
  <c r="Q69" i="5"/>
  <c r="R69" i="5" s="1"/>
  <c r="Q71" i="5"/>
  <c r="R71" i="5" s="1"/>
  <c r="G10" i="5"/>
  <c r="J44" i="5"/>
  <c r="I44" i="5" s="1"/>
  <c r="D68" i="5"/>
  <c r="C17" i="5"/>
  <c r="D34" i="5" s="1"/>
  <c r="C63" i="5"/>
  <c r="H63" i="5" s="1"/>
  <c r="D70" i="5"/>
  <c r="C20" i="5"/>
  <c r="D37" i="5" s="1"/>
  <c r="D69" i="5"/>
  <c r="F67" i="5"/>
  <c r="G67" i="5" s="1"/>
  <c r="Q65" i="5"/>
  <c r="R65" i="5" s="1"/>
  <c r="Q61" i="5"/>
  <c r="R61" i="5" s="1"/>
  <c r="C16" i="5"/>
  <c r="D33" i="5" s="1"/>
  <c r="G11" i="5"/>
  <c r="D71" i="5"/>
  <c r="C70" i="5"/>
  <c r="H18" i="5"/>
  <c r="D64" i="5"/>
  <c r="R27" i="5"/>
  <c r="F62" i="5"/>
  <c r="G62" i="5" s="1"/>
  <c r="F61" i="5"/>
  <c r="G61" i="5" s="1"/>
  <c r="H14" i="5"/>
  <c r="C31" i="5" s="1"/>
  <c r="G13" i="5"/>
  <c r="D63" i="5"/>
  <c r="C19" i="5"/>
  <c r="D36" i="5" s="1"/>
  <c r="D65" i="5"/>
  <c r="D67" i="5"/>
  <c r="C67" i="5"/>
  <c r="H13" i="5"/>
  <c r="C30" i="5" s="1"/>
  <c r="F29" i="5"/>
  <c r="G29" i="5" s="1"/>
  <c r="H29" i="5" s="1"/>
  <c r="R37" i="5"/>
  <c r="F36" i="5"/>
  <c r="G36" i="5" s="1"/>
  <c r="D62" i="5"/>
  <c r="G16" i="5"/>
  <c r="C65" i="5"/>
  <c r="H11" i="5"/>
  <c r="H20" i="5"/>
  <c r="C10" i="5"/>
  <c r="D27" i="5" s="1"/>
  <c r="C69" i="5"/>
  <c r="O42" i="5"/>
  <c r="J46" i="5"/>
  <c r="I46" i="5" s="1"/>
  <c r="P31" i="1"/>
  <c r="I63" i="6"/>
  <c r="J30" i="6"/>
  <c r="S50" i="5"/>
  <c r="S44" i="5"/>
  <c r="R46" i="5"/>
  <c r="J28" i="6"/>
  <c r="J33" i="6"/>
  <c r="I65" i="6"/>
  <c r="J63" i="5"/>
  <c r="J61" i="6"/>
  <c r="S47" i="5"/>
  <c r="N13" i="5" a="1"/>
  <c r="J71" i="6"/>
  <c r="S20" i="5" a="1"/>
  <c r="S13" i="5" a="1"/>
  <c r="N50" i="5"/>
  <c r="S10" i="5"/>
  <c r="S45" i="5"/>
  <c r="R14" i="5" a="1"/>
  <c r="J29" i="5"/>
  <c r="R13" i="5" a="1"/>
  <c r="S46" i="5"/>
  <c r="N48" i="5"/>
  <c r="N45" i="5"/>
  <c r="S14" i="5" a="1"/>
  <c r="N19" i="5" a="1"/>
  <c r="R18" i="5" a="1"/>
  <c r="S54" i="5"/>
  <c r="J34" i="6"/>
  <c r="S19" i="5" a="1"/>
  <c r="S53" i="5"/>
  <c r="J27" i="5"/>
  <c r="R20" i="5" a="1"/>
  <c r="R45" i="5"/>
  <c r="J68" i="6"/>
  <c r="R44" i="5"/>
  <c r="R47" i="5"/>
  <c r="S12" i="5" a="1"/>
  <c r="S48" i="5"/>
  <c r="R16" i="5" a="1"/>
  <c r="N20" i="5" a="1"/>
  <c r="S51" i="5"/>
  <c r="R54" i="5"/>
  <c r="N44" i="5"/>
  <c r="J36" i="6"/>
  <c r="N12" i="5" a="1"/>
  <c r="I70" i="6"/>
  <c r="S11" i="5" a="1"/>
  <c r="N10" i="5" a="1"/>
  <c r="J64" i="5"/>
  <c r="N11" i="5" a="1"/>
  <c r="R52" i="5"/>
  <c r="I69" i="6"/>
  <c r="N54" i="5"/>
  <c r="N17" i="5" a="1"/>
  <c r="R19" i="5" a="1"/>
  <c r="N46" i="5"/>
  <c r="I67" i="6"/>
  <c r="S18" i="5" a="1"/>
  <c r="J37" i="6"/>
  <c r="J31" i="6"/>
  <c r="S16" i="5" a="1"/>
  <c r="N47" i="5"/>
  <c r="R17" i="5" a="1"/>
  <c r="J35" i="6"/>
  <c r="R50" i="5"/>
  <c r="J27" i="6"/>
  <c r="J29" i="6"/>
  <c r="N16" i="5" a="1"/>
  <c r="S17" i="5" a="1"/>
  <c r="R48" i="5"/>
  <c r="J68" i="5"/>
  <c r="N51" i="5"/>
  <c r="R53" i="5"/>
  <c r="N52" i="5"/>
  <c r="R51" i="5"/>
  <c r="S52" i="5"/>
  <c r="J64" i="6"/>
  <c r="J62" i="6"/>
  <c r="J71" i="5"/>
  <c r="R10" i="5" a="1"/>
  <c r="N14" i="5" a="1"/>
  <c r="N53" i="5"/>
  <c r="R11" i="5" a="1"/>
  <c r="R12" i="5" a="1"/>
  <c r="I27" i="6" a="1"/>
  <c r="N18" i="5" a="1"/>
  <c r="H67" i="5" l="1"/>
  <c r="N27" i="5"/>
  <c r="J45" i="5"/>
  <c r="I45" i="5" s="1"/>
  <c r="C28" i="5"/>
  <c r="H28" i="5" s="1"/>
  <c r="S70" i="6"/>
  <c r="I27" i="6"/>
  <c r="S69" i="6"/>
  <c r="S61" i="6"/>
  <c r="S62" i="6"/>
  <c r="S27" i="6"/>
  <c r="S65" i="6"/>
  <c r="U47" i="6"/>
  <c r="T47" i="6" s="1"/>
  <c r="N30" i="6"/>
  <c r="S30" i="6" s="1"/>
  <c r="N31" i="6"/>
  <c r="S31" i="6" s="1"/>
  <c r="U48" i="6"/>
  <c r="T48" i="6" s="1"/>
  <c r="U51" i="6"/>
  <c r="T51" i="6" s="1"/>
  <c r="N34" i="6"/>
  <c r="S34" i="6" s="1"/>
  <c r="U54" i="6"/>
  <c r="T54" i="6" s="1"/>
  <c r="N37" i="6"/>
  <c r="S37" i="6" s="1"/>
  <c r="S64" i="6"/>
  <c r="H70" i="5"/>
  <c r="H62" i="5"/>
  <c r="U53" i="6"/>
  <c r="T53" i="6" s="1"/>
  <c r="N36" i="6"/>
  <c r="S36" i="6" s="1"/>
  <c r="U45" i="6"/>
  <c r="T45" i="6" s="1"/>
  <c r="N28" i="6"/>
  <c r="S28" i="6" s="1"/>
  <c r="N35" i="6"/>
  <c r="S35" i="6" s="1"/>
  <c r="U52" i="6"/>
  <c r="T52" i="6" s="1"/>
  <c r="S63" i="6"/>
  <c r="U50" i="6"/>
  <c r="T50" i="6" s="1"/>
  <c r="N33" i="6"/>
  <c r="S33" i="6" s="1"/>
  <c r="U46" i="6"/>
  <c r="T46" i="6" s="1"/>
  <c r="N29" i="6"/>
  <c r="S29" i="6" s="1"/>
  <c r="S68" i="6"/>
  <c r="S71" i="6"/>
  <c r="S67" i="6"/>
  <c r="N71" i="5"/>
  <c r="S71" i="5" s="1"/>
  <c r="R14" i="5"/>
  <c r="N13" i="5"/>
  <c r="O30" i="5" s="1"/>
  <c r="N70" i="5"/>
  <c r="S70" i="5" s="1"/>
  <c r="N62" i="5"/>
  <c r="S62" i="5" s="1"/>
  <c r="S16" i="5"/>
  <c r="O63" i="5"/>
  <c r="R17" i="5"/>
  <c r="N61" i="5"/>
  <c r="S61" i="5" s="1"/>
  <c r="S14" i="5"/>
  <c r="N67" i="5"/>
  <c r="S67" i="5" s="1"/>
  <c r="R20" i="5"/>
  <c r="R10" i="5"/>
  <c r="N64" i="5"/>
  <c r="S64" i="5" s="1"/>
  <c r="N17" i="5"/>
  <c r="O34" i="5" s="1"/>
  <c r="N10" i="5"/>
  <c r="O27" i="5" s="1"/>
  <c r="R19" i="5"/>
  <c r="N16" i="5"/>
  <c r="O33" i="5" s="1"/>
  <c r="S18" i="5"/>
  <c r="S17" i="5"/>
  <c r="R13" i="5"/>
  <c r="O71" i="5"/>
  <c r="N19" i="5"/>
  <c r="O36" i="5" s="1"/>
  <c r="N63" i="5"/>
  <c r="S63" i="5" s="1"/>
  <c r="O70" i="5"/>
  <c r="N18" i="5"/>
  <c r="O35" i="5" s="1"/>
  <c r="U44" i="5"/>
  <c r="T44" i="5" s="1"/>
  <c r="S27" i="5"/>
  <c r="R16" i="5"/>
  <c r="S11" i="5"/>
  <c r="N28" i="5" s="1"/>
  <c r="S20" i="5"/>
  <c r="O64" i="5"/>
  <c r="S19" i="5"/>
  <c r="N14" i="5"/>
  <c r="O31" i="5" s="1"/>
  <c r="R11" i="5"/>
  <c r="N12" i="5"/>
  <c r="O29" i="5" s="1"/>
  <c r="N65" i="5"/>
  <c r="S65" i="5" s="1"/>
  <c r="O67" i="5"/>
  <c r="N11" i="5"/>
  <c r="O28" i="5" s="1"/>
  <c r="N20" i="5"/>
  <c r="O37" i="5" s="1"/>
  <c r="O65" i="5"/>
  <c r="O61" i="5"/>
  <c r="N68" i="5"/>
  <c r="S68" i="5" s="1"/>
  <c r="R18" i="5"/>
  <c r="S13" i="5"/>
  <c r="O69" i="5"/>
  <c r="R12" i="5"/>
  <c r="N69" i="5"/>
  <c r="S69" i="5" s="1"/>
  <c r="S12" i="5"/>
  <c r="O62" i="5"/>
  <c r="O68" i="5"/>
  <c r="H69" i="5"/>
  <c r="C36" i="5"/>
  <c r="H36" i="5" s="1"/>
  <c r="J53" i="5"/>
  <c r="I53" i="5" s="1"/>
  <c r="J48" i="5"/>
  <c r="I48" i="5" s="1"/>
  <c r="H31" i="5"/>
  <c r="H30" i="5"/>
  <c r="J47" i="5"/>
  <c r="I47" i="5" s="1"/>
  <c r="H61" i="5"/>
  <c r="J51" i="5"/>
  <c r="I51" i="5" s="1"/>
  <c r="C34" i="5"/>
  <c r="H34" i="5" s="1"/>
  <c r="H65" i="5"/>
  <c r="H33" i="5"/>
  <c r="J50" i="5"/>
  <c r="I50" i="5" s="1"/>
  <c r="J54" i="5"/>
  <c r="I54" i="5" s="1"/>
  <c r="C37" i="5"/>
  <c r="H37" i="5" s="1"/>
  <c r="C35" i="5"/>
  <c r="H35" i="5" s="1"/>
  <c r="J52" i="5"/>
  <c r="I52" i="5" s="1"/>
  <c r="F24" i="2"/>
  <c r="E4" i="1"/>
  <c r="J67" i="5"/>
  <c r="I68" i="6"/>
  <c r="I37" i="6"/>
  <c r="U27" i="6"/>
  <c r="J34" i="5"/>
  <c r="J33" i="5"/>
  <c r="U70" i="6"/>
  <c r="I36" i="6"/>
  <c r="J69" i="5"/>
  <c r="T70" i="6"/>
  <c r="I29" i="5" a="1"/>
  <c r="J28" i="5"/>
  <c r="I61" i="6"/>
  <c r="U67" i="5"/>
  <c r="U29" i="6"/>
  <c r="U64" i="5"/>
  <c r="I30" i="6" a="1"/>
  <c r="U37" i="6"/>
  <c r="U65" i="6"/>
  <c r="J62" i="5"/>
  <c r="U68" i="5"/>
  <c r="U61" i="5"/>
  <c r="I63" i="5"/>
  <c r="J35" i="5"/>
  <c r="I68" i="5"/>
  <c r="U33" i="6"/>
  <c r="I67" i="5"/>
  <c r="J61" i="5"/>
  <c r="U61" i="6"/>
  <c r="U71" i="5"/>
  <c r="I34" i="6"/>
  <c r="U64" i="6"/>
  <c r="I64" i="5"/>
  <c r="U36" i="6"/>
  <c r="I64" i="6"/>
  <c r="J37" i="5"/>
  <c r="I35" i="6"/>
  <c r="J36" i="5"/>
  <c r="I27" i="5" a="1"/>
  <c r="I62" i="6"/>
  <c r="U35" i="6"/>
  <c r="U67" i="6"/>
  <c r="U30" i="6"/>
  <c r="J30" i="5"/>
  <c r="U63" i="5"/>
  <c r="U62" i="5"/>
  <c r="I71" i="6"/>
  <c r="U71" i="6"/>
  <c r="U63" i="6"/>
  <c r="U69" i="5"/>
  <c r="J70" i="5"/>
  <c r="I33" i="6"/>
  <c r="U34" i="6"/>
  <c r="I71" i="5"/>
  <c r="J65" i="5"/>
  <c r="U27" i="5"/>
  <c r="U28" i="6"/>
  <c r="U68" i="6"/>
  <c r="I28" i="6" a="1"/>
  <c r="U31" i="6"/>
  <c r="U65" i="5"/>
  <c r="I31" i="6"/>
  <c r="U69" i="6"/>
  <c r="I29" i="6" a="1"/>
  <c r="U62" i="6"/>
  <c r="J31" i="5"/>
  <c r="U70" i="5"/>
  <c r="I28" i="6" l="1"/>
  <c r="I29" i="6"/>
  <c r="I30" i="6"/>
  <c r="I29" i="5"/>
  <c r="I27" i="5"/>
  <c r="N30" i="5"/>
  <c r="S30" i="5" s="1"/>
  <c r="U47" i="5"/>
  <c r="T47" i="5" s="1"/>
  <c r="N34" i="5"/>
  <c r="S34" i="5" s="1"/>
  <c r="U51" i="5"/>
  <c r="T51" i="5" s="1"/>
  <c r="N33" i="5"/>
  <c r="S33" i="5" s="1"/>
  <c r="U50" i="5"/>
  <c r="T50" i="5" s="1"/>
  <c r="N35" i="5"/>
  <c r="S35" i="5" s="1"/>
  <c r="U52" i="5"/>
  <c r="T52" i="5" s="1"/>
  <c r="U46" i="5"/>
  <c r="T46" i="5" s="1"/>
  <c r="N29" i="5"/>
  <c r="S29" i="5" s="1"/>
  <c r="U53" i="5"/>
  <c r="T53" i="5" s="1"/>
  <c r="N36" i="5"/>
  <c r="S36" i="5" s="1"/>
  <c r="U54" i="5"/>
  <c r="T54" i="5" s="1"/>
  <c r="N37" i="5"/>
  <c r="S37" i="5" s="1"/>
  <c r="N31" i="5"/>
  <c r="S31" i="5" s="1"/>
  <c r="U48" i="5"/>
  <c r="T48" i="5" s="1"/>
  <c r="S28" i="5"/>
  <c r="U45" i="5"/>
  <c r="T45" i="5" s="1"/>
  <c r="U37" i="5"/>
  <c r="I37" i="5"/>
  <c r="T70" i="5"/>
  <c r="T67" i="6"/>
  <c r="I36" i="5"/>
  <c r="U33" i="5"/>
  <c r="T67" i="5"/>
  <c r="I35" i="5"/>
  <c r="I62" i="5"/>
  <c r="T34" i="6"/>
  <c r="I28" i="5" a="1"/>
  <c r="T71" i="6"/>
  <c r="I70" i="5"/>
  <c r="U30" i="5"/>
  <c r="I69" i="5"/>
  <c r="T68" i="5"/>
  <c r="T71" i="5"/>
  <c r="T69" i="5"/>
  <c r="T35" i="6"/>
  <c r="T61" i="5"/>
  <c r="U35" i="5"/>
  <c r="U31" i="5"/>
  <c r="U28" i="5"/>
  <c r="I33" i="5"/>
  <c r="T68" i="6"/>
  <c r="T30" i="6"/>
  <c r="I65" i="5"/>
  <c r="T63" i="5"/>
  <c r="T62" i="5"/>
  <c r="T65" i="5"/>
  <c r="T61" i="6"/>
  <c r="T27" i="5"/>
  <c r="T64" i="6"/>
  <c r="T33" i="6"/>
  <c r="I34" i="5"/>
  <c r="T63" i="6"/>
  <c r="T64" i="5"/>
  <c r="T28" i="6"/>
  <c r="U29" i="5"/>
  <c r="T62" i="6"/>
  <c r="U34" i="5"/>
  <c r="U36" i="5"/>
  <c r="T65" i="6"/>
  <c r="T31" i="6"/>
  <c r="T69" i="6"/>
  <c r="T37" i="6"/>
  <c r="I30" i="5" a="1"/>
  <c r="I31" i="5"/>
  <c r="T36" i="6"/>
  <c r="I61" i="5"/>
  <c r="T27" i="6"/>
  <c r="T29" i="6"/>
  <c r="I28" i="5" l="1"/>
  <c r="I30" i="5"/>
  <c r="M45" i="1"/>
  <c r="M46" i="1"/>
  <c r="M47" i="1"/>
  <c r="M48" i="1"/>
  <c r="M49" i="1"/>
  <c r="M50" i="1"/>
  <c r="M51" i="1"/>
  <c r="M52" i="1"/>
  <c r="M53" i="1"/>
  <c r="M54" i="1"/>
  <c r="M44" i="1"/>
  <c r="B62" i="1"/>
  <c r="B63" i="1"/>
  <c r="B64" i="1"/>
  <c r="B65" i="1"/>
  <c r="B66" i="1"/>
  <c r="B67" i="1"/>
  <c r="B68" i="1"/>
  <c r="B69" i="1"/>
  <c r="B70" i="1"/>
  <c r="B71" i="1"/>
  <c r="B61" i="1"/>
  <c r="J49" i="1"/>
  <c r="T29" i="5"/>
  <c r="T31" i="5"/>
  <c r="F21" i="2"/>
  <c r="T37" i="5"/>
  <c r="F22" i="2"/>
  <c r="T36" i="5"/>
  <c r="T28" i="5"/>
  <c r="T33" i="5"/>
  <c r="T30" i="5"/>
  <c r="T35" i="5"/>
  <c r="T34" i="5"/>
  <c r="E62" i="1" l="1"/>
  <c r="E63" i="1"/>
  <c r="E65" i="1"/>
  <c r="E68" i="1"/>
  <c r="E69" i="1" s="1"/>
  <c r="E70" i="1" s="1"/>
  <c r="E71" i="1" s="1"/>
  <c r="F11" i="2"/>
  <c r="M42" i="1"/>
  <c r="P68" i="1"/>
  <c r="P69" i="1" s="1"/>
  <c r="P70" i="1" s="1"/>
  <c r="P71" i="1" s="1"/>
  <c r="P65" i="1"/>
  <c r="P62" i="1"/>
  <c r="P63" i="1" s="1"/>
  <c r="Q8" i="1"/>
  <c r="P34" i="1"/>
  <c r="P35" i="1" s="1"/>
  <c r="P36" i="1" s="1"/>
  <c r="P37" i="1" s="1"/>
  <c r="P28" i="1"/>
  <c r="P29" i="1" s="1"/>
  <c r="E34" i="1" l="1"/>
  <c r="E35" i="1" s="1"/>
  <c r="E36" i="1" s="1"/>
  <c r="E37" i="1" s="1"/>
  <c r="E28" i="1"/>
  <c r="E29" i="1" s="1"/>
  <c r="E31" i="1" s="1"/>
  <c r="C23" i="1"/>
  <c r="F29" i="1" a="1"/>
  <c r="F31" i="1" a="1"/>
  <c r="C57" i="1" l="1"/>
  <c r="N23" i="1"/>
  <c r="F31" i="1"/>
  <c r="G31" i="1" s="1"/>
  <c r="F29" i="1"/>
  <c r="G29" i="1" s="1"/>
  <c r="F70" i="1" a="1"/>
  <c r="F36" i="1" a="1"/>
  <c r="F34" i="1" a="1"/>
  <c r="F63" i="1" a="1"/>
  <c r="F71" i="1" a="1"/>
  <c r="F30" i="1" a="1"/>
  <c r="F65" i="1" a="1"/>
  <c r="F37" i="1" a="1"/>
  <c r="F67" i="1" a="1"/>
  <c r="F33" i="1" a="1"/>
  <c r="F62" i="1" a="1"/>
  <c r="F64" i="1" a="1"/>
  <c r="Q28" i="1"/>
  <c r="F35" i="1" a="1"/>
  <c r="F61" i="1" a="1"/>
  <c r="Q29" i="1"/>
  <c r="F68" i="1" a="1"/>
  <c r="Q30" i="1"/>
  <c r="F28" i="1"/>
  <c r="F69" i="1" a="1"/>
  <c r="F27" i="1"/>
  <c r="G27" i="1" l="1"/>
  <c r="G28" i="1"/>
  <c r="F36" i="1"/>
  <c r="G36" i="1" s="1"/>
  <c r="F37" i="1"/>
  <c r="G37" i="1" s="1"/>
  <c r="F35" i="1"/>
  <c r="G35" i="1" s="1"/>
  <c r="F33" i="1"/>
  <c r="G33" i="1" s="1"/>
  <c r="F30" i="1"/>
  <c r="G30" i="1" s="1"/>
  <c r="F34" i="1"/>
  <c r="G34" i="1" s="1"/>
  <c r="F69" i="1"/>
  <c r="G69" i="1" s="1"/>
  <c r="F63" i="1"/>
  <c r="G63" i="1" s="1"/>
  <c r="F70" i="1"/>
  <c r="G70" i="1" s="1"/>
  <c r="F67" i="1"/>
  <c r="G67" i="1" s="1"/>
  <c r="F61" i="1"/>
  <c r="G61" i="1" s="1"/>
  <c r="F71" i="1"/>
  <c r="G71" i="1" s="1"/>
  <c r="F65" i="1"/>
  <c r="G65" i="1" s="1"/>
  <c r="F62" i="1"/>
  <c r="G62" i="1" s="1"/>
  <c r="F68" i="1"/>
  <c r="G68" i="1" s="1"/>
  <c r="F64" i="1"/>
  <c r="G64" i="1" s="1"/>
  <c r="E5" i="1"/>
  <c r="R30" i="1"/>
  <c r="R28" i="1"/>
  <c r="R29" i="1"/>
  <c r="N57" i="1"/>
  <c r="Q63" i="1" a="1"/>
  <c r="Q70" i="1" a="1"/>
  <c r="Q68" i="1" a="1"/>
  <c r="Q64" i="1" a="1"/>
  <c r="Q62" i="1" a="1"/>
  <c r="Q65" i="1" a="1"/>
  <c r="Q35" i="1"/>
  <c r="Q69" i="1" a="1"/>
  <c r="Q67" i="1" a="1"/>
  <c r="Q61" i="1" a="1"/>
  <c r="Q36" i="1"/>
  <c r="Q31" i="1"/>
  <c r="Q34" i="1"/>
  <c r="Q27" i="1"/>
  <c r="Q71" i="1" a="1"/>
  <c r="Q33" i="1"/>
  <c r="Q37" i="1"/>
  <c r="R36" i="1" l="1"/>
  <c r="R34" i="1"/>
  <c r="Q65" i="1"/>
  <c r="R65" i="1" s="1"/>
  <c r="Q64" i="1"/>
  <c r="R64" i="1" s="1"/>
  <c r="Q62" i="1"/>
  <c r="R62" i="1" s="1"/>
  <c r="Q63" i="1"/>
  <c r="R63" i="1" s="1"/>
  <c r="Q61" i="1"/>
  <c r="R61" i="1" s="1"/>
  <c r="R33" i="1"/>
  <c r="R27" i="1"/>
  <c r="R37" i="1"/>
  <c r="Q68" i="1"/>
  <c r="R68" i="1" s="1"/>
  <c r="Q69" i="1"/>
  <c r="R69" i="1" s="1"/>
  <c r="R31" i="1"/>
  <c r="R35" i="1"/>
  <c r="Q71" i="1"/>
  <c r="R71" i="1" s="1"/>
  <c r="Q67" i="1"/>
  <c r="R67" i="1" s="1"/>
  <c r="Q70" i="1"/>
  <c r="R70" i="1" s="1"/>
  <c r="D8" i="1"/>
  <c r="E9" i="2"/>
  <c r="H10" i="1"/>
  <c r="D42" i="1" l="1"/>
  <c r="O8" i="1"/>
  <c r="C50" i="1"/>
  <c r="H17" i="1" a="1"/>
  <c r="G10" i="1" a="1"/>
  <c r="C48" i="1"/>
  <c r="H44" i="1"/>
  <c r="I13" i="2" a="1"/>
  <c r="G48" i="1"/>
  <c r="H52" i="1"/>
  <c r="C47" i="1"/>
  <c r="G11" i="1" a="1"/>
  <c r="H50" i="1"/>
  <c r="G51" i="1"/>
  <c r="G14" i="1" a="1"/>
  <c r="G53" i="1"/>
  <c r="I27" i="2"/>
  <c r="C52" i="1"/>
  <c r="C19" i="1" a="1"/>
  <c r="I26" i="2"/>
  <c r="H13" i="2" a="1"/>
  <c r="C53" i="1"/>
  <c r="I28" i="2"/>
  <c r="H20" i="1" a="1"/>
  <c r="H48" i="1"/>
  <c r="I25" i="2"/>
  <c r="H19" i="1" a="1"/>
  <c r="G19" i="1" a="1"/>
  <c r="C20" i="1" a="1"/>
  <c r="H53" i="1"/>
  <c r="D26" i="2" a="1"/>
  <c r="H47" i="1"/>
  <c r="H14" i="1" a="1"/>
  <c r="H25" i="2" a="1"/>
  <c r="H45" i="1"/>
  <c r="C44" i="1"/>
  <c r="I12" i="2" a="1"/>
  <c r="G13" i="1" a="1"/>
  <c r="G47" i="1"/>
  <c r="H28" i="2" a="1"/>
  <c r="H18" i="1" a="1"/>
  <c r="H13" i="1" a="1"/>
  <c r="H26" i="2" a="1"/>
  <c r="G44" i="1"/>
  <c r="G50" i="1"/>
  <c r="C13" i="1" a="1"/>
  <c r="C17" i="1" a="1"/>
  <c r="D25" i="2" a="1"/>
  <c r="G12" i="1" a="1"/>
  <c r="G45" i="1"/>
  <c r="C18" i="1" a="1"/>
  <c r="C12" i="1" a="1"/>
  <c r="I14" i="2" a="1"/>
  <c r="C16" i="1" a="1"/>
  <c r="C45" i="1"/>
  <c r="D27" i="2" a="1"/>
  <c r="C51" i="1"/>
  <c r="G20" i="1" a="1"/>
  <c r="H12" i="2" a="1"/>
  <c r="H46" i="1"/>
  <c r="D28" i="2" a="1"/>
  <c r="I15" i="2" a="1"/>
  <c r="C14" i="1" a="1"/>
  <c r="H16" i="1" a="1"/>
  <c r="G17" i="1" a="1"/>
  <c r="C54" i="1"/>
  <c r="G16" i="1" a="1"/>
  <c r="G18" i="1" a="1"/>
  <c r="H54" i="1"/>
  <c r="D12" i="2" a="1"/>
  <c r="G52" i="1"/>
  <c r="H51" i="1"/>
  <c r="D14" i="2" a="1"/>
  <c r="C46" i="1"/>
  <c r="D13" i="2" a="1"/>
  <c r="G54" i="1"/>
  <c r="H27" i="2" a="1"/>
  <c r="H11" i="1" a="1"/>
  <c r="H12" i="1" a="1"/>
  <c r="C10" i="1" a="1"/>
  <c r="C11" i="1" a="1"/>
  <c r="G46" i="1"/>
  <c r="H15" i="2" a="1"/>
  <c r="H14" i="2" a="1"/>
  <c r="D15" i="2" a="1"/>
  <c r="H11" i="1" l="1"/>
  <c r="C10" i="1"/>
  <c r="D27" i="1" s="1"/>
  <c r="G12" i="1"/>
  <c r="J44" i="1"/>
  <c r="C12" i="1"/>
  <c r="D29" i="1" s="1"/>
  <c r="G20" i="1"/>
  <c r="C20" i="1"/>
  <c r="D37" i="1" s="1"/>
  <c r="G19" i="1"/>
  <c r="H12" i="1"/>
  <c r="C29" i="1" s="1"/>
  <c r="H29" i="1" s="1"/>
  <c r="H17" i="1"/>
  <c r="C34" i="1" s="1"/>
  <c r="H34" i="1" s="1"/>
  <c r="G10" i="1"/>
  <c r="G17" i="1"/>
  <c r="G11" i="1"/>
  <c r="G18" i="1"/>
  <c r="D67" i="1"/>
  <c r="C71" i="1"/>
  <c r="H71" i="1" s="1"/>
  <c r="D61" i="1"/>
  <c r="D62" i="1"/>
  <c r="C63" i="1"/>
  <c r="H63" i="1" s="1"/>
  <c r="D68" i="1"/>
  <c r="D69" i="1"/>
  <c r="C68" i="1"/>
  <c r="H68" i="1" s="1"/>
  <c r="D63" i="1"/>
  <c r="C62" i="1"/>
  <c r="H62" i="1" s="1"/>
  <c r="I12" i="2"/>
  <c r="C18" i="2" s="1"/>
  <c r="H15" i="2"/>
  <c r="D15" i="2"/>
  <c r="D22" i="2" s="1"/>
  <c r="I14" i="2"/>
  <c r="C21" i="2" s="1"/>
  <c r="H12" i="2"/>
  <c r="H25" i="2"/>
  <c r="D25" i="2"/>
  <c r="D31" i="2" s="1"/>
  <c r="C31" i="2"/>
  <c r="I15" i="2"/>
  <c r="C22" i="2" s="1"/>
  <c r="H28" i="2"/>
  <c r="D27" i="2"/>
  <c r="D34" i="2" s="1"/>
  <c r="C35" i="2"/>
  <c r="C16" i="1"/>
  <c r="D33" i="1" s="1"/>
  <c r="H18" i="1"/>
  <c r="G14" i="1"/>
  <c r="H16" i="1"/>
  <c r="C19" i="1"/>
  <c r="D36" i="1" s="1"/>
  <c r="C14" i="1"/>
  <c r="D31" i="1" s="1"/>
  <c r="C17" i="1"/>
  <c r="D34" i="1" s="1"/>
  <c r="C18" i="1"/>
  <c r="D35" i="1" s="1"/>
  <c r="H13" i="1"/>
  <c r="C30" i="1" s="1"/>
  <c r="H30" i="1" s="1"/>
  <c r="H14" i="1"/>
  <c r="C31" i="1" s="1"/>
  <c r="H31" i="1" s="1"/>
  <c r="C11" i="1"/>
  <c r="D28" i="1" s="1"/>
  <c r="H19" i="1"/>
  <c r="J53" i="1" s="1"/>
  <c r="I53" i="1" s="1"/>
  <c r="G13" i="1"/>
  <c r="G16" i="1"/>
  <c r="C13" i="1"/>
  <c r="D30" i="1" s="1"/>
  <c r="H20" i="1"/>
  <c r="C67" i="1"/>
  <c r="H67" i="1" s="1"/>
  <c r="D70" i="1"/>
  <c r="C70" i="1"/>
  <c r="H70" i="1" s="1"/>
  <c r="D64" i="1"/>
  <c r="C65" i="1"/>
  <c r="H65" i="1" s="1"/>
  <c r="D71" i="1"/>
  <c r="C69" i="1"/>
  <c r="H69" i="1" s="1"/>
  <c r="D65" i="1"/>
  <c r="C61" i="1"/>
  <c r="H61" i="1" s="1"/>
  <c r="C64" i="1"/>
  <c r="H64" i="1" s="1"/>
  <c r="I13" i="2"/>
  <c r="C19" i="2" s="1"/>
  <c r="D12" i="2"/>
  <c r="D18" i="2" s="1"/>
  <c r="D13" i="2"/>
  <c r="D19" i="2" s="1"/>
  <c r="H14" i="2"/>
  <c r="H13" i="2"/>
  <c r="D28" i="2"/>
  <c r="D35" i="2" s="1"/>
  <c r="H27" i="2"/>
  <c r="C34" i="2"/>
  <c r="D14" i="2"/>
  <c r="D21" i="2" s="1"/>
  <c r="H26" i="2"/>
  <c r="D26" i="2"/>
  <c r="D32" i="2" s="1"/>
  <c r="C32" i="2"/>
  <c r="O42" i="1"/>
  <c r="C37" i="1"/>
  <c r="H37" i="1" s="1"/>
  <c r="J54" i="1"/>
  <c r="I54" i="1" s="1"/>
  <c r="N14" i="1" a="1"/>
  <c r="J31" i="1"/>
  <c r="S46" i="1"/>
  <c r="F35" i="2" a="1"/>
  <c r="R17" i="1" a="1"/>
  <c r="F32" i="2" a="1"/>
  <c r="S12" i="1" a="1"/>
  <c r="S18" i="1" a="1"/>
  <c r="N44" i="1"/>
  <c r="J64" i="1"/>
  <c r="J62" i="1"/>
  <c r="R48" i="1"/>
  <c r="R47" i="1"/>
  <c r="S53" i="1"/>
  <c r="R13" i="1" a="1"/>
  <c r="N46" i="1"/>
  <c r="S14" i="1" a="1"/>
  <c r="S50" i="1"/>
  <c r="J67" i="1"/>
  <c r="R44" i="1"/>
  <c r="R51" i="1"/>
  <c r="N50" i="1"/>
  <c r="N13" i="1" a="1"/>
  <c r="S19" i="1" a="1"/>
  <c r="S47" i="1"/>
  <c r="J70" i="1"/>
  <c r="S44" i="1"/>
  <c r="S17" i="1" a="1"/>
  <c r="R20" i="1" a="1"/>
  <c r="R16" i="1" a="1"/>
  <c r="R50" i="1"/>
  <c r="S45" i="1"/>
  <c r="R18" i="1" a="1"/>
  <c r="S16" i="1" a="1"/>
  <c r="S20" i="1" a="1"/>
  <c r="N52" i="1"/>
  <c r="N10" i="1" a="1"/>
  <c r="R46" i="1"/>
  <c r="F34" i="2" a="1"/>
  <c r="S10" i="1"/>
  <c r="J63" i="1"/>
  <c r="S13" i="1" a="1"/>
  <c r="N11" i="1" a="1"/>
  <c r="N54" i="1"/>
  <c r="J68" i="1"/>
  <c r="R10" i="1" a="1"/>
  <c r="N51" i="1"/>
  <c r="R53" i="1"/>
  <c r="N19" i="1" a="1"/>
  <c r="R12" i="1" a="1"/>
  <c r="N17" i="1" a="1"/>
  <c r="J69" i="1"/>
  <c r="J71" i="1"/>
  <c r="J37" i="1"/>
  <c r="F31" i="2"/>
  <c r="S48" i="1"/>
  <c r="J61" i="1"/>
  <c r="N45" i="1"/>
  <c r="R19" i="1" a="1"/>
  <c r="N47" i="1"/>
  <c r="N12" i="1" a="1"/>
  <c r="S11" i="1" a="1"/>
  <c r="N48" i="1"/>
  <c r="R54" i="1"/>
  <c r="J34" i="1"/>
  <c r="J30" i="1"/>
  <c r="S54" i="1"/>
  <c r="S51" i="1"/>
  <c r="S52" i="1"/>
  <c r="R52" i="1"/>
  <c r="N53" i="1"/>
  <c r="J65" i="1"/>
  <c r="R14" i="1" a="1"/>
  <c r="N18" i="1" a="1"/>
  <c r="N16" i="1" a="1"/>
  <c r="R11" i="1" a="1"/>
  <c r="J29" i="1"/>
  <c r="R45" i="1"/>
  <c r="N20" i="1" a="1"/>
  <c r="J47" i="1" l="1"/>
  <c r="I47" i="1" s="1"/>
  <c r="C36" i="1"/>
  <c r="H36" i="1" s="1"/>
  <c r="J48" i="1"/>
  <c r="I48" i="1" s="1"/>
  <c r="J51" i="1"/>
  <c r="I51" i="1" s="1"/>
  <c r="J46" i="1"/>
  <c r="I46" i="1" s="1"/>
  <c r="R18" i="1"/>
  <c r="S19" i="1"/>
  <c r="U53" i="1" s="1"/>
  <c r="T53" i="1" s="1"/>
  <c r="R11" i="1"/>
  <c r="R20" i="1"/>
  <c r="N16" i="1"/>
  <c r="O33" i="1" s="1"/>
  <c r="R17" i="1"/>
  <c r="N19" i="1"/>
  <c r="O36" i="1" s="1"/>
  <c r="N14" i="1"/>
  <c r="O31" i="1" s="1"/>
  <c r="R13" i="1"/>
  <c r="N20" i="1"/>
  <c r="O37" i="1" s="1"/>
  <c r="S16" i="1"/>
  <c r="U50" i="1" s="1"/>
  <c r="T50" i="1" s="1"/>
  <c r="N18" i="1"/>
  <c r="O35" i="1" s="1"/>
  <c r="S20" i="1"/>
  <c r="U54" i="1" s="1"/>
  <c r="T54" i="1" s="1"/>
  <c r="R10" i="1"/>
  <c r="S18" i="1"/>
  <c r="N35" i="1" s="1"/>
  <c r="S35" i="1" s="1"/>
  <c r="O68" i="1"/>
  <c r="O64" i="1"/>
  <c r="O62" i="1"/>
  <c r="N68" i="1"/>
  <c r="S68" i="1" s="1"/>
  <c r="N64" i="1"/>
  <c r="S64" i="1" s="1"/>
  <c r="N62" i="1"/>
  <c r="S62" i="1" s="1"/>
  <c r="O67" i="1"/>
  <c r="O71" i="1"/>
  <c r="N67" i="1"/>
  <c r="S67" i="1" s="1"/>
  <c r="N71" i="1"/>
  <c r="S71" i="1" s="1"/>
  <c r="R14" i="1"/>
  <c r="N13" i="1"/>
  <c r="O30" i="1" s="1"/>
  <c r="S14" i="1"/>
  <c r="N31" i="1" s="1"/>
  <c r="S31" i="1" s="1"/>
  <c r="S13" i="1"/>
  <c r="N30" i="1" s="1"/>
  <c r="S30" i="1" s="1"/>
  <c r="S12" i="1"/>
  <c r="U46" i="1" s="1"/>
  <c r="T46" i="1" s="1"/>
  <c r="R16" i="1"/>
  <c r="S11" i="1"/>
  <c r="N28" i="1" s="1"/>
  <c r="S28" i="1" s="1"/>
  <c r="S17" i="1"/>
  <c r="N34" i="1" s="1"/>
  <c r="S34" i="1" s="1"/>
  <c r="N11" i="1"/>
  <c r="O28" i="1" s="1"/>
  <c r="R12" i="1"/>
  <c r="R19" i="1"/>
  <c r="N10" i="1"/>
  <c r="O27" i="1" s="1"/>
  <c r="N17" i="1"/>
  <c r="O34" i="1" s="1"/>
  <c r="N12" i="1"/>
  <c r="O29" i="1" s="1"/>
  <c r="O65" i="1"/>
  <c r="O63" i="1"/>
  <c r="N69" i="1"/>
  <c r="S69" i="1" s="1"/>
  <c r="N63" i="1"/>
  <c r="S63" i="1" s="1"/>
  <c r="O61" i="1"/>
  <c r="O69" i="1"/>
  <c r="O70" i="1"/>
  <c r="N61" i="1"/>
  <c r="S61" i="1" s="1"/>
  <c r="N65" i="1"/>
  <c r="S65" i="1" s="1"/>
  <c r="N70" i="1"/>
  <c r="S70" i="1" s="1"/>
  <c r="C33" i="1"/>
  <c r="H33" i="1" s="1"/>
  <c r="J50" i="1"/>
  <c r="I50" i="1" s="1"/>
  <c r="J52" i="1"/>
  <c r="I52" i="1" s="1"/>
  <c r="C35" i="1"/>
  <c r="H35" i="1" s="1"/>
  <c r="C27" i="1"/>
  <c r="H27" i="1" s="1"/>
  <c r="I44" i="1"/>
  <c r="C28" i="1"/>
  <c r="H28" i="1" s="1"/>
  <c r="J45" i="1"/>
  <c r="I45" i="1" s="1"/>
  <c r="U44" i="1"/>
  <c r="T44" i="1" s="1"/>
  <c r="N27" i="1"/>
  <c r="S27" i="1" s="1"/>
  <c r="G18" i="2"/>
  <c r="H18" i="2" s="1"/>
  <c r="G22" i="2"/>
  <c r="H22" i="2" s="1"/>
  <c r="G21" i="2"/>
  <c r="H21" i="2" s="1"/>
  <c r="F35" i="2"/>
  <c r="G35" i="2" s="1"/>
  <c r="H35" i="2" s="1"/>
  <c r="G31" i="2"/>
  <c r="H31" i="2" s="1"/>
  <c r="F32" i="2"/>
  <c r="G32" i="2" s="1"/>
  <c r="H32" i="2" s="1"/>
  <c r="F34" i="2"/>
  <c r="G34" i="2" s="1"/>
  <c r="H34" i="2" s="1"/>
  <c r="G19" i="2"/>
  <c r="H19" i="2" s="1"/>
  <c r="J27" i="1"/>
  <c r="J35" i="1"/>
  <c r="I29" i="1" a="1"/>
  <c r="U31" i="1"/>
  <c r="I34" i="1"/>
  <c r="J28" i="1"/>
  <c r="U30" i="1"/>
  <c r="U70" i="1"/>
  <c r="I65" i="1"/>
  <c r="J18" i="2"/>
  <c r="U64" i="1"/>
  <c r="I62" i="1"/>
  <c r="I64" i="1"/>
  <c r="J34" i="2"/>
  <c r="J19" i="2"/>
  <c r="U34" i="1"/>
  <c r="U28" i="1"/>
  <c r="J35" i="2"/>
  <c r="U69" i="1"/>
  <c r="J22" i="2"/>
  <c r="I69" i="1"/>
  <c r="U65" i="1"/>
  <c r="I30" i="1" a="1"/>
  <c r="J32" i="2"/>
  <c r="J31" i="2"/>
  <c r="U68" i="1"/>
  <c r="U62" i="1"/>
  <c r="U67" i="1"/>
  <c r="I31" i="1"/>
  <c r="U63" i="1"/>
  <c r="I61" i="1"/>
  <c r="J36" i="1"/>
  <c r="U71" i="1"/>
  <c r="I37" i="1"/>
  <c r="I70" i="1"/>
  <c r="I71" i="1"/>
  <c r="I67" i="1"/>
  <c r="U61" i="1"/>
  <c r="I68" i="1"/>
  <c r="U35" i="1"/>
  <c r="I63" i="1"/>
  <c r="J33" i="1"/>
  <c r="J21" i="2"/>
  <c r="U27" i="1"/>
  <c r="N36" i="1" l="1"/>
  <c r="S36" i="1" s="1"/>
  <c r="U51" i="1"/>
  <c r="T51" i="1" s="1"/>
  <c r="N29" i="1"/>
  <c r="S29" i="1" s="1"/>
  <c r="N37" i="1"/>
  <c r="S37" i="1" s="1"/>
  <c r="U52" i="1"/>
  <c r="T52" i="1" s="1"/>
  <c r="N33" i="1"/>
  <c r="S33" i="1" s="1"/>
  <c r="U45" i="1"/>
  <c r="T45" i="1" s="1"/>
  <c r="I29" i="1"/>
  <c r="I30" i="1"/>
  <c r="U48" i="1"/>
  <c r="T48" i="1" s="1"/>
  <c r="U47" i="1"/>
  <c r="T47" i="1" s="1"/>
  <c r="U36" i="1"/>
  <c r="I36" i="1"/>
  <c r="T27" i="1"/>
  <c r="T71" i="1"/>
  <c r="I21" i="2"/>
  <c r="I18" i="2"/>
  <c r="T36" i="1"/>
  <c r="I22" i="2"/>
  <c r="I19" i="2"/>
  <c r="T69" i="1"/>
  <c r="I35" i="1"/>
  <c r="U33" i="1"/>
  <c r="T70" i="1"/>
  <c r="T65" i="1"/>
  <c r="T64" i="1"/>
  <c r="I35" i="2"/>
  <c r="I34" i="2"/>
  <c r="T35" i="1"/>
  <c r="T28" i="1"/>
  <c r="U29" i="1"/>
  <c r="T61" i="1"/>
  <c r="T62" i="1"/>
  <c r="I33" i="1"/>
  <c r="T31" i="1"/>
  <c r="T30" i="1"/>
  <c r="I31" i="2"/>
  <c r="T63" i="1"/>
  <c r="I28" i="1" a="1"/>
  <c r="T34" i="1"/>
  <c r="U37" i="1"/>
  <c r="I32" i="2"/>
  <c r="I27" i="1" a="1"/>
  <c r="T67" i="1"/>
  <c r="T68" i="1"/>
  <c r="I27" i="1" l="1"/>
  <c r="I28" i="1"/>
  <c r="T37" i="1"/>
  <c r="T33" i="1"/>
  <c r="T29" i="1"/>
</calcChain>
</file>

<file path=xl/sharedStrings.xml><?xml version="1.0" encoding="utf-8"?>
<sst xmlns="http://schemas.openxmlformats.org/spreadsheetml/2006/main" count="1329" uniqueCount="75">
  <si>
    <t>仕上げ</t>
    <rPh sb="0" eb="2">
      <t>シア</t>
    </rPh>
    <phoneticPr fontId="1"/>
  </si>
  <si>
    <t>L(スパン）</t>
    <phoneticPr fontId="1"/>
  </si>
  <si>
    <t>Σ＝</t>
    <phoneticPr fontId="1"/>
  </si>
  <si>
    <t>t(スラブ厚)</t>
    <rPh sb="5" eb="6">
      <t>アツ</t>
    </rPh>
    <phoneticPr fontId="1"/>
  </si>
  <si>
    <t>Mf1</t>
    <phoneticPr fontId="1"/>
  </si>
  <si>
    <t>Mf3</t>
    <phoneticPr fontId="1"/>
  </si>
  <si>
    <t>Mf5</t>
    <phoneticPr fontId="1"/>
  </si>
  <si>
    <t>Mg1</t>
    <phoneticPr fontId="1"/>
  </si>
  <si>
    <t>Mg2</t>
    <phoneticPr fontId="1"/>
  </si>
  <si>
    <t>Mg3</t>
    <phoneticPr fontId="1"/>
  </si>
  <si>
    <t>Mg5</t>
    <phoneticPr fontId="1"/>
  </si>
  <si>
    <t>g(固定荷重）</t>
    <rPh sb="2" eb="4">
      <t>コテイ</t>
    </rPh>
    <rPh sb="4" eb="6">
      <t>カジュウ</t>
    </rPh>
    <phoneticPr fontId="1"/>
  </si>
  <si>
    <t>p(積載荷重）</t>
    <rPh sb="2" eb="4">
      <t>セキサイ</t>
    </rPh>
    <rPh sb="4" eb="6">
      <t>カジュウ</t>
    </rPh>
    <phoneticPr fontId="1"/>
  </si>
  <si>
    <t>柱列帯</t>
    <rPh sb="0" eb="1">
      <t>チュウ</t>
    </rPh>
    <rPh sb="1" eb="2">
      <t>レツ</t>
    </rPh>
    <rPh sb="2" eb="3">
      <t>オビ</t>
    </rPh>
    <phoneticPr fontId="1"/>
  </si>
  <si>
    <t>Mg4</t>
    <phoneticPr fontId="1"/>
  </si>
  <si>
    <t>柱間帯</t>
    <rPh sb="0" eb="1">
      <t>ハシラ</t>
    </rPh>
    <rPh sb="1" eb="2">
      <t>アイダ</t>
    </rPh>
    <rPh sb="2" eb="3">
      <t>オビ</t>
    </rPh>
    <phoneticPr fontId="1"/>
  </si>
  <si>
    <t>Mf2</t>
    <phoneticPr fontId="1"/>
  </si>
  <si>
    <t>Mf4</t>
    <phoneticPr fontId="1"/>
  </si>
  <si>
    <t>D13</t>
    <phoneticPr fontId="1"/>
  </si>
  <si>
    <t>t</t>
    <phoneticPr fontId="1"/>
  </si>
  <si>
    <t>上かぶり</t>
    <rPh sb="0" eb="1">
      <t>ウエ</t>
    </rPh>
    <phoneticPr fontId="1"/>
  </si>
  <si>
    <t>下かぶり</t>
    <rPh sb="0" eb="1">
      <t>シタ</t>
    </rPh>
    <phoneticPr fontId="1"/>
  </si>
  <si>
    <t>M</t>
    <phoneticPr fontId="1"/>
  </si>
  <si>
    <t>位置</t>
    <rPh sb="0" eb="2">
      <t>イチ</t>
    </rPh>
    <phoneticPr fontId="1"/>
  </si>
  <si>
    <t>上・下</t>
    <rPh sb="0" eb="1">
      <t>ウエ</t>
    </rPh>
    <rPh sb="2" eb="3">
      <t>シタ</t>
    </rPh>
    <phoneticPr fontId="1"/>
  </si>
  <si>
    <t>ft</t>
    <phoneticPr fontId="1"/>
  </si>
  <si>
    <t>長辺</t>
    <rPh sb="0" eb="2">
      <t>チョウヘン</t>
    </rPh>
    <phoneticPr fontId="1"/>
  </si>
  <si>
    <t>短辺</t>
    <rPh sb="0" eb="2">
      <t>タンペン</t>
    </rPh>
    <phoneticPr fontId="1"/>
  </si>
  <si>
    <t>外側長辺</t>
    <rPh sb="0" eb="2">
      <t>ソトガワ</t>
    </rPh>
    <rPh sb="2" eb="4">
      <t>チョウヘン</t>
    </rPh>
    <phoneticPr fontId="1"/>
  </si>
  <si>
    <t>外側短辺</t>
    <rPh sb="0" eb="2">
      <t>ソトガワ</t>
    </rPh>
    <rPh sb="2" eb="4">
      <t>タンペン</t>
    </rPh>
    <phoneticPr fontId="1"/>
  </si>
  <si>
    <t>位置</t>
    <rPh sb="0" eb="2">
      <t>イチ</t>
    </rPh>
    <phoneticPr fontId="1"/>
  </si>
  <si>
    <t>use</t>
    <phoneticPr fontId="1"/>
  </si>
  <si>
    <t>d</t>
    <phoneticPr fontId="1"/>
  </si>
  <si>
    <t>j</t>
    <phoneticPr fontId="1"/>
  </si>
  <si>
    <t>at</t>
    <phoneticPr fontId="1"/>
  </si>
  <si>
    <t>フラットプレートの検討</t>
    <rPh sb="9" eb="11">
      <t>ケントウ</t>
    </rPh>
    <phoneticPr fontId="1"/>
  </si>
  <si>
    <t>1.諸条件</t>
    <rPh sb="2" eb="5">
      <t>ショジョウケン</t>
    </rPh>
    <phoneticPr fontId="1"/>
  </si>
  <si>
    <t>長辺スパン：L</t>
    <rPh sb="0" eb="2">
      <t>チョウヘン</t>
    </rPh>
    <phoneticPr fontId="1"/>
  </si>
  <si>
    <t>短辺スパン：L</t>
    <rPh sb="0" eb="1">
      <t>タン</t>
    </rPh>
    <rPh sb="1" eb="2">
      <t>ヘン</t>
    </rPh>
    <phoneticPr fontId="1"/>
  </si>
  <si>
    <t>m</t>
    <phoneticPr fontId="1"/>
  </si>
  <si>
    <t>mm</t>
    <phoneticPr fontId="1"/>
  </si>
  <si>
    <t>上ｶﾌﾞﾘ</t>
    <rPh sb="0" eb="1">
      <t>ウエ</t>
    </rPh>
    <phoneticPr fontId="1"/>
  </si>
  <si>
    <t>下ｶﾌﾞﾘ</t>
    <rPh sb="0" eb="1">
      <t>シタ</t>
    </rPh>
    <phoneticPr fontId="1"/>
  </si>
  <si>
    <t>スラブ厚:t</t>
    <rPh sb="3" eb="4">
      <t>アツ</t>
    </rPh>
    <phoneticPr fontId="1"/>
  </si>
  <si>
    <t>2.荷重事項</t>
    <rPh sb="2" eb="4">
      <t>カジュウ</t>
    </rPh>
    <rPh sb="4" eb="6">
      <t>ジコウ</t>
    </rPh>
    <phoneticPr fontId="1"/>
  </si>
  <si>
    <t>3.長辺応力算定</t>
    <rPh sb="2" eb="4">
      <t>チョウヘン</t>
    </rPh>
    <rPh sb="4" eb="6">
      <t>オウリョク</t>
    </rPh>
    <rPh sb="6" eb="8">
      <t>サンテイ</t>
    </rPh>
    <phoneticPr fontId="1"/>
  </si>
  <si>
    <t>ｍ</t>
    <phoneticPr fontId="1"/>
  </si>
  <si>
    <t>4.長辺断面算定</t>
    <rPh sb="2" eb="4">
      <t>チョウヘン</t>
    </rPh>
    <rPh sb="4" eb="6">
      <t>ダンメン</t>
    </rPh>
    <rPh sb="6" eb="8">
      <t>サンテイ</t>
    </rPh>
    <phoneticPr fontId="1"/>
  </si>
  <si>
    <t>5.短辺応力算定</t>
    <rPh sb="2" eb="4">
      <t>タンペン</t>
    </rPh>
    <rPh sb="4" eb="6">
      <t>オウリョク</t>
    </rPh>
    <rPh sb="6" eb="8">
      <t>サンテイ</t>
    </rPh>
    <phoneticPr fontId="1"/>
  </si>
  <si>
    <t>M</t>
    <phoneticPr fontId="1"/>
  </si>
  <si>
    <t>4.短辺断面算定</t>
    <rPh sb="2" eb="4">
      <t>タンペン</t>
    </rPh>
    <rPh sb="4" eb="6">
      <t>ダンメン</t>
    </rPh>
    <rPh sb="6" eb="8">
      <t>サンテイ</t>
    </rPh>
    <phoneticPr fontId="1"/>
  </si>
  <si>
    <t>at_n</t>
    <phoneticPr fontId="1"/>
  </si>
  <si>
    <t>at_n=M/(ft*j)</t>
    <phoneticPr fontId="1"/>
  </si>
  <si>
    <t>USE_BAR</t>
    <phoneticPr fontId="1"/>
  </si>
  <si>
    <t>Mf1'</t>
    <phoneticPr fontId="1"/>
  </si>
  <si>
    <t>Mf3'</t>
    <phoneticPr fontId="1"/>
  </si>
  <si>
    <t>Mf5'</t>
    <phoneticPr fontId="1"/>
  </si>
  <si>
    <t>Mf2'</t>
    <phoneticPr fontId="1"/>
  </si>
  <si>
    <t>Mf4'</t>
    <phoneticPr fontId="1"/>
  </si>
  <si>
    <t>Mg1'</t>
    <phoneticPr fontId="1"/>
  </si>
  <si>
    <t>Mg3'</t>
    <phoneticPr fontId="1"/>
  </si>
  <si>
    <t>Mg5'</t>
    <phoneticPr fontId="1"/>
  </si>
  <si>
    <t>Mg2'</t>
    <phoneticPr fontId="1"/>
  </si>
  <si>
    <t>Mg4'</t>
    <phoneticPr fontId="1"/>
  </si>
  <si>
    <t>D10D13</t>
    <phoneticPr fontId="1"/>
  </si>
  <si>
    <t>外側</t>
    <rPh sb="0" eb="2">
      <t>ソトガワ</t>
    </rPh>
    <phoneticPr fontId="1"/>
  </si>
  <si>
    <t>D10</t>
    <phoneticPr fontId="1"/>
  </si>
  <si>
    <t>D10D13</t>
    <phoneticPr fontId="1"/>
  </si>
  <si>
    <t>G+P</t>
    <phoneticPr fontId="1"/>
  </si>
  <si>
    <t>M=1/2*(G+P)*L^2=</t>
    <phoneticPr fontId="1"/>
  </si>
  <si>
    <t>Ps(洗車機)</t>
    <rPh sb="3" eb="5">
      <t>センシャ</t>
    </rPh>
    <rPh sb="5" eb="6">
      <t>キ</t>
    </rPh>
    <phoneticPr fontId="1"/>
  </si>
  <si>
    <t>M=Ps*L=</t>
    <phoneticPr fontId="1"/>
  </si>
  <si>
    <t>M=3/16*Ps*L^2=</t>
    <phoneticPr fontId="1"/>
  </si>
  <si>
    <t>M=5/32*Ps*L^2=</t>
    <phoneticPr fontId="1"/>
  </si>
  <si>
    <t>D10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</si>
</sst>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0"/>
    <numFmt numFmtId="178" formatCode="0.0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2060"/>
      <name val="游ゴシック"/>
      <family val="2"/>
      <charset val="128"/>
      <scheme val="minor"/>
    </font>
    <font>
      <sz val="11"/>
      <color rgb="FF00206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8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1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A1198-3594-4455-96A1-7B8307D1AD18}">
  <sheetPr codeName="Sheet11"/>
  <dimension ref="B3:U71"/>
  <sheetViews>
    <sheetView tabSelected="1" workbookViewId="0">
      <selection activeCell="B10" sqref="B10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v>1200</v>
      </c>
    </row>
    <row r="4" spans="2:19" x14ac:dyDescent="0.45">
      <c r="C4" s="2" t="s">
        <v>3</v>
      </c>
      <c r="D4">
        <v>150</v>
      </c>
      <c r="E4">
        <f>D4*24000/1000</f>
        <v>3600</v>
      </c>
    </row>
    <row r="5" spans="2:19" x14ac:dyDescent="0.45">
      <c r="C5" s="2"/>
      <c r="D5" s="3" t="s">
        <v>2</v>
      </c>
      <c r="E5">
        <f>SUM(E3:E4)</f>
        <v>4800</v>
      </c>
    </row>
    <row r="6" spans="2:19" x14ac:dyDescent="0.45">
      <c r="B6" t="s">
        <v>26</v>
      </c>
      <c r="C6" s="2"/>
      <c r="D6" s="3"/>
      <c r="M6" t="s">
        <v>27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5">
      <c r="B8" s="24">
        <v>4</v>
      </c>
      <c r="C8" s="24"/>
      <c r="D8" s="24">
        <f>E5</f>
        <v>4800</v>
      </c>
      <c r="E8" s="24"/>
      <c r="F8" s="24">
        <v>2900</v>
      </c>
      <c r="G8" s="24"/>
      <c r="M8" s="24">
        <v>3.6</v>
      </c>
      <c r="N8" s="24"/>
      <c r="O8" s="24">
        <v>4250</v>
      </c>
      <c r="P8" s="24"/>
      <c r="Q8" s="24">
        <f>F8</f>
        <v>2900</v>
      </c>
      <c r="R8" s="24"/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10.2667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7.7220000000000004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15.4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11.583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12.32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9.2664000000000009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7.4092000000000002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5.6451000000000002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6.5231000000000003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5.0095000000000001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3.4222000000000001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2.5739999999999998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5.1333000000000002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3.8610000000000002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4.1067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3.0888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5.8537999999999997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4.4675000000000002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5.3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4.0702999999999996</v>
      </c>
    </row>
    <row r="22" spans="2:21" x14ac:dyDescent="0.45">
      <c r="B22" t="s">
        <v>23</v>
      </c>
      <c r="C22" s="24" t="s">
        <v>19</v>
      </c>
      <c r="D22" s="24" t="s">
        <v>20</v>
      </c>
      <c r="E22" s="24" t="s">
        <v>21</v>
      </c>
      <c r="G22" s="24" t="s">
        <v>25</v>
      </c>
      <c r="M22" t="s">
        <v>23</v>
      </c>
      <c r="N22" s="24" t="s">
        <v>19</v>
      </c>
      <c r="O22" s="24" t="s">
        <v>20</v>
      </c>
      <c r="P22" s="24" t="s">
        <v>21</v>
      </c>
      <c r="R22" s="24" t="s">
        <v>25</v>
      </c>
    </row>
    <row r="23" spans="2:21" x14ac:dyDescent="0.45">
      <c r="B23" t="s">
        <v>24</v>
      </c>
      <c r="C23" s="24">
        <v>150</v>
      </c>
      <c r="D23" s="24">
        <v>30</v>
      </c>
      <c r="E23" s="24">
        <v>50</v>
      </c>
      <c r="G23">
        <v>195</v>
      </c>
      <c r="M23" t="s">
        <v>24</v>
      </c>
      <c r="N23" s="24">
        <f>C23</f>
        <v>150</v>
      </c>
      <c r="O23" s="24">
        <v>30</v>
      </c>
      <c r="P23" s="24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10.2667</v>
      </c>
      <c r="D27" s="1" t="str">
        <f>C10</f>
        <v>上端筋</v>
      </c>
      <c r="E27" t="s">
        <v>18</v>
      </c>
      <c r="F27">
        <f>C$23-D$23-bar_1(E27,4)/2</f>
        <v>113</v>
      </c>
      <c r="G27">
        <f>F27*7/8</f>
        <v>98.875</v>
      </c>
      <c r="H27" s="9">
        <f>C27*1000*1000/(G$23*G27)</f>
        <v>532.48792505429674</v>
      </c>
      <c r="I27" s="9">
        <f t="array" ref="I27">bar_1(J27,1)</f>
        <v>635</v>
      </c>
      <c r="J27" s="9" t="str">
        <f>use_bar(H27,E27,1)</f>
        <v>D13@ 200</v>
      </c>
      <c r="M27" t="s">
        <v>7</v>
      </c>
      <c r="N27" s="6">
        <f>S10</f>
        <v>7.7220000000000004</v>
      </c>
      <c r="O27" s="1" t="str">
        <f>N10</f>
        <v>上端筋</v>
      </c>
      <c r="P27" t="s">
        <v>18</v>
      </c>
      <c r="Q27">
        <f>N$23-O$23-bar_1(P27,4)*1.5</f>
        <v>99</v>
      </c>
      <c r="R27">
        <f>Q27*7/8</f>
        <v>86.625</v>
      </c>
      <c r="S27" s="9">
        <f>N27*1000*1000/(R$23*R27)</f>
        <v>457.14285714285717</v>
      </c>
      <c r="T27" s="8">
        <f>bar_1(U27,1)</f>
        <v>508</v>
      </c>
      <c r="U27" s="9" t="str">
        <f>use_bar(S27,P27,1)</f>
        <v>D13@ 250</v>
      </c>
    </row>
    <row r="28" spans="2:21" x14ac:dyDescent="0.45">
      <c r="B28" t="s">
        <v>9</v>
      </c>
      <c r="C28" s="6">
        <f>H11</f>
        <v>15.4</v>
      </c>
      <c r="D28" s="1" t="str">
        <f>C11</f>
        <v>上端筋</v>
      </c>
      <c r="E28" t="s">
        <v>18</v>
      </c>
      <c r="F28">
        <f>C$23-D$23-bar_1(E28,4)/2</f>
        <v>113</v>
      </c>
      <c r="G28">
        <f>F28*7/8</f>
        <v>98.875</v>
      </c>
      <c r="H28" s="9">
        <f>C28*1000*1000/(G$23*G28)</f>
        <v>798.72929430451552</v>
      </c>
      <c r="I28" s="9">
        <f t="array" ref="I28">bar_1(J28,1)</f>
        <v>846.66666666666674</v>
      </c>
      <c r="J28" s="9" t="str">
        <f>use_bar(H28,E28,1)</f>
        <v>D13@ 150</v>
      </c>
      <c r="M28" t="s">
        <v>9</v>
      </c>
      <c r="N28" s="6">
        <f>S11</f>
        <v>11.583</v>
      </c>
      <c r="O28" s="1" t="str">
        <f>N11</f>
        <v>上端筋</v>
      </c>
      <c r="P28" t="str">
        <f>P27</f>
        <v>D13</v>
      </c>
      <c r="Q28">
        <f>N$23-O$23-bar_1(P28,4)*1.5</f>
        <v>99</v>
      </c>
      <c r="R28">
        <f>Q28*7/8</f>
        <v>86.625</v>
      </c>
      <c r="S28" s="9">
        <f>N28*1000*1000/(R$23*R28)</f>
        <v>685.71428571428567</v>
      </c>
      <c r="T28" s="8">
        <f>bar_1(U28,1)</f>
        <v>846.66666666666674</v>
      </c>
      <c r="U28" s="9" t="str">
        <f>use_bar(S28,P28,1)</f>
        <v>D13@ 150</v>
      </c>
    </row>
    <row r="29" spans="2:21" x14ac:dyDescent="0.45">
      <c r="B29" t="s">
        <v>10</v>
      </c>
      <c r="C29" s="6">
        <f>H12</f>
        <v>12.32</v>
      </c>
      <c r="D29" s="1" t="str">
        <f>C12</f>
        <v>上端筋</v>
      </c>
      <c r="E29" t="str">
        <f>E28</f>
        <v>D13</v>
      </c>
      <c r="F29">
        <f t="array" ref="F29">C$23-D$23-bar_1(E29,4)/2</f>
        <v>113</v>
      </c>
      <c r="G29">
        <f>F29*7/8</f>
        <v>98.875</v>
      </c>
      <c r="H29" s="9">
        <f>C29*1000*1000/(G$23*G29)</f>
        <v>638.98343544361239</v>
      </c>
      <c r="I29" s="9">
        <f t="array" ref="I29">bar_1(J29,1)</f>
        <v>846.66666666666674</v>
      </c>
      <c r="J29" s="9" t="str">
        <f>use_bar(H29,E29,1)</f>
        <v>D13@ 150</v>
      </c>
      <c r="M29" t="s">
        <v>10</v>
      </c>
      <c r="N29" s="6">
        <f>S12</f>
        <v>9.2664000000000009</v>
      </c>
      <c r="O29" s="1" t="str">
        <f>N12</f>
        <v>上端筋</v>
      </c>
      <c r="P29" t="str">
        <f>P28</f>
        <v>D13</v>
      </c>
      <c r="Q29">
        <f>N$23-O$23-bar_1(P29,4)*1.5</f>
        <v>99</v>
      </c>
      <c r="R29">
        <f>Q29*7/8</f>
        <v>86.625</v>
      </c>
      <c r="S29" s="9">
        <f>N29*1000*1000/(R$23*R29)</f>
        <v>548.57142857142867</v>
      </c>
      <c r="T29" s="8">
        <f>bar_1(U29,1)</f>
        <v>635</v>
      </c>
      <c r="U29" s="9" t="str">
        <f>use_bar(S29,P29,1)</f>
        <v>D13@ 200</v>
      </c>
    </row>
    <row r="30" spans="2:21" x14ac:dyDescent="0.45">
      <c r="B30" t="s">
        <v>8</v>
      </c>
      <c r="C30" s="6">
        <f>H13</f>
        <v>7.4092000000000002</v>
      </c>
      <c r="D30" s="1" t="str">
        <f>C13</f>
        <v>下端筋</v>
      </c>
      <c r="E30" t="s">
        <v>18</v>
      </c>
      <c r="F30">
        <f>C$23-E$23-bar_1(E30,4)/2</f>
        <v>93</v>
      </c>
      <c r="G30">
        <f>F30*7/8</f>
        <v>81.375</v>
      </c>
      <c r="H30" s="9">
        <f>C30*1000*1000/(G$23*G30)</f>
        <v>466.92347079443851</v>
      </c>
      <c r="I30" s="9">
        <f t="array" ref="I30">bar_1(J30,1)</f>
        <v>508</v>
      </c>
      <c r="J30" s="9" t="str">
        <f>use_bar(H30,E30,1)</f>
        <v>D13@ 250</v>
      </c>
      <c r="M30" t="s">
        <v>8</v>
      </c>
      <c r="N30" s="6">
        <f>S13</f>
        <v>5.6451000000000002</v>
      </c>
      <c r="O30" s="1" t="str">
        <f>N13</f>
        <v>下端筋</v>
      </c>
      <c r="P30" t="str">
        <f>P29</f>
        <v>D13</v>
      </c>
      <c r="Q30">
        <f>N$23-P$23-bar_1(P30,4)*1.5</f>
        <v>79</v>
      </c>
      <c r="R30">
        <f>Q30*7/8</f>
        <v>69.125</v>
      </c>
      <c r="S30" s="9">
        <f>N30*1000*1000/(R$23*R30)</f>
        <v>418.79538183335654</v>
      </c>
      <c r="T30" s="8">
        <f>bar_1(U30,1)</f>
        <v>423.33333333333337</v>
      </c>
      <c r="U30" s="9" t="str">
        <f>use_bar(S30,P30,1)</f>
        <v>D13@ 300</v>
      </c>
    </row>
    <row r="31" spans="2:21" x14ac:dyDescent="0.45">
      <c r="B31" t="s">
        <v>14</v>
      </c>
      <c r="C31" s="6">
        <f>H14</f>
        <v>6.5231000000000003</v>
      </c>
      <c r="D31" s="1" t="str">
        <f>C14</f>
        <v>下端筋</v>
      </c>
      <c r="E31" t="str">
        <f>E30</f>
        <v>D13</v>
      </c>
      <c r="F31">
        <f t="array" ref="F31">C$23-E$23-bar_1(E31,4)/2</f>
        <v>93</v>
      </c>
      <c r="G31">
        <f>F31*7/8</f>
        <v>81.375</v>
      </c>
      <c r="H31" s="9">
        <f>C31*1000*1000/(G$23*G31)</f>
        <v>411.08196463035171</v>
      </c>
      <c r="I31" s="9">
        <f>bar_1(J31,1)</f>
        <v>423.33333333333337</v>
      </c>
      <c r="J31" s="9" t="str">
        <f>use_bar(H31,E31,1)</f>
        <v>D13@ 300</v>
      </c>
      <c r="M31" t="s">
        <v>14</v>
      </c>
      <c r="N31" s="6">
        <f>S14</f>
        <v>5.0095000000000001</v>
      </c>
      <c r="O31" s="1" t="str">
        <f>N14</f>
        <v>下端筋</v>
      </c>
      <c r="P31" t="str">
        <f>P30</f>
        <v>D13</v>
      </c>
      <c r="Q31">
        <f>N$23-P$23-bar_1(P31,4)*1.5</f>
        <v>79</v>
      </c>
      <c r="R31">
        <f>Q31*7/8</f>
        <v>69.125</v>
      </c>
      <c r="S31" s="9">
        <f>N31*1000*1000/(R$23*R31)</f>
        <v>371.64186024945519</v>
      </c>
      <c r="T31" s="8">
        <f>bar_1(U31,1)</f>
        <v>423.33333333333337</v>
      </c>
      <c r="U31" s="9" t="str">
        <f>use_bar(S31,P31,1)</f>
        <v>D13@ 300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3.4222000000000001</v>
      </c>
      <c r="D33" s="1" t="str">
        <f>C16</f>
        <v>上端筋</v>
      </c>
      <c r="E33" t="s">
        <v>18</v>
      </c>
      <c r="F33">
        <f t="array" ref="F33">C$23-D$23-bar_1(E33,4)/2</f>
        <v>113</v>
      </c>
      <c r="G33">
        <f>F33*7/8</f>
        <v>98.875</v>
      </c>
      <c r="H33" s="9">
        <f>C33*1000*1000/(G$23*G33)</f>
        <v>177.49424616681256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2.5739999999999998</v>
      </c>
      <c r="O33" s="1" t="str">
        <f>N16</f>
        <v>上端筋</v>
      </c>
      <c r="P33" t="s">
        <v>18</v>
      </c>
      <c r="Q33">
        <f>N$23-O$23-bar_1(P33,4)*1.5</f>
        <v>99</v>
      </c>
      <c r="R33">
        <f>Q33*7/8</f>
        <v>86.625</v>
      </c>
      <c r="S33" s="9">
        <f>N33*1000*1000/(R$23*R33)</f>
        <v>152.38095238095238</v>
      </c>
      <c r="T33" s="8">
        <f>bar_1(U33,1)</f>
        <v>423.33333333333337</v>
      </c>
      <c r="U33" s="9" t="str">
        <f>use_bar(S33,P33,1)</f>
        <v>D13@ 300</v>
      </c>
    </row>
    <row r="34" spans="2:21" x14ac:dyDescent="0.45">
      <c r="B34" t="s">
        <v>5</v>
      </c>
      <c r="C34" s="6">
        <f>H17</f>
        <v>5.1333000000000002</v>
      </c>
      <c r="D34" s="1" t="str">
        <f>C17</f>
        <v>上端筋</v>
      </c>
      <c r="E34" t="str">
        <f>E33</f>
        <v>D13</v>
      </c>
      <c r="F34">
        <f t="array" ref="F34">C$23-D$23-bar_1(E34,4)/2</f>
        <v>113</v>
      </c>
      <c r="G34">
        <f>F34*7/8</f>
        <v>98.875</v>
      </c>
      <c r="H34" s="9">
        <f>C34*1000*1000/(G$23*G34)</f>
        <v>266.24136925021878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3.8610000000000002</v>
      </c>
      <c r="O34" s="1" t="str">
        <f>N17</f>
        <v>上端筋</v>
      </c>
      <c r="P34" t="str">
        <f>P33</f>
        <v>D13</v>
      </c>
      <c r="Q34">
        <f>N$23-O$23-bar_1(P34,4)*1.5</f>
        <v>99</v>
      </c>
      <c r="R34">
        <f>Q34*7/8</f>
        <v>86.625</v>
      </c>
      <c r="S34" s="9">
        <f>N34*1000*1000/(R$23*R34)</f>
        <v>228.57142857142858</v>
      </c>
      <c r="T34" s="8">
        <f>bar_1(U34,1)</f>
        <v>423.33333333333337</v>
      </c>
      <c r="U34" s="9" t="str">
        <f>use_bar(S34,P34,1)</f>
        <v>D13@ 300</v>
      </c>
    </row>
    <row r="35" spans="2:21" x14ac:dyDescent="0.45">
      <c r="B35" t="s">
        <v>6</v>
      </c>
      <c r="C35" s="6">
        <f>H18</f>
        <v>4.1067</v>
      </c>
      <c r="D35" s="1" t="str">
        <f>C18</f>
        <v>上端筋</v>
      </c>
      <c r="E35" t="str">
        <f>E34</f>
        <v>D13</v>
      </c>
      <c r="F35">
        <f t="array" ref="F35">C$23-D$23-bar_1(E35,4)/2</f>
        <v>113</v>
      </c>
      <c r="G35">
        <f>F35*7/8</f>
        <v>98.875</v>
      </c>
      <c r="H35" s="9">
        <f>C35*1000*1000/(G$23*G35)</f>
        <v>212.99620733249051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3.0888</v>
      </c>
      <c r="O35" s="1" t="str">
        <f>N18</f>
        <v>上端筋</v>
      </c>
      <c r="P35" t="str">
        <f>P34</f>
        <v>D13</v>
      </c>
      <c r="Q35">
        <f>N$23-O$23-bar_1(P35,4)*1.5</f>
        <v>99</v>
      </c>
      <c r="R35">
        <f>Q35*7/8</f>
        <v>86.625</v>
      </c>
      <c r="S35" s="9">
        <f>N35*1000*1000/(R$23*R35)</f>
        <v>182.85714285714286</v>
      </c>
      <c r="T35" s="8">
        <f>bar_1(U35,1)</f>
        <v>423.33333333333337</v>
      </c>
      <c r="U35" s="9" t="str">
        <f>use_bar(S35,P35,1)</f>
        <v>D13@ 300</v>
      </c>
    </row>
    <row r="36" spans="2:21" x14ac:dyDescent="0.45">
      <c r="B36" t="s">
        <v>16</v>
      </c>
      <c r="C36" s="6">
        <f>H19</f>
        <v>5.8537999999999997</v>
      </c>
      <c r="D36" s="1" t="str">
        <f>C19</f>
        <v>下端筋</v>
      </c>
      <c r="E36" t="str">
        <f>E35</f>
        <v>D13</v>
      </c>
      <c r="F36">
        <f t="array" ref="F36">C$23-E$23-bar_1(E36,4)/2</f>
        <v>93</v>
      </c>
      <c r="G36">
        <f>F36*7/8</f>
        <v>81.375</v>
      </c>
      <c r="H36" s="9">
        <f>C36*1000*1000/(G$23*G36)</f>
        <v>368.90306825790691</v>
      </c>
      <c r="I36" s="9">
        <f>bar_1(J36,1)</f>
        <v>423.33333333333337</v>
      </c>
      <c r="J36" s="9" t="str">
        <f>use_bar(H36,E36,1)</f>
        <v>D13@ 300</v>
      </c>
      <c r="M36" t="s">
        <v>16</v>
      </c>
      <c r="N36" s="6">
        <f>S19</f>
        <v>4.4675000000000002</v>
      </c>
      <c r="O36" s="1" t="str">
        <f>N19</f>
        <v>下端筋</v>
      </c>
      <c r="P36" t="str">
        <f>P35</f>
        <v>D13</v>
      </c>
      <c r="Q36">
        <f>N$23-P$23-bar_1(P36,4)*1.5</f>
        <v>79</v>
      </c>
      <c r="R36">
        <f>Q36*7/8</f>
        <v>69.125</v>
      </c>
      <c r="S36" s="9">
        <f>N36*1000*1000/(R$23*R36)</f>
        <v>331.43228079936938</v>
      </c>
      <c r="T36" s="8">
        <f>bar_1(U36,1)</f>
        <v>423.33333333333337</v>
      </c>
      <c r="U36" s="9" t="str">
        <f>use_bar(S36,P36,1)</f>
        <v>D13@ 300</v>
      </c>
    </row>
    <row r="37" spans="2:21" x14ac:dyDescent="0.45">
      <c r="B37" t="s">
        <v>17</v>
      </c>
      <c r="C37" s="6">
        <f>H20</f>
        <v>5.3</v>
      </c>
      <c r="D37" s="1" t="str">
        <f>C20</f>
        <v>下端筋</v>
      </c>
      <c r="E37" t="str">
        <f>E36</f>
        <v>D13</v>
      </c>
      <c r="F37">
        <f t="array" ref="F37">C$23-E$23-bar_1(E37,4)/2</f>
        <v>93</v>
      </c>
      <c r="G37">
        <f>F37*7/8</f>
        <v>81.375</v>
      </c>
      <c r="H37" s="9">
        <f>C37*1000*1000/(G$23*G37)</f>
        <v>334.00291464807594</v>
      </c>
      <c r="I37" s="9">
        <f>bar_1(J37,1)</f>
        <v>423.33333333333337</v>
      </c>
      <c r="J37" s="9" t="str">
        <f>use_bar(H37,E37,1)</f>
        <v>D13@ 300</v>
      </c>
      <c r="M37" t="s">
        <v>17</v>
      </c>
      <c r="N37" s="6">
        <f>S20</f>
        <v>4.0702999999999996</v>
      </c>
      <c r="O37" s="1" t="str">
        <f>N20</f>
        <v>下端筋</v>
      </c>
      <c r="P37" t="str">
        <f>P36</f>
        <v>D13</v>
      </c>
      <c r="Q37">
        <f>N$23-P$23-bar_1(P37,4)*1.5</f>
        <v>79</v>
      </c>
      <c r="R37">
        <f>Q37*7/8</f>
        <v>69.125</v>
      </c>
      <c r="S37" s="9">
        <f>N37*1000*1000/(R$23*R37)</f>
        <v>301.96503918022904</v>
      </c>
      <c r="T37" s="8">
        <f>bar_1(U37,1)</f>
        <v>423.33333333333337</v>
      </c>
      <c r="U37" s="9" t="str">
        <f>use_bar(S37,P37,1)</f>
        <v>D13@ 300</v>
      </c>
    </row>
    <row r="40" spans="2:21" x14ac:dyDescent="0.45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f>B8</f>
        <v>4</v>
      </c>
      <c r="C42" s="14"/>
      <c r="D42" s="14">
        <f>+D8</f>
        <v>4800</v>
      </c>
      <c r="E42" s="14"/>
      <c r="F42" s="14">
        <f>F8</f>
        <v>2900</v>
      </c>
      <c r="G42" s="14"/>
      <c r="H42" s="12"/>
      <c r="I42" s="12"/>
      <c r="J42" s="12"/>
      <c r="K42" s="12"/>
      <c r="L42" s="12"/>
      <c r="M42" s="14">
        <f>+M8</f>
        <v>3.6</v>
      </c>
      <c r="N42" s="14"/>
      <c r="O42" s="14">
        <f>+O8</f>
        <v>4250</v>
      </c>
      <c r="P42" s="14"/>
      <c r="Q42" s="14">
        <f>Q8</f>
        <v>2900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5.1333000000000002</v>
      </c>
      <c r="I44" s="23">
        <f>J44/2-H44</f>
        <v>4.9999999999883471E-5</v>
      </c>
      <c r="J44" s="17">
        <f t="shared" ref="J44:J54" si="0">+H10</f>
        <v>10.2667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3.8610000000000002</v>
      </c>
      <c r="T44" s="12">
        <f>+U44/2-S44</f>
        <v>0</v>
      </c>
      <c r="U44" s="17">
        <f>S10</f>
        <v>7.7220000000000004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7.7</v>
      </c>
      <c r="I45" s="23">
        <f>J45/2-H45</f>
        <v>0</v>
      </c>
      <c r="J45" s="17">
        <f t="shared" si="0"/>
        <v>15.4</v>
      </c>
      <c r="K45" s="12"/>
      <c r="L45" s="12"/>
      <c r="M45" s="12" t="str">
        <f t="shared" ref="M45:M54" si="1">B45</f>
        <v>Mg3'</v>
      </c>
      <c r="N45" s="15" t="str">
        <f t="shared" ref="N45:N54" si="2">flat_slab_side(M$8,O$8/10000,Q$8/1000,M45,3)</f>
        <v>上端筋</v>
      </c>
      <c r="O45" s="12"/>
      <c r="P45" s="12"/>
      <c r="Q45" s="12"/>
      <c r="R45" s="16" t="str">
        <f t="shared" ref="R45:R54" si="3">flat_slab_side(M$8,O$8/10000,Q$8/1000,M45,2)</f>
        <v>Mg3'=L ^ 2 / 8 * (g + p) /2=</v>
      </c>
      <c r="S45" s="17">
        <f t="shared" ref="S45:S54" si="4">ROUND(flat_slab_side(M$8,O$8/1000,Q$8/1000,M45,1),4)</f>
        <v>5.7915000000000001</v>
      </c>
      <c r="T45" s="12">
        <f>+U45/2-S45</f>
        <v>0</v>
      </c>
      <c r="U45" s="17">
        <f t="shared" ref="U45:U54" si="5">S11</f>
        <v>11.583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6.16</v>
      </c>
      <c r="I46" s="23">
        <f>J46/2-H46</f>
        <v>0</v>
      </c>
      <c r="J46" s="17">
        <f t="shared" si="0"/>
        <v>12.32</v>
      </c>
      <c r="K46" s="12"/>
      <c r="L46" s="12"/>
      <c r="M46" s="12" t="str">
        <f t="shared" si="1"/>
        <v>Mg5'</v>
      </c>
      <c r="N46" s="15" t="str">
        <f t="shared" si="2"/>
        <v>上端筋</v>
      </c>
      <c r="O46" s="12"/>
      <c r="P46" s="12"/>
      <c r="Q46" s="12"/>
      <c r="R46" s="16" t="str">
        <f t="shared" si="3"/>
        <v>Mg5'=L ^ 2 / 10 * (g + p) /2=</v>
      </c>
      <c r="S46" s="17">
        <f t="shared" si="4"/>
        <v>4.6332000000000004</v>
      </c>
      <c r="T46" s="12">
        <f>+U46/2-S46</f>
        <v>0</v>
      </c>
      <c r="U46" s="17">
        <f t="shared" si="5"/>
        <v>9.2664000000000009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3.7046000000000001</v>
      </c>
      <c r="I47" s="23">
        <f>J47/2-H47</f>
        <v>0</v>
      </c>
      <c r="J47" s="17">
        <f t="shared" si="0"/>
        <v>7.4092000000000002</v>
      </c>
      <c r="K47" s="12"/>
      <c r="L47" s="12"/>
      <c r="M47" s="12" t="str">
        <f t="shared" si="1"/>
        <v>Mg2'</v>
      </c>
      <c r="N47" s="15" t="str">
        <f t="shared" si="2"/>
        <v>下端筋</v>
      </c>
      <c r="O47" s="12"/>
      <c r="P47" s="12"/>
      <c r="Q47" s="12"/>
      <c r="R47" s="16" t="str">
        <f t="shared" si="3"/>
        <v>Mg2'=L ^ 2 * (g / 20 + p / 13) /2=</v>
      </c>
      <c r="S47" s="17">
        <f t="shared" si="4"/>
        <v>2.8224999999999998</v>
      </c>
      <c r="T47" s="12">
        <f>+U47/2-S47</f>
        <v>5.000000000032756E-5</v>
      </c>
      <c r="U47" s="17">
        <f t="shared" si="5"/>
        <v>5.6451000000000002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3.2614999999999998</v>
      </c>
      <c r="I48" s="23">
        <f>J48/2-H48</f>
        <v>5.000000000032756E-5</v>
      </c>
      <c r="J48" s="17">
        <f t="shared" si="0"/>
        <v>6.5231000000000003</v>
      </c>
      <c r="K48" s="12"/>
      <c r="L48" s="12"/>
      <c r="M48" s="12" t="str">
        <f t="shared" si="1"/>
        <v>Mg4'</v>
      </c>
      <c r="N48" s="15" t="str">
        <f t="shared" si="2"/>
        <v>下端筋</v>
      </c>
      <c r="O48" s="12"/>
      <c r="P48" s="12"/>
      <c r="Q48" s="12"/>
      <c r="R48" s="16" t="str">
        <f t="shared" si="3"/>
        <v>Mg4'=L ^ 2 * (g / 26 + p / 13) /2=</v>
      </c>
      <c r="S48" s="17">
        <f t="shared" si="4"/>
        <v>2.5047999999999999</v>
      </c>
      <c r="T48" s="12">
        <f>+U48/2-S48</f>
        <v>-4.9999999999883471E-5</v>
      </c>
      <c r="U48" s="17">
        <f t="shared" si="5"/>
        <v>5.0095000000000001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23"/>
      <c r="J49" s="17">
        <f t="shared" si="0"/>
        <v>0</v>
      </c>
      <c r="K49" s="12"/>
      <c r="L49" s="12"/>
      <c r="M49" s="12" t="str">
        <f t="shared" si="1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2.5667</v>
      </c>
      <c r="I50" s="23">
        <f>J50*3/4-H50</f>
        <v>-4.9999999999883471E-5</v>
      </c>
      <c r="J50" s="17">
        <f t="shared" si="0"/>
        <v>3.4222000000000001</v>
      </c>
      <c r="K50" s="12"/>
      <c r="L50" s="12"/>
      <c r="M50" s="12" t="str">
        <f t="shared" si="1"/>
        <v>Mf1'</v>
      </c>
      <c r="N50" s="15" t="str">
        <f t="shared" si="2"/>
        <v>上端筋</v>
      </c>
      <c r="O50" s="12"/>
      <c r="P50" s="12"/>
      <c r="Q50" s="12"/>
      <c r="R50" s="16" t="str">
        <f t="shared" si="3"/>
        <v>Mf1'=L ^ 2 / 36 * (g + p) * 3/4=</v>
      </c>
      <c r="S50" s="17">
        <f t="shared" si="4"/>
        <v>1.9305000000000001</v>
      </c>
      <c r="T50" s="12">
        <f>+U50*3/4-S50</f>
        <v>0</v>
      </c>
      <c r="U50" s="17">
        <f t="shared" si="5"/>
        <v>2.5739999999999998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3.85</v>
      </c>
      <c r="I51" s="23">
        <f>J51*3/4-H51</f>
        <v>-2.4999999999941735E-5</v>
      </c>
      <c r="J51" s="17">
        <f t="shared" si="0"/>
        <v>5.1333000000000002</v>
      </c>
      <c r="K51" s="12"/>
      <c r="L51" s="12"/>
      <c r="M51" s="12" t="str">
        <f t="shared" si="1"/>
        <v>Mf3'</v>
      </c>
      <c r="N51" s="15" t="str">
        <f t="shared" si="2"/>
        <v>上端筋</v>
      </c>
      <c r="O51" s="12"/>
      <c r="P51" s="12"/>
      <c r="Q51" s="12"/>
      <c r="R51" s="16" t="str">
        <f t="shared" si="3"/>
        <v>Mf3'= L ^ 2 / 24 * (g + p) * 3/4=</v>
      </c>
      <c r="S51" s="17">
        <f t="shared" si="4"/>
        <v>2.8957999999999999</v>
      </c>
      <c r="T51" s="12">
        <f>+U51*3/4-S51</f>
        <v>-4.9999999999883471E-5</v>
      </c>
      <c r="U51" s="17">
        <f t="shared" si="5"/>
        <v>3.8610000000000002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3.08</v>
      </c>
      <c r="I52" s="23">
        <f>J52*3/4-H52</f>
        <v>2.4999999999941735E-5</v>
      </c>
      <c r="J52" s="17">
        <f t="shared" si="0"/>
        <v>4.1067</v>
      </c>
      <c r="K52" s="12"/>
      <c r="L52" s="12"/>
      <c r="M52" s="12" t="str">
        <f t="shared" si="1"/>
        <v>Mf5'</v>
      </c>
      <c r="N52" s="15" t="str">
        <f t="shared" si="2"/>
        <v>上端筋</v>
      </c>
      <c r="O52" s="12"/>
      <c r="P52" s="12"/>
      <c r="Q52" s="12"/>
      <c r="R52" s="16" t="str">
        <f t="shared" si="3"/>
        <v>Mf5'= L ^ 2 / 30 * (g + p) * 3/4=</v>
      </c>
      <c r="S52" s="17">
        <f t="shared" si="4"/>
        <v>2.3166000000000002</v>
      </c>
      <c r="T52" s="12">
        <f>+U52*3/4-S52</f>
        <v>0</v>
      </c>
      <c r="U52" s="17">
        <f t="shared" si="5"/>
        <v>3.0888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4.3903999999999996</v>
      </c>
      <c r="I53" s="23">
        <f>J53*3/4-H53</f>
        <v>-4.9999999999883471E-5</v>
      </c>
      <c r="J53" s="17">
        <f t="shared" si="0"/>
        <v>5.8537999999999997</v>
      </c>
      <c r="K53" s="12"/>
      <c r="L53" s="12"/>
      <c r="M53" s="12" t="str">
        <f t="shared" si="1"/>
        <v>Mf2'</v>
      </c>
      <c r="N53" s="15" t="str">
        <f t="shared" si="2"/>
        <v>下端筋</v>
      </c>
      <c r="O53" s="12"/>
      <c r="P53" s="12"/>
      <c r="Q53" s="12"/>
      <c r="R53" s="16" t="str">
        <f t="shared" si="3"/>
        <v>Mf2'=L ^2 * (g / 26 + p / 16) * 3/4=</v>
      </c>
      <c r="S53" s="17">
        <f t="shared" si="4"/>
        <v>3.3506</v>
      </c>
      <c r="T53" s="12">
        <f>+U53*3/4-S53</f>
        <v>2.4999999999941735E-5</v>
      </c>
      <c r="U53" s="17">
        <f t="shared" si="5"/>
        <v>4.4675000000000002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3.9750000000000001</v>
      </c>
      <c r="I54" s="23">
        <f>J54*3/4-H54</f>
        <v>0</v>
      </c>
      <c r="J54" s="17">
        <f t="shared" si="0"/>
        <v>5.3</v>
      </c>
      <c r="K54" s="12"/>
      <c r="L54" s="12"/>
      <c r="M54" s="12" t="str">
        <f t="shared" si="1"/>
        <v>Mf4'</v>
      </c>
      <c r="N54" s="15" t="str">
        <f t="shared" si="2"/>
        <v>下端筋</v>
      </c>
      <c r="O54" s="12"/>
      <c r="P54" s="12"/>
      <c r="Q54" s="12"/>
      <c r="R54" s="16" t="str">
        <f t="shared" si="3"/>
        <v>Mf4'=L ^ 2 * (g / 32 + p / 16) * 3/4=</v>
      </c>
      <c r="S54" s="17">
        <f t="shared" si="4"/>
        <v>3.0527000000000002</v>
      </c>
      <c r="T54" s="12">
        <f>+U54*3/4-S54</f>
        <v>2.4999999999497646E-5</v>
      </c>
      <c r="U54" s="17">
        <f t="shared" si="5"/>
        <v>4.0702999999999996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150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150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5.1333000000000002</v>
      </c>
      <c r="D61" s="15" t="str">
        <f>C44</f>
        <v>上端筋</v>
      </c>
      <c r="E61" s="12" t="s">
        <v>18</v>
      </c>
      <c r="F61" s="12">
        <f t="array" ref="F61">C$23-D$23-bar_1(E61,4)/2</f>
        <v>113</v>
      </c>
      <c r="G61" s="12">
        <f>F61*7/8</f>
        <v>98.875</v>
      </c>
      <c r="H61" s="18">
        <f>C61*1000*1000/(G$23*G61)</f>
        <v>266.24136925021878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3.8610000000000002</v>
      </c>
      <c r="O61" s="15" t="str">
        <f>N44</f>
        <v>上端筋</v>
      </c>
      <c r="P61" s="12" t="s">
        <v>18</v>
      </c>
      <c r="Q61" s="12">
        <f>N$23-O$23-bar_1(P61,4)/2</f>
        <v>113</v>
      </c>
      <c r="R61" s="12">
        <f>Q61*7/8</f>
        <v>98.875</v>
      </c>
      <c r="S61" s="18">
        <f>N61*1000*1000/(R$23*R61)</f>
        <v>200.25284450063211</v>
      </c>
      <c r="T61" s="19">
        <f>bar_1(U61,1)</f>
        <v>423.33333333333337</v>
      </c>
      <c r="U61" s="18" t="str">
        <f>use_bar(S61,P61,1)</f>
        <v>D13@ 300</v>
      </c>
    </row>
    <row r="62" spans="2:21" x14ac:dyDescent="0.45">
      <c r="B62" s="12" t="str">
        <f t="shared" ref="B62:B71" si="6">B45</f>
        <v>Mg3'</v>
      </c>
      <c r="C62" s="17">
        <f>H45</f>
        <v>7.7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113</v>
      </c>
      <c r="G62" s="12">
        <f>F62*7/8</f>
        <v>98.875</v>
      </c>
      <c r="H62" s="18">
        <f>C62*1000*1000/(G$23*G62)</f>
        <v>399.36464715225776</v>
      </c>
      <c r="I62" s="19">
        <f>bar_1(J62,1)</f>
        <v>423.33333333333337</v>
      </c>
      <c r="J62" s="18" t="str">
        <f>use_bar(H62,E62,1)</f>
        <v>D13@ 300</v>
      </c>
      <c r="K62" s="12"/>
      <c r="L62" s="12"/>
      <c r="M62" s="12" t="s">
        <v>9</v>
      </c>
      <c r="N62" s="17">
        <f>S45</f>
        <v>5.7915000000000001</v>
      </c>
      <c r="O62" s="15" t="str">
        <f>N45</f>
        <v>上端筋</v>
      </c>
      <c r="P62" s="12" t="str">
        <f>P61</f>
        <v>D13</v>
      </c>
      <c r="Q62" s="12">
        <f t="array" ref="Q62">N$23-O$23-bar_1(P62,4)/2</f>
        <v>113</v>
      </c>
      <c r="R62" s="12">
        <f>Q62*7/8</f>
        <v>98.875</v>
      </c>
      <c r="S62" s="18">
        <f>N62*1000*1000/(R$23*R62)</f>
        <v>300.37926675094815</v>
      </c>
      <c r="T62" s="19">
        <f>bar_1(U62,1)</f>
        <v>423.33333333333337</v>
      </c>
      <c r="U62" s="18" t="str">
        <f>use_bar(S62,P62,1)</f>
        <v>D13@ 300</v>
      </c>
    </row>
    <row r="63" spans="2:21" x14ac:dyDescent="0.45">
      <c r="B63" s="12" t="str">
        <f t="shared" si="6"/>
        <v>Mg5'</v>
      </c>
      <c r="C63" s="17">
        <f>H46</f>
        <v>6.16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113</v>
      </c>
      <c r="G63" s="12">
        <f>F63*7/8</f>
        <v>98.875</v>
      </c>
      <c r="H63" s="18">
        <f>C63*1000*1000/(G$23*G63)</f>
        <v>319.4917177218062</v>
      </c>
      <c r="I63" s="19">
        <f>bar_1(J63,1)</f>
        <v>423.33333333333337</v>
      </c>
      <c r="J63" s="18" t="str">
        <f>use_bar(H63,E63,1)</f>
        <v>D13@ 300</v>
      </c>
      <c r="K63" s="12"/>
      <c r="L63" s="12"/>
      <c r="M63" s="12" t="s">
        <v>10</v>
      </c>
      <c r="N63" s="17">
        <f>S46</f>
        <v>4.6332000000000004</v>
      </c>
      <c r="O63" s="15" t="str">
        <f>N46</f>
        <v>上端筋</v>
      </c>
      <c r="P63" s="12" t="str">
        <f>P62</f>
        <v>D13</v>
      </c>
      <c r="Q63" s="12">
        <f t="array" ref="Q63">N$23-O$23-bar_1(P63,4)/2</f>
        <v>113</v>
      </c>
      <c r="R63" s="12">
        <f>Q63*7/8</f>
        <v>98.875</v>
      </c>
      <c r="S63" s="18">
        <f>N63*1000*1000/(R$23*R63)</f>
        <v>240.30341340075859</v>
      </c>
      <c r="T63" s="19">
        <f>bar_1(U63,1)</f>
        <v>423.33333333333337</v>
      </c>
      <c r="U63" s="18" t="str">
        <f>use_bar(S63,P63,1)</f>
        <v>D13@ 300</v>
      </c>
    </row>
    <row r="64" spans="2:21" x14ac:dyDescent="0.45">
      <c r="B64" s="12" t="str">
        <f t="shared" si="6"/>
        <v>Mg2'</v>
      </c>
      <c r="C64" s="17">
        <f>H47</f>
        <v>3.7046000000000001</v>
      </c>
      <c r="D64" s="15" t="str">
        <f>C47</f>
        <v>下端筋</v>
      </c>
      <c r="E64" s="12" t="s">
        <v>18</v>
      </c>
      <c r="F64" s="12">
        <f t="array" ref="F64">C$23-E$23-bar_1(E64,4)/2</f>
        <v>93</v>
      </c>
      <c r="G64" s="12">
        <f>F64*7/8</f>
        <v>81.375</v>
      </c>
      <c r="H64" s="18">
        <f>C64*1000*1000/(G$23*G64)</f>
        <v>233.46173539721926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2.8224999999999998</v>
      </c>
      <c r="O64" s="15" t="str">
        <f>N47</f>
        <v>下端筋</v>
      </c>
      <c r="P64" s="12" t="s">
        <v>18</v>
      </c>
      <c r="Q64" s="12">
        <f t="array" ref="Q64">N$23-P$23-bar_1(P64,4)/2</f>
        <v>93</v>
      </c>
      <c r="R64" s="12">
        <f>Q64*7/8</f>
        <v>81.375</v>
      </c>
      <c r="S64" s="18">
        <f>N64*1000*1000/(R$23*R64)</f>
        <v>177.87230690456497</v>
      </c>
      <c r="T64" s="19">
        <f>bar_1(U64,1)</f>
        <v>423.33333333333337</v>
      </c>
      <c r="U64" s="18" t="str">
        <f>use_bar(S64,P64,1)</f>
        <v>D13@ 300</v>
      </c>
    </row>
    <row r="65" spans="2:21" x14ac:dyDescent="0.45">
      <c r="B65" s="12" t="str">
        <f t="shared" si="6"/>
        <v>Mg4'</v>
      </c>
      <c r="C65" s="17">
        <f>H48</f>
        <v>3.2614999999999998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93</v>
      </c>
      <c r="G65" s="12">
        <f>F65*7/8</f>
        <v>81.375</v>
      </c>
      <c r="H65" s="18">
        <f>C65*1000*1000/(G$23*G65)</f>
        <v>205.53783134428295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2.5047999999999999</v>
      </c>
      <c r="O65" s="15" t="str">
        <f>N48</f>
        <v>下端筋</v>
      </c>
      <c r="P65" s="12" t="str">
        <f>P64</f>
        <v>D13</v>
      </c>
      <c r="Q65" s="12">
        <f t="array" ref="Q65">N$23-P$23-bar_1(P65,4)/2</f>
        <v>93</v>
      </c>
      <c r="R65" s="12">
        <f>Q65*7/8</f>
        <v>81.375</v>
      </c>
      <c r="S65" s="18">
        <f>N65*1000*1000/(R$23*R65)</f>
        <v>157.85103785103783</v>
      </c>
      <c r="T65" s="19">
        <f>bar_1(U65,1)</f>
        <v>423.33333333333337</v>
      </c>
      <c r="U65" s="18" t="str">
        <f>use_bar(S65,P65,1)</f>
        <v>D13@ 300</v>
      </c>
    </row>
    <row r="66" spans="2:21" x14ac:dyDescent="0.45">
      <c r="B66" s="12" t="str">
        <f t="shared" si="6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6"/>
        <v>Mf1'</v>
      </c>
      <c r="C67" s="17">
        <f>H50</f>
        <v>2.5667</v>
      </c>
      <c r="D67" s="15" t="str">
        <f>C50</f>
        <v>上端筋</v>
      </c>
      <c r="E67" s="12" t="s">
        <v>18</v>
      </c>
      <c r="F67" s="12">
        <f t="array" ref="F67">C$23-D$23-bar_1(E67,4)/2</f>
        <v>113</v>
      </c>
      <c r="G67" s="12">
        <f>F67*7/8</f>
        <v>98.875</v>
      </c>
      <c r="H67" s="18">
        <f>C67*1000*1000/(G$23*G67)</f>
        <v>133.12327790203895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1.9305000000000001</v>
      </c>
      <c r="O67" s="15" t="str">
        <f>N50</f>
        <v>上端筋</v>
      </c>
      <c r="P67" s="12" t="s">
        <v>18</v>
      </c>
      <c r="Q67" s="12">
        <f t="array" ref="Q67">N$23-O$23-bar_1(P67,4)/2</f>
        <v>113</v>
      </c>
      <c r="R67" s="12">
        <f>Q67*7/8</f>
        <v>98.875</v>
      </c>
      <c r="S67" s="18">
        <f>N67*1000*1000/(R$23*R67)</f>
        <v>100.12642225031605</v>
      </c>
      <c r="T67" s="19">
        <f>bar_1(U67,1)</f>
        <v>423.33333333333337</v>
      </c>
      <c r="U67" s="18" t="str">
        <f>use_bar(S67,P67,1)</f>
        <v>D13@ 300</v>
      </c>
    </row>
    <row r="68" spans="2:21" x14ac:dyDescent="0.45">
      <c r="B68" s="12" t="str">
        <f t="shared" si="6"/>
        <v>Mf3'</v>
      </c>
      <c r="C68" s="17">
        <f>H51</f>
        <v>3.85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113</v>
      </c>
      <c r="G68" s="12">
        <f>F68*7/8</f>
        <v>98.875</v>
      </c>
      <c r="H68" s="18">
        <f>C68*1000*1000/(G$23*G68)</f>
        <v>199.68232357612888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2.8957999999999999</v>
      </c>
      <c r="O68" s="15" t="str">
        <f>N51</f>
        <v>上端筋</v>
      </c>
      <c r="P68" s="12" t="str">
        <f>P67</f>
        <v>D13</v>
      </c>
      <c r="Q68" s="12">
        <f t="array" ref="Q68">N$23-O$23-bar_1(P68,4)/2</f>
        <v>113</v>
      </c>
      <c r="R68" s="12">
        <f>Q68*7/8</f>
        <v>98.875</v>
      </c>
      <c r="S68" s="18">
        <f>N68*1000*1000/(R$23*R68)</f>
        <v>150.19222665240363</v>
      </c>
      <c r="T68" s="19">
        <f>bar_1(U68,1)</f>
        <v>423.33333333333337</v>
      </c>
      <c r="U68" s="18" t="str">
        <f>use_bar(S68,P68,1)</f>
        <v>D13@ 300</v>
      </c>
    </row>
    <row r="69" spans="2:21" x14ac:dyDescent="0.45">
      <c r="B69" s="12" t="str">
        <f t="shared" si="6"/>
        <v>Mf5'</v>
      </c>
      <c r="C69" s="17">
        <f>H52</f>
        <v>3.08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113</v>
      </c>
      <c r="G69" s="12">
        <f>F69*7/8</f>
        <v>98.875</v>
      </c>
      <c r="H69" s="18">
        <f>C69*1000*1000/(G$23*G69)</f>
        <v>159.7458588609031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2.3166000000000002</v>
      </c>
      <c r="O69" s="15" t="str">
        <f>N52</f>
        <v>上端筋</v>
      </c>
      <c r="P69" s="12" t="str">
        <f>P68</f>
        <v>D13</v>
      </c>
      <c r="Q69" s="12">
        <f t="array" ref="Q69">N$23-O$23-bar_1(P69,4)/2</f>
        <v>113</v>
      </c>
      <c r="R69" s="12">
        <f>Q69*7/8</f>
        <v>98.875</v>
      </c>
      <c r="S69" s="18">
        <f>N69*1000*1000/(R$23*R69)</f>
        <v>120.15170670037929</v>
      </c>
      <c r="T69" s="19">
        <f>bar_1(U69,1)</f>
        <v>423.33333333333337</v>
      </c>
      <c r="U69" s="18" t="str">
        <f>use_bar(S69,P69,1)</f>
        <v>D13@ 300</v>
      </c>
    </row>
    <row r="70" spans="2:21" x14ac:dyDescent="0.45">
      <c r="B70" s="12" t="str">
        <f t="shared" si="6"/>
        <v>Mf2'</v>
      </c>
      <c r="C70" s="17">
        <f>H53</f>
        <v>4.3903999999999996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93</v>
      </c>
      <c r="G70" s="12">
        <f>F70*7/8</f>
        <v>81.375</v>
      </c>
      <c r="H70" s="18">
        <f>C70*1000*1000/(G$23*G70)</f>
        <v>276.68045216432313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3.3506</v>
      </c>
      <c r="O70" s="15" t="str">
        <f>N53</f>
        <v>下端筋</v>
      </c>
      <c r="P70" s="12" t="str">
        <f>P69</f>
        <v>D13</v>
      </c>
      <c r="Q70" s="12">
        <f t="array" ref="Q70">N$23-P$23-bar_1(P70,4)/2</f>
        <v>93</v>
      </c>
      <c r="R70" s="12">
        <f>Q70*7/8</f>
        <v>81.375</v>
      </c>
      <c r="S70" s="18">
        <f>N70*1000*1000/(R$23*R70)</f>
        <v>211.15286147544211</v>
      </c>
      <c r="T70" s="19">
        <f>bar_1(U70,1)</f>
        <v>423.33333333333337</v>
      </c>
      <c r="U70" s="18" t="str">
        <f>use_bar(S70,P70,1)</f>
        <v>D13@ 300</v>
      </c>
    </row>
    <row r="71" spans="2:21" x14ac:dyDescent="0.45">
      <c r="B71" s="12" t="str">
        <f t="shared" si="6"/>
        <v>Mf4'</v>
      </c>
      <c r="C71" s="17">
        <f>H54</f>
        <v>3.9750000000000001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93</v>
      </c>
      <c r="G71" s="12">
        <f>F71*7/8</f>
        <v>81.375</v>
      </c>
      <c r="H71" s="18">
        <f>C71*1000*1000/(G$23*G71)</f>
        <v>250.50218598605696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3.0527000000000002</v>
      </c>
      <c r="O71" s="15" t="str">
        <f>N54</f>
        <v>下端筋</v>
      </c>
      <c r="P71" s="12" t="str">
        <f>P70</f>
        <v>D13</v>
      </c>
      <c r="Q71" s="12">
        <f t="array" ref="Q71">N$23-P$23-bar_1(P71,4)/2</f>
        <v>93</v>
      </c>
      <c r="R71" s="12">
        <f>Q71*7/8</f>
        <v>81.375</v>
      </c>
      <c r="S71" s="18">
        <f>N71*1000*1000/(R$23*R71)</f>
        <v>192.37937689550597</v>
      </c>
      <c r="T71" s="19">
        <f>bar_1(U71,1)</f>
        <v>423.33333333333337</v>
      </c>
      <c r="U71" s="18" t="str">
        <f>use_bar(S71,P71,1)</f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8B11D-B844-4325-A7F1-767F583E41AC}">
  <sheetPr codeName="Sheet8"/>
  <dimension ref="B3:U71"/>
  <sheetViews>
    <sheetView topLeftCell="A43" workbookViewId="0">
      <selection activeCell="V39" sqref="V39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v>500</v>
      </c>
    </row>
    <row r="4" spans="2:19" x14ac:dyDescent="0.45">
      <c r="C4" s="2" t="s">
        <v>3</v>
      </c>
      <c r="D4">
        <v>150</v>
      </c>
      <c r="E4">
        <f>D4*24000/1000</f>
        <v>3600</v>
      </c>
    </row>
    <row r="5" spans="2:19" x14ac:dyDescent="0.45">
      <c r="C5" s="2"/>
      <c r="D5" s="3" t="s">
        <v>2</v>
      </c>
      <c r="E5">
        <f>SUM(E3:E4)</f>
        <v>4100</v>
      </c>
    </row>
    <row r="6" spans="2:19" x14ac:dyDescent="0.45">
      <c r="B6" t="s">
        <v>27</v>
      </c>
      <c r="C6" s="2"/>
      <c r="D6" s="3"/>
      <c r="M6" t="s">
        <v>26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5">
      <c r="B8" s="24">
        <v>3.9</v>
      </c>
      <c r="C8" s="24"/>
      <c r="D8" s="24">
        <f>E5</f>
        <v>4100</v>
      </c>
      <c r="E8" s="24"/>
      <c r="F8" s="24">
        <v>2900</v>
      </c>
      <c r="G8" s="24"/>
      <c r="M8" s="24">
        <v>4.7</v>
      </c>
      <c r="N8" s="24"/>
      <c r="O8" s="24">
        <f>D8</f>
        <v>4100</v>
      </c>
      <c r="P8" s="24"/>
      <c r="Q8" s="24">
        <f>F8</f>
        <v>2900</v>
      </c>
      <c r="R8" s="24"/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8.8725000000000005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12.8858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13.3088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19.328800000000001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10.647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15.462999999999999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6.5110999999999999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9.4562000000000008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5.7915000000000001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8.4111999999999991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2.9575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4.2953000000000001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4.4363000000000001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6.4428999999999998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3.5489999999999999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5.1543000000000001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5.1553000000000004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7.4871999999999996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4.7055999999999996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6.8341000000000003</v>
      </c>
    </row>
    <row r="22" spans="2:21" x14ac:dyDescent="0.45">
      <c r="B22" t="s">
        <v>23</v>
      </c>
      <c r="C22" s="24" t="s">
        <v>19</v>
      </c>
      <c r="D22" s="24" t="s">
        <v>20</v>
      </c>
      <c r="E22" s="24" t="s">
        <v>21</v>
      </c>
      <c r="G22" s="24" t="s">
        <v>25</v>
      </c>
      <c r="M22" t="s">
        <v>23</v>
      </c>
      <c r="N22" s="24" t="s">
        <v>19</v>
      </c>
      <c r="O22" s="24" t="s">
        <v>20</v>
      </c>
      <c r="P22" s="24" t="s">
        <v>21</v>
      </c>
      <c r="R22" s="24" t="s">
        <v>25</v>
      </c>
    </row>
    <row r="23" spans="2:21" x14ac:dyDescent="0.45">
      <c r="B23" t="s">
        <v>24</v>
      </c>
      <c r="C23" s="24">
        <f>D4</f>
        <v>150</v>
      </c>
      <c r="D23" s="24">
        <v>30</v>
      </c>
      <c r="E23" s="24">
        <v>50</v>
      </c>
      <c r="G23">
        <v>195</v>
      </c>
      <c r="M23" t="s">
        <v>24</v>
      </c>
      <c r="N23" s="24">
        <f>C23</f>
        <v>150</v>
      </c>
      <c r="O23" s="24">
        <v>30</v>
      </c>
      <c r="P23" s="24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8.8725000000000005</v>
      </c>
      <c r="D27" s="1" t="str">
        <f>C10</f>
        <v>上端筋</v>
      </c>
      <c r="E27" t="s">
        <v>18</v>
      </c>
      <c r="F27">
        <f>C$23-D$23-bar_1(E27,4)/2</f>
        <v>113</v>
      </c>
      <c r="G27">
        <f>F27*7/8</f>
        <v>98.875</v>
      </c>
      <c r="H27" s="9">
        <f>C27*1000*1000/(G$23*G27)</f>
        <v>460.17699115044246</v>
      </c>
      <c r="I27" s="9">
        <f t="array" ref="I27">bar_1(J27,1)</f>
        <v>508</v>
      </c>
      <c r="J27" s="9" t="str">
        <f>use_bar(H27,E27,1)</f>
        <v>D13@ 250</v>
      </c>
      <c r="M27" t="s">
        <v>7</v>
      </c>
      <c r="N27" s="6">
        <f>S10</f>
        <v>12.8858</v>
      </c>
      <c r="O27" s="1" t="str">
        <f>N10</f>
        <v>上端筋</v>
      </c>
      <c r="P27" t="s">
        <v>64</v>
      </c>
      <c r="Q27">
        <f>N$23-O$23-bar_1(P27,4)*1.5</f>
        <v>99</v>
      </c>
      <c r="R27">
        <f>Q27*7/8</f>
        <v>86.625</v>
      </c>
      <c r="S27" s="9">
        <f>N27*1000*1000/(R$23*R27)</f>
        <v>762.84012284012283</v>
      </c>
      <c r="T27" s="8">
        <f t="shared" ref="T27:T31" si="0">barX(U27,1)</f>
        <v>710</v>
      </c>
      <c r="U27" s="9" t="str">
        <f>use_bar(S27,P27,1)</f>
        <v>D10D13@ 100</v>
      </c>
    </row>
    <row r="28" spans="2:21" x14ac:dyDescent="0.45">
      <c r="B28" t="s">
        <v>9</v>
      </c>
      <c r="C28" s="6">
        <f>H11</f>
        <v>13.3088</v>
      </c>
      <c r="D28" s="1" t="str">
        <f>C11</f>
        <v>上端筋</v>
      </c>
      <c r="E28" t="s">
        <v>18</v>
      </c>
      <c r="F28">
        <f>C$23-D$23-bar_1(E28,4)/2</f>
        <v>113</v>
      </c>
      <c r="G28">
        <f>F28*7/8</f>
        <v>98.875</v>
      </c>
      <c r="H28" s="9">
        <f>C28*1000*1000/(G$23*G28)</f>
        <v>690.26808000259325</v>
      </c>
      <c r="I28" s="9">
        <f t="array" ref="I28">bar_1(J28,1)</f>
        <v>846.66666666666674</v>
      </c>
      <c r="J28" s="9" t="str">
        <f>use_bar(H28,E28,1)</f>
        <v>D13@ 150</v>
      </c>
      <c r="M28" t="s">
        <v>9</v>
      </c>
      <c r="N28" s="6">
        <f>S11</f>
        <v>19.328800000000001</v>
      </c>
      <c r="O28" s="1" t="str">
        <f>N11</f>
        <v>上端筋</v>
      </c>
      <c r="P28" t="s">
        <v>67</v>
      </c>
      <c r="Q28">
        <f>N$23-O$23-bar_1(P28,4)*1.5</f>
        <v>99</v>
      </c>
      <c r="R28">
        <f>Q28*7/8</f>
        <v>86.625</v>
      </c>
      <c r="S28" s="9">
        <f>N28*1000*1000/(R$23*R28)</f>
        <v>1144.2661042661045</v>
      </c>
      <c r="T28" s="8">
        <f t="shared" si="0"/>
        <v>946.66666666666674</v>
      </c>
      <c r="U28" s="9" t="str">
        <f>use_bar(S28,P28,1)</f>
        <v>D10D13@ 75</v>
      </c>
    </row>
    <row r="29" spans="2:21" x14ac:dyDescent="0.45">
      <c r="B29" t="s">
        <v>10</v>
      </c>
      <c r="C29" s="6">
        <f>H12</f>
        <v>10.647</v>
      </c>
      <c r="D29" s="1" t="str">
        <f>C12</f>
        <v>上端筋</v>
      </c>
      <c r="E29" t="str">
        <f>E28</f>
        <v>D13</v>
      </c>
      <c r="F29">
        <f t="array" ref="F29">C$23-D$23-bar_1(E29,4)/2</f>
        <v>113</v>
      </c>
      <c r="G29">
        <f>F29*7/8</f>
        <v>98.875</v>
      </c>
      <c r="H29" s="9">
        <f>C29*1000*1000/(G$23*G29)</f>
        <v>552.21238938053102</v>
      </c>
      <c r="I29" s="9">
        <f t="array" ref="I29">bar_1(J29,1)</f>
        <v>635</v>
      </c>
      <c r="J29" s="9" t="str">
        <f>use_bar(H29,E29,1)</f>
        <v>D13@ 200</v>
      </c>
      <c r="M29" t="s">
        <v>10</v>
      </c>
      <c r="N29" s="6">
        <f>S12</f>
        <v>15.462999999999999</v>
      </c>
      <c r="O29" s="1" t="str">
        <f>N12</f>
        <v>上端筋</v>
      </c>
      <c r="P29" t="str">
        <f>P28</f>
        <v>D10D13</v>
      </c>
      <c r="Q29">
        <f>N$23-O$23-bar_1(P29,4)*1.5</f>
        <v>99</v>
      </c>
      <c r="R29">
        <f>Q29*7/8</f>
        <v>86.625</v>
      </c>
      <c r="S29" s="9">
        <f>N29*1000*1000/(R$23*R29)</f>
        <v>915.41051541051536</v>
      </c>
      <c r="T29" s="8">
        <f t="shared" si="0"/>
        <v>710</v>
      </c>
      <c r="U29" s="9" t="str">
        <f>use_bar(S29,P29,1)</f>
        <v>D10D13@ 100</v>
      </c>
    </row>
    <row r="30" spans="2:21" x14ac:dyDescent="0.45">
      <c r="B30" t="s">
        <v>8</v>
      </c>
      <c r="C30" s="6">
        <f>H13</f>
        <v>6.5110999999999999</v>
      </c>
      <c r="D30" s="1" t="str">
        <f>C13</f>
        <v>下端筋</v>
      </c>
      <c r="E30" t="s">
        <v>64</v>
      </c>
      <c r="F30">
        <f>C$23-E$23-bar_1(E30,4)/2</f>
        <v>93</v>
      </c>
      <c r="G30">
        <f>F30*7/8</f>
        <v>81.375</v>
      </c>
      <c r="H30" s="9">
        <f>C30*1000*1000/(G$23*G30)</f>
        <v>410.32573161605416</v>
      </c>
      <c r="I30" s="9">
        <f t="array" ref="I30">bar_1(J30,1)</f>
        <v>495</v>
      </c>
      <c r="J30" s="9" t="str">
        <f>use_bar(H30,E30,1)</f>
        <v>D10D13@ 200</v>
      </c>
      <c r="M30" t="s">
        <v>8</v>
      </c>
      <c r="N30" s="6">
        <f>S13</f>
        <v>9.4562000000000008</v>
      </c>
      <c r="O30" s="1" t="str">
        <f>N13</f>
        <v>下端筋</v>
      </c>
      <c r="P30" t="s">
        <v>66</v>
      </c>
      <c r="Q30">
        <f>N$23-P$23-bar_1(P30,4)*1.5</f>
        <v>83.5</v>
      </c>
      <c r="R30">
        <f>Q30*7/8</f>
        <v>73.0625</v>
      </c>
      <c r="S30" s="9">
        <f>N30*1000*1000/(R$23*R30)</f>
        <v>663.72398061020817</v>
      </c>
      <c r="T30" s="8">
        <f t="shared" si="0"/>
        <v>710</v>
      </c>
      <c r="U30" s="9" t="str">
        <f>use_bar(S30,P30,1)</f>
        <v>D10@ 100</v>
      </c>
    </row>
    <row r="31" spans="2:21" x14ac:dyDescent="0.45">
      <c r="B31" t="s">
        <v>14</v>
      </c>
      <c r="C31" s="6">
        <f>H14</f>
        <v>5.7915000000000001</v>
      </c>
      <c r="D31" s="1" t="str">
        <f>C14</f>
        <v>下端筋</v>
      </c>
      <c r="E31" t="str">
        <f>E30</f>
        <v>D10D13</v>
      </c>
      <c r="F31">
        <f t="array" ref="F31">C$23-E$23-bar_1(E31,4)/2</f>
        <v>93</v>
      </c>
      <c r="G31">
        <f>F31*7/8</f>
        <v>81.375</v>
      </c>
      <c r="H31" s="9">
        <f>C31*1000*1000/(G$23*G31)</f>
        <v>364.97695852534559</v>
      </c>
      <c r="I31" s="9">
        <f>bar_1(J31,1)</f>
        <v>396</v>
      </c>
      <c r="J31" s="9" t="str">
        <f>use_bar(H31,E31,1)</f>
        <v>D10D13@ 250</v>
      </c>
      <c r="M31" t="s">
        <v>14</v>
      </c>
      <c r="N31" s="6">
        <f>S14</f>
        <v>8.4111999999999991</v>
      </c>
      <c r="O31" s="1" t="str">
        <f>N14</f>
        <v>下端筋</v>
      </c>
      <c r="P31" t="s">
        <v>66</v>
      </c>
      <c r="Q31">
        <f>N$23-P$23-bar_1(P31,4)*1.5</f>
        <v>83.5</v>
      </c>
      <c r="R31">
        <f>Q31*7/8</f>
        <v>73.0625</v>
      </c>
      <c r="S31" s="9">
        <f>N31*1000*1000/(R$23*R31)</f>
        <v>590.37617073545209</v>
      </c>
      <c r="T31" s="8">
        <f t="shared" si="0"/>
        <v>710</v>
      </c>
      <c r="U31" s="9" t="str">
        <f>use_bar(S31,P31,1)</f>
        <v>D10@ 100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2.9575</v>
      </c>
      <c r="D33" s="1" t="str">
        <f>C16</f>
        <v>上端筋</v>
      </c>
      <c r="E33" t="s">
        <v>18</v>
      </c>
      <c r="F33">
        <f t="array" ref="F33">C$23-D$23-bar_1(E33,4)/2</f>
        <v>113</v>
      </c>
      <c r="G33">
        <f>F33*7/8</f>
        <v>98.875</v>
      </c>
      <c r="H33" s="9">
        <f>C33*1000*1000/(G$23*G33)</f>
        <v>153.39233038348084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4.2953000000000001</v>
      </c>
      <c r="O33" s="1" t="str">
        <f>N16</f>
        <v>上端筋</v>
      </c>
      <c r="P33" t="s">
        <v>64</v>
      </c>
      <c r="Q33">
        <f>N$23-O$23-bar_1(P33,4)*1.5</f>
        <v>99</v>
      </c>
      <c r="R33">
        <f>Q33*7/8</f>
        <v>86.625</v>
      </c>
      <c r="S33" s="9">
        <f>N33*1000*1000/(R$23*R33)</f>
        <v>254.28201428201427</v>
      </c>
      <c r="T33" s="8">
        <f>barX(U33,1)</f>
        <v>236.66666666666669</v>
      </c>
      <c r="U33" s="9" t="str">
        <f>use_bar(S33,P33,1)</f>
        <v>D10D13@ 300</v>
      </c>
    </row>
    <row r="34" spans="2:21" x14ac:dyDescent="0.45">
      <c r="B34" t="s">
        <v>5</v>
      </c>
      <c r="C34" s="6">
        <f>H17</f>
        <v>4.4363000000000001</v>
      </c>
      <c r="D34" s="1" t="str">
        <f>C17</f>
        <v>上端筋</v>
      </c>
      <c r="E34" t="str">
        <f>E33</f>
        <v>D13</v>
      </c>
      <c r="F34">
        <f t="array" ref="F34">C$23-D$23-bar_1(E34,4)/2</f>
        <v>113</v>
      </c>
      <c r="G34">
        <f>F34*7/8</f>
        <v>98.875</v>
      </c>
      <c r="H34" s="9">
        <f>C34*1000*1000/(G$23*G34)</f>
        <v>230.09108885215079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6.4428999999999998</v>
      </c>
      <c r="O34" s="1" t="str">
        <f>N17</f>
        <v>上端筋</v>
      </c>
      <c r="P34" t="str">
        <f>P33</f>
        <v>D10D13</v>
      </c>
      <c r="Q34">
        <f>N$23-O$23-bar_1(P34,4)*1.5</f>
        <v>99</v>
      </c>
      <c r="R34">
        <f>Q34*7/8</f>
        <v>86.625</v>
      </c>
      <c r="S34" s="9">
        <f>N34*1000*1000/(R$23*R34)</f>
        <v>381.42006142006142</v>
      </c>
      <c r="T34" s="8">
        <f t="shared" ref="T34:T37" si="1">barX(U34,1)</f>
        <v>284</v>
      </c>
      <c r="U34" s="9" t="str">
        <f>use_bar(S34,P34,1)</f>
        <v>D10D13@ 250</v>
      </c>
    </row>
    <row r="35" spans="2:21" x14ac:dyDescent="0.45">
      <c r="B35" t="s">
        <v>6</v>
      </c>
      <c r="C35" s="6">
        <f>H18</f>
        <v>3.5489999999999999</v>
      </c>
      <c r="D35" s="1" t="str">
        <f>C18</f>
        <v>上端筋</v>
      </c>
      <c r="E35" t="str">
        <f>E34</f>
        <v>D13</v>
      </c>
      <c r="F35">
        <f t="array" ref="F35">C$23-D$23-bar_1(E35,4)/2</f>
        <v>113</v>
      </c>
      <c r="G35">
        <f>F35*7/8</f>
        <v>98.875</v>
      </c>
      <c r="H35" s="9">
        <f>C35*1000*1000/(G$23*G35)</f>
        <v>184.07079646017698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5.1543000000000001</v>
      </c>
      <c r="O35" s="1" t="str">
        <f>N18</f>
        <v>上端筋</v>
      </c>
      <c r="P35" t="str">
        <f>P34</f>
        <v>D10D13</v>
      </c>
      <c r="Q35">
        <f>N$23-O$23-bar_1(P35,4)*1.5</f>
        <v>99</v>
      </c>
      <c r="R35">
        <f>Q35*7/8</f>
        <v>86.625</v>
      </c>
      <c r="S35" s="9">
        <f>N35*1000*1000/(R$23*R35)</f>
        <v>305.13486513486515</v>
      </c>
      <c r="T35" s="8">
        <f t="shared" si="1"/>
        <v>236.66666666666669</v>
      </c>
      <c r="U35" s="9" t="str">
        <f>use_bar(S35,P35,1)</f>
        <v>D10D13@ 300</v>
      </c>
    </row>
    <row r="36" spans="2:21" x14ac:dyDescent="0.45">
      <c r="B36" t="s">
        <v>16</v>
      </c>
      <c r="C36" s="6">
        <f>H19</f>
        <v>5.1553000000000004</v>
      </c>
      <c r="D36" s="1" t="str">
        <f>C19</f>
        <v>下端筋</v>
      </c>
      <c r="E36" t="s">
        <v>67</v>
      </c>
      <c r="F36">
        <f t="array" ref="F36">C$23-E$23-bar_1(E36,4)/2</f>
        <v>93</v>
      </c>
      <c r="G36">
        <f>F36*7/8</f>
        <v>81.375</v>
      </c>
      <c r="H36" s="9">
        <f>C36*1000*1000/(G$23*G36)</f>
        <v>324.88400488400487</v>
      </c>
      <c r="I36" s="9">
        <f>bar_1(J36,1)</f>
        <v>330</v>
      </c>
      <c r="J36" s="9" t="str">
        <f>use_bar(H36,E36,1)</f>
        <v>D10D13@ 300</v>
      </c>
      <c r="M36" t="s">
        <v>16</v>
      </c>
      <c r="N36" s="6">
        <f>S19</f>
        <v>7.4871999999999996</v>
      </c>
      <c r="O36" s="1" t="str">
        <f>N19</f>
        <v>下端筋</v>
      </c>
      <c r="P36" t="s">
        <v>66</v>
      </c>
      <c r="Q36">
        <f>N$23-P$23-bar_1(P36,4)*1.5</f>
        <v>83.5</v>
      </c>
      <c r="R36">
        <f>Q36*7/8</f>
        <v>73.0625</v>
      </c>
      <c r="S36" s="9">
        <f>N36*1000*1000/(R$23*R36)</f>
        <v>525.52126516198371</v>
      </c>
      <c r="T36" s="8">
        <f t="shared" si="1"/>
        <v>710</v>
      </c>
      <c r="U36" s="9" t="str">
        <f>use_bar(S36,P36,1)</f>
        <v>D10@ 100</v>
      </c>
    </row>
    <row r="37" spans="2:21" x14ac:dyDescent="0.45">
      <c r="B37" t="s">
        <v>17</v>
      </c>
      <c r="C37" s="6">
        <f>H20</f>
        <v>4.7055999999999996</v>
      </c>
      <c r="D37" s="1" t="str">
        <f>C20</f>
        <v>下端筋</v>
      </c>
      <c r="E37" t="str">
        <f>E36</f>
        <v>D10D13</v>
      </c>
      <c r="F37">
        <f t="array" ref="F37">C$23-E$23-bar_1(E37,4)/2</f>
        <v>93</v>
      </c>
      <c r="G37">
        <f>F37*7/8</f>
        <v>81.375</v>
      </c>
      <c r="H37" s="9">
        <f>C37*1000*1000/(G$23*G37)</f>
        <v>296.54417267320486</v>
      </c>
      <c r="I37" s="9">
        <f>bar_1(J37,1)</f>
        <v>330</v>
      </c>
      <c r="J37" s="9" t="str">
        <f>use_bar(H37,E37,1)</f>
        <v>D10D13@ 300</v>
      </c>
      <c r="M37" t="s">
        <v>17</v>
      </c>
      <c r="N37" s="6">
        <f>S20</f>
        <v>6.8341000000000003</v>
      </c>
      <c r="O37" s="1" t="str">
        <f>N20</f>
        <v>下端筋</v>
      </c>
      <c r="P37" t="str">
        <f>P36</f>
        <v>D10</v>
      </c>
      <c r="Q37">
        <f>N$23-P$23-bar_1(P37,4)*1.5</f>
        <v>83.5</v>
      </c>
      <c r="R37">
        <f>Q37*7/8</f>
        <v>73.0625</v>
      </c>
      <c r="S37" s="9">
        <f>N37*1000*1000/(R$23*R37)</f>
        <v>479.68063872255487</v>
      </c>
      <c r="T37" s="8">
        <f t="shared" si="1"/>
        <v>710</v>
      </c>
      <c r="U37" s="9" t="str">
        <f>use_bar(S37,P37,1)</f>
        <v>D10@ 100</v>
      </c>
    </row>
    <row r="40" spans="2:21" x14ac:dyDescent="0.45">
      <c r="B40" s="12" t="s">
        <v>65</v>
      </c>
      <c r="C40" s="12" t="str">
        <f>B6</f>
        <v>短辺</v>
      </c>
      <c r="D40" s="12"/>
      <c r="E40" s="12"/>
      <c r="F40" s="12"/>
      <c r="G40" s="12"/>
      <c r="H40" s="12"/>
      <c r="I40" s="12"/>
      <c r="J40" s="12"/>
      <c r="K40" s="12"/>
      <c r="L40" s="12"/>
      <c r="M40" s="12" t="s">
        <v>65</v>
      </c>
      <c r="N40" s="12" t="str">
        <f>M6</f>
        <v>長辺</v>
      </c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f>B8</f>
        <v>3.9</v>
      </c>
      <c r="C42" s="14"/>
      <c r="D42" s="14">
        <f>+D8</f>
        <v>4100</v>
      </c>
      <c r="E42" s="14"/>
      <c r="F42" s="14">
        <f>F8</f>
        <v>2900</v>
      </c>
      <c r="G42" s="14"/>
      <c r="H42" s="12"/>
      <c r="I42" s="12"/>
      <c r="J42" s="12"/>
      <c r="K42" s="12"/>
      <c r="L42" s="12"/>
      <c r="M42" s="14">
        <f>+M8</f>
        <v>4.7</v>
      </c>
      <c r="N42" s="14"/>
      <c r="O42" s="14">
        <f>+O8</f>
        <v>4100</v>
      </c>
      <c r="P42" s="14"/>
      <c r="Q42" s="14">
        <f>Q8</f>
        <v>2900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4.4363000000000001</v>
      </c>
      <c r="I44" s="23">
        <f>J44/2-H44</f>
        <v>-4.9999999999883471E-5</v>
      </c>
      <c r="J44" s="17">
        <f t="shared" ref="J44:J54" si="2">+H10</f>
        <v>8.8725000000000005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6.4428999999999998</v>
      </c>
      <c r="T44" s="12">
        <f>+U44/2-S44</f>
        <v>0</v>
      </c>
      <c r="U44" s="17">
        <f>S10</f>
        <v>12.8858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6.6543999999999999</v>
      </c>
      <c r="I45" s="23">
        <f>J45/2-H45</f>
        <v>0</v>
      </c>
      <c r="J45" s="17">
        <f t="shared" si="2"/>
        <v>13.3088</v>
      </c>
      <c r="K45" s="12"/>
      <c r="L45" s="12"/>
      <c r="M45" s="12" t="str">
        <f t="shared" ref="M45:M54" si="3">B45</f>
        <v>Mg3'</v>
      </c>
      <c r="N45" s="15" t="str">
        <f t="shared" ref="N45:N54" si="4">flat_slab_side(M$8,O$8/10000,Q$8/1000,M45,3)</f>
        <v>上端筋</v>
      </c>
      <c r="O45" s="12"/>
      <c r="P45" s="12"/>
      <c r="Q45" s="12"/>
      <c r="R45" s="16" t="str">
        <f t="shared" ref="R45:R54" si="5">flat_slab_side(M$8,O$8/10000,Q$8/1000,M45,2)</f>
        <v>Mg3'=L ^ 2 / 8 * (g + p) /2=</v>
      </c>
      <c r="S45" s="17">
        <f t="shared" ref="S45:S54" si="6">ROUND(flat_slab_side(M$8,O$8/1000,Q$8/1000,M45,1),4)</f>
        <v>9.6644000000000005</v>
      </c>
      <c r="T45" s="12">
        <f>+U45/2-S45</f>
        <v>0</v>
      </c>
      <c r="U45" s="17">
        <f t="shared" ref="U45:U54" si="7">S11</f>
        <v>19.328800000000001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5.3235000000000001</v>
      </c>
      <c r="I46" s="23">
        <f>J46/2-H46</f>
        <v>0</v>
      </c>
      <c r="J46" s="17">
        <f t="shared" si="2"/>
        <v>10.647</v>
      </c>
      <c r="K46" s="12"/>
      <c r="L46" s="12"/>
      <c r="M46" s="12" t="str">
        <f t="shared" si="3"/>
        <v>Mg5'</v>
      </c>
      <c r="N46" s="15" t="str">
        <f t="shared" si="4"/>
        <v>上端筋</v>
      </c>
      <c r="O46" s="12"/>
      <c r="P46" s="12"/>
      <c r="Q46" s="12"/>
      <c r="R46" s="16" t="str">
        <f t="shared" si="5"/>
        <v>Mg5'=L ^ 2 / 10 * (g + p) /2=</v>
      </c>
      <c r="S46" s="17">
        <f t="shared" si="6"/>
        <v>7.7314999999999996</v>
      </c>
      <c r="T46" s="12">
        <f>+U46/2-S46</f>
        <v>0</v>
      </c>
      <c r="U46" s="17">
        <f t="shared" si="7"/>
        <v>15.462999999999999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3.2555000000000001</v>
      </c>
      <c r="I47" s="23">
        <f>J47/2-H47</f>
        <v>4.9999999999883471E-5</v>
      </c>
      <c r="J47" s="17">
        <f t="shared" si="2"/>
        <v>6.5110999999999999</v>
      </c>
      <c r="K47" s="12"/>
      <c r="L47" s="12"/>
      <c r="M47" s="12" t="str">
        <f t="shared" si="3"/>
        <v>Mg2'</v>
      </c>
      <c r="N47" s="15" t="str">
        <f t="shared" si="4"/>
        <v>下端筋</v>
      </c>
      <c r="O47" s="12"/>
      <c r="P47" s="12"/>
      <c r="Q47" s="12"/>
      <c r="R47" s="16" t="str">
        <f t="shared" si="5"/>
        <v>Mg2'=L ^ 2 * (g / 20 + p / 13) /2=</v>
      </c>
      <c r="S47" s="17">
        <f t="shared" si="6"/>
        <v>4.7281000000000004</v>
      </c>
      <c r="T47" s="12">
        <f>+U47/2-S47</f>
        <v>0</v>
      </c>
      <c r="U47" s="17">
        <f t="shared" si="7"/>
        <v>9.4562000000000008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2.8957999999999999</v>
      </c>
      <c r="I48" s="23">
        <f>J48/2-H48</f>
        <v>-4.9999999999883471E-5</v>
      </c>
      <c r="J48" s="17">
        <f t="shared" si="2"/>
        <v>5.7915000000000001</v>
      </c>
      <c r="K48" s="12"/>
      <c r="L48" s="12"/>
      <c r="M48" s="12" t="str">
        <f t="shared" si="3"/>
        <v>Mg4'</v>
      </c>
      <c r="N48" s="15" t="str">
        <f t="shared" si="4"/>
        <v>下端筋</v>
      </c>
      <c r="O48" s="12"/>
      <c r="P48" s="12"/>
      <c r="Q48" s="12"/>
      <c r="R48" s="16" t="str">
        <f t="shared" si="5"/>
        <v>Mg4'=L ^ 2 * (g / 26 + p / 13) /2=</v>
      </c>
      <c r="S48" s="17">
        <f t="shared" si="6"/>
        <v>4.2055999999999996</v>
      </c>
      <c r="T48" s="12">
        <f>+U48/2-S48</f>
        <v>0</v>
      </c>
      <c r="U48" s="17">
        <f t="shared" si="7"/>
        <v>8.4111999999999991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23"/>
      <c r="J49" s="17">
        <f t="shared" si="2"/>
        <v>0</v>
      </c>
      <c r="K49" s="12"/>
      <c r="L49" s="12"/>
      <c r="M49" s="12" t="str">
        <f t="shared" si="3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2.2181000000000002</v>
      </c>
      <c r="I50" s="23">
        <f>J50*3/4-H50</f>
        <v>2.4999999999941735E-5</v>
      </c>
      <c r="J50" s="17">
        <f t="shared" si="2"/>
        <v>2.9575</v>
      </c>
      <c r="K50" s="12"/>
      <c r="L50" s="12"/>
      <c r="M50" s="12" t="str">
        <f t="shared" si="3"/>
        <v>Mf1'</v>
      </c>
      <c r="N50" s="15" t="str">
        <f t="shared" si="4"/>
        <v>上端筋</v>
      </c>
      <c r="O50" s="12"/>
      <c r="P50" s="12"/>
      <c r="Q50" s="12"/>
      <c r="R50" s="16" t="str">
        <f t="shared" si="5"/>
        <v>Mf1'=L ^ 2 / 36 * (g + p) * 3/4=</v>
      </c>
      <c r="S50" s="17">
        <f t="shared" si="6"/>
        <v>3.2214999999999998</v>
      </c>
      <c r="T50" s="12">
        <f>+U50*3/4-S50</f>
        <v>-2.4999999999941735E-5</v>
      </c>
      <c r="U50" s="17">
        <f t="shared" si="7"/>
        <v>4.2953000000000001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3.3271999999999999</v>
      </c>
      <c r="I51" s="23">
        <f>J51*3/4-H51</f>
        <v>2.5000000000385825E-5</v>
      </c>
      <c r="J51" s="17">
        <f t="shared" si="2"/>
        <v>4.4363000000000001</v>
      </c>
      <c r="K51" s="12"/>
      <c r="L51" s="12"/>
      <c r="M51" s="12" t="str">
        <f t="shared" si="3"/>
        <v>Mf3'</v>
      </c>
      <c r="N51" s="15" t="str">
        <f t="shared" si="4"/>
        <v>上端筋</v>
      </c>
      <c r="O51" s="12"/>
      <c r="P51" s="12"/>
      <c r="Q51" s="12"/>
      <c r="R51" s="16" t="str">
        <f t="shared" si="5"/>
        <v>Mf3'= L ^ 2 / 24 * (g + p) * 3/4=</v>
      </c>
      <c r="S51" s="17">
        <f t="shared" si="6"/>
        <v>4.8322000000000003</v>
      </c>
      <c r="T51" s="12">
        <f>+U51*3/4-S51</f>
        <v>-2.5000000000829914E-5</v>
      </c>
      <c r="U51" s="17">
        <f t="shared" si="7"/>
        <v>6.4428999999999998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2.6617999999999999</v>
      </c>
      <c r="I52" s="23">
        <f>J52*3/4-H52</f>
        <v>-4.9999999999883471E-5</v>
      </c>
      <c r="J52" s="17">
        <f t="shared" si="2"/>
        <v>3.5489999999999999</v>
      </c>
      <c r="K52" s="12"/>
      <c r="L52" s="12"/>
      <c r="M52" s="12" t="str">
        <f t="shared" si="3"/>
        <v>Mf5'</v>
      </c>
      <c r="N52" s="15" t="str">
        <f t="shared" si="4"/>
        <v>上端筋</v>
      </c>
      <c r="O52" s="12"/>
      <c r="P52" s="12"/>
      <c r="Q52" s="12"/>
      <c r="R52" s="16" t="str">
        <f t="shared" si="5"/>
        <v>Mf5'= L ^ 2 / 30 * (g + p) * 3/4=</v>
      </c>
      <c r="S52" s="17">
        <f t="shared" si="6"/>
        <v>3.8658000000000001</v>
      </c>
      <c r="T52" s="12">
        <f>+U52*3/4-S52</f>
        <v>-7.4999999999825206E-5</v>
      </c>
      <c r="U52" s="17">
        <f t="shared" si="7"/>
        <v>5.1543000000000001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3.8664999999999998</v>
      </c>
      <c r="I53" s="23">
        <f>J53*3/4-H53</f>
        <v>-2.4999999999497646E-5</v>
      </c>
      <c r="J53" s="17">
        <f t="shared" si="2"/>
        <v>5.1553000000000004</v>
      </c>
      <c r="K53" s="12"/>
      <c r="L53" s="12"/>
      <c r="M53" s="12" t="str">
        <f t="shared" si="3"/>
        <v>Mf2'</v>
      </c>
      <c r="N53" s="15" t="str">
        <f t="shared" si="4"/>
        <v>下端筋</v>
      </c>
      <c r="O53" s="12"/>
      <c r="P53" s="12"/>
      <c r="Q53" s="12"/>
      <c r="R53" s="16" t="str">
        <f t="shared" si="5"/>
        <v>Mf2'=L ^2 * (g / 26 + p / 16) * 3/4=</v>
      </c>
      <c r="S53" s="17">
        <f t="shared" si="6"/>
        <v>5.6154000000000002</v>
      </c>
      <c r="T53" s="12">
        <f>+U53*3/4-S53</f>
        <v>0</v>
      </c>
      <c r="U53" s="17">
        <f t="shared" si="7"/>
        <v>7.4871999999999996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3.5291999999999999</v>
      </c>
      <c r="I54" s="23">
        <f>J54*3/4-H54</f>
        <v>0</v>
      </c>
      <c r="J54" s="17">
        <f t="shared" si="2"/>
        <v>4.7055999999999996</v>
      </c>
      <c r="K54" s="12"/>
      <c r="L54" s="12"/>
      <c r="M54" s="12" t="str">
        <f t="shared" si="3"/>
        <v>Mf4'</v>
      </c>
      <c r="N54" s="15" t="str">
        <f t="shared" si="4"/>
        <v>下端筋</v>
      </c>
      <c r="O54" s="12"/>
      <c r="P54" s="12"/>
      <c r="Q54" s="12"/>
      <c r="R54" s="16" t="str">
        <f t="shared" si="5"/>
        <v>Mf4'=L ^ 2 * (g / 32 + p / 16) * 3/4=</v>
      </c>
      <c r="S54" s="17">
        <f t="shared" si="6"/>
        <v>5.1256000000000004</v>
      </c>
      <c r="T54" s="12">
        <f>+U54*3/4-S54</f>
        <v>-2.4999999999941735E-5</v>
      </c>
      <c r="U54" s="17">
        <f t="shared" si="7"/>
        <v>6.8341000000000003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150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150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4.4363000000000001</v>
      </c>
      <c r="D61" s="15" t="str">
        <f>C44</f>
        <v>上端筋</v>
      </c>
      <c r="E61" s="12" t="s">
        <v>18</v>
      </c>
      <c r="F61" s="12">
        <f t="array" ref="F61">C$23-D$23-bar_1(E61,4)/2</f>
        <v>113</v>
      </c>
      <c r="G61" s="12">
        <f>F61*7/8</f>
        <v>98.875</v>
      </c>
      <c r="H61" s="18">
        <f>C61*1000*1000/(G$23*G61)</f>
        <v>230.09108885215079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6.4428999999999998</v>
      </c>
      <c r="O61" s="15" t="str">
        <f>N44</f>
        <v>上端筋</v>
      </c>
      <c r="P61" s="12" t="str">
        <f>P27</f>
        <v>D10D13</v>
      </c>
      <c r="Q61" s="12">
        <f>N$23-O$23-bar_1(P61,4)/2</f>
        <v>113</v>
      </c>
      <c r="R61" s="12">
        <f>Q61*7/8</f>
        <v>98.875</v>
      </c>
      <c r="S61" s="18">
        <f>N61*1000*1000/(R$23*R61)</f>
        <v>334.16447858925733</v>
      </c>
      <c r="T61" s="19">
        <f>bar_1(U61,1)</f>
        <v>396</v>
      </c>
      <c r="U61" s="18" t="str">
        <f>use_bar(S61,P61,1)</f>
        <v>D10D13@ 250</v>
      </c>
    </row>
    <row r="62" spans="2:21" x14ac:dyDescent="0.45">
      <c r="B62" s="12" t="str">
        <f t="shared" ref="B62:B71" si="8">B45</f>
        <v>Mg3'</v>
      </c>
      <c r="C62" s="17">
        <f>H45</f>
        <v>6.6543999999999999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113</v>
      </c>
      <c r="G62" s="12">
        <f>F62*7/8</f>
        <v>98.875</v>
      </c>
      <c r="H62" s="18">
        <f>C62*1000*1000/(G$23*G62)</f>
        <v>345.13404000129663</v>
      </c>
      <c r="I62" s="19">
        <f>bar_1(J62,1)</f>
        <v>423.33333333333337</v>
      </c>
      <c r="J62" s="18" t="str">
        <f>use_bar(H62,E62,1)</f>
        <v>D13@ 300</v>
      </c>
      <c r="K62" s="12"/>
      <c r="L62" s="12"/>
      <c r="M62" s="12" t="s">
        <v>9</v>
      </c>
      <c r="N62" s="17">
        <f>S45</f>
        <v>9.6644000000000005</v>
      </c>
      <c r="O62" s="15" t="str">
        <f>N45</f>
        <v>上端筋</v>
      </c>
      <c r="P62" s="12" t="str">
        <f>P28</f>
        <v>D10D13</v>
      </c>
      <c r="Q62" s="12">
        <f t="array" ref="Q62">N$23-O$23-bar_1(P62,4)/2</f>
        <v>113</v>
      </c>
      <c r="R62" s="12">
        <f>Q62*7/8</f>
        <v>98.875</v>
      </c>
      <c r="S62" s="18">
        <f>N62*1000*1000/(R$23*R62)</f>
        <v>501.24931116081569</v>
      </c>
      <c r="T62" s="19">
        <f>bar_1(U62,1)</f>
        <v>660</v>
      </c>
      <c r="U62" s="18" t="str">
        <f>use_bar(S62,P62,1)</f>
        <v>D10D13@ 150</v>
      </c>
    </row>
    <row r="63" spans="2:21" x14ac:dyDescent="0.45">
      <c r="B63" s="12" t="str">
        <f t="shared" si="8"/>
        <v>Mg5'</v>
      </c>
      <c r="C63" s="17">
        <f>H46</f>
        <v>5.3235000000000001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113</v>
      </c>
      <c r="G63" s="12">
        <f>F63*7/8</f>
        <v>98.875</v>
      </c>
      <c r="H63" s="18">
        <f>C63*1000*1000/(G$23*G63)</f>
        <v>276.10619469026551</v>
      </c>
      <c r="I63" s="19">
        <f>bar_1(J63,1)</f>
        <v>423.33333333333337</v>
      </c>
      <c r="J63" s="18" t="str">
        <f>use_bar(H63,E63,1)</f>
        <v>D13@ 300</v>
      </c>
      <c r="K63" s="12"/>
      <c r="L63" s="12"/>
      <c r="M63" s="12" t="s">
        <v>10</v>
      </c>
      <c r="N63" s="17">
        <f>S46</f>
        <v>7.7314999999999996</v>
      </c>
      <c r="O63" s="15" t="str">
        <f>N46</f>
        <v>上端筋</v>
      </c>
      <c r="P63" s="12" t="str">
        <f>P29</f>
        <v>D10D13</v>
      </c>
      <c r="Q63" s="12">
        <f t="array" ref="Q63">N$23-O$23-bar_1(P63,4)/2</f>
        <v>113</v>
      </c>
      <c r="R63" s="12">
        <f>Q63*7/8</f>
        <v>98.875</v>
      </c>
      <c r="S63" s="18">
        <f>N63*1000*1000/(R$23*R63)</f>
        <v>400.99841161788066</v>
      </c>
      <c r="T63" s="19">
        <f>bar_1(U63,1)</f>
        <v>495</v>
      </c>
      <c r="U63" s="18" t="str">
        <f>use_bar(S63,P63,1)</f>
        <v>D10D13@ 200</v>
      </c>
    </row>
    <row r="64" spans="2:21" x14ac:dyDescent="0.45">
      <c r="B64" s="12" t="str">
        <f t="shared" si="8"/>
        <v>Mg2'</v>
      </c>
      <c r="C64" s="17">
        <f>H47</f>
        <v>3.2555000000000001</v>
      </c>
      <c r="D64" s="15" t="str">
        <f>C47</f>
        <v>下端筋</v>
      </c>
      <c r="E64" s="12" t="s">
        <v>18</v>
      </c>
      <c r="F64" s="12">
        <f t="array" ref="F64">C$23-E$23-bar_1(E64,4)/2</f>
        <v>93</v>
      </c>
      <c r="G64" s="12">
        <f>F64*7/8</f>
        <v>81.375</v>
      </c>
      <c r="H64" s="18">
        <f>C64*1000*1000/(G$23*G64)</f>
        <v>205.1597148371342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4.7281000000000004</v>
      </c>
      <c r="O64" s="15" t="str">
        <f>N47</f>
        <v>下端筋</v>
      </c>
      <c r="P64" s="12" t="str">
        <f>P30</f>
        <v>D10</v>
      </c>
      <c r="Q64" s="12">
        <f t="array" ref="Q64">N$23-P$23-bar_1(P64,4)/2</f>
        <v>94.5</v>
      </c>
      <c r="R64" s="12">
        <f>Q64*7/8</f>
        <v>82.6875</v>
      </c>
      <c r="S64" s="18">
        <f>N64*1000*1000/(R$23*R64)</f>
        <v>293.23255228017132</v>
      </c>
      <c r="T64" s="19">
        <f>bar_1(U64,1)</f>
        <v>355</v>
      </c>
      <c r="U64" s="18" t="str">
        <f>use_bar(S64,P64,1)</f>
        <v>D10@ 200</v>
      </c>
    </row>
    <row r="65" spans="2:21" x14ac:dyDescent="0.45">
      <c r="B65" s="12" t="str">
        <f t="shared" si="8"/>
        <v>Mg4'</v>
      </c>
      <c r="C65" s="17">
        <f>H48</f>
        <v>2.8957999999999999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93</v>
      </c>
      <c r="G65" s="12">
        <f>F65*7/8</f>
        <v>81.375</v>
      </c>
      <c r="H65" s="18">
        <f>C65*1000*1000/(G$23*G65)</f>
        <v>182.4916302335657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4.2055999999999996</v>
      </c>
      <c r="O65" s="15" t="str">
        <f>N48</f>
        <v>下端筋</v>
      </c>
      <c r="P65" s="12" t="str">
        <f>P31</f>
        <v>D10</v>
      </c>
      <c r="Q65" s="12">
        <f t="array" ref="Q65">N$23-P$23-bar_1(P65,4)/2</f>
        <v>94.5</v>
      </c>
      <c r="R65" s="12">
        <f>Q65*7/8</f>
        <v>82.6875</v>
      </c>
      <c r="S65" s="18">
        <f>N65*1000*1000/(R$23*R65)</f>
        <v>260.82756749423413</v>
      </c>
      <c r="T65" s="19">
        <f>bar_1(U65,1)</f>
        <v>284</v>
      </c>
      <c r="U65" s="18" t="str">
        <f>use_bar(S65,P65,1)</f>
        <v>D10@ 250</v>
      </c>
    </row>
    <row r="66" spans="2:21" x14ac:dyDescent="0.45">
      <c r="B66" s="12" t="str">
        <f t="shared" si="8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8"/>
        <v>Mf1'</v>
      </c>
      <c r="C67" s="17">
        <f>H50</f>
        <v>2.2181000000000002</v>
      </c>
      <c r="D67" s="15" t="str">
        <f>C50</f>
        <v>上端筋</v>
      </c>
      <c r="E67" s="12" t="s">
        <v>18</v>
      </c>
      <c r="F67" s="12">
        <f t="array" ref="F67">C$23-D$23-bar_1(E67,4)/2</f>
        <v>113</v>
      </c>
      <c r="G67" s="12">
        <f>F67*7/8</f>
        <v>98.875</v>
      </c>
      <c r="H67" s="18">
        <f>C67*1000*1000/(G$23*G67)</f>
        <v>115.04295114914586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3.2214999999999998</v>
      </c>
      <c r="O67" s="15" t="str">
        <f>N50</f>
        <v>上端筋</v>
      </c>
      <c r="P67" s="12" t="str">
        <f>P33</f>
        <v>D10D13</v>
      </c>
      <c r="Q67" s="12">
        <f t="array" ref="Q67">N$23-O$23-bar_1(P67,4)/2</f>
        <v>113</v>
      </c>
      <c r="R67" s="12">
        <f>Q67*7/8</f>
        <v>98.875</v>
      </c>
      <c r="S67" s="18">
        <f>N67*1000*1000/(R$23*R67)</f>
        <v>167.08483257155822</v>
      </c>
      <c r="T67" s="19">
        <f>bar_1(U67,1)</f>
        <v>330</v>
      </c>
      <c r="U67" s="18" t="str">
        <f>use_bar(S67,P67,1)</f>
        <v>D10D13@ 300</v>
      </c>
    </row>
    <row r="68" spans="2:21" x14ac:dyDescent="0.45">
      <c r="B68" s="12" t="str">
        <f t="shared" si="8"/>
        <v>Mf3'</v>
      </c>
      <c r="C68" s="17">
        <f>H51</f>
        <v>3.3271999999999999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113</v>
      </c>
      <c r="G68" s="12">
        <f>F68*7/8</f>
        <v>98.875</v>
      </c>
      <c r="H68" s="18">
        <f>C68*1000*1000/(G$23*G68)</f>
        <v>172.56702000064831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4.8322000000000003</v>
      </c>
      <c r="O68" s="15" t="str">
        <f>N51</f>
        <v>上端筋</v>
      </c>
      <c r="P68" s="12" t="str">
        <f>P34</f>
        <v>D10D13</v>
      </c>
      <c r="Q68" s="12">
        <f t="array" ref="Q68">N$23-O$23-bar_1(P68,4)/2</f>
        <v>113</v>
      </c>
      <c r="R68" s="12">
        <f>Q68*7/8</f>
        <v>98.875</v>
      </c>
      <c r="S68" s="18">
        <f>N68*1000*1000/(R$23*R68)</f>
        <v>250.62465558040785</v>
      </c>
      <c r="T68" s="19">
        <f>bar_1(U68,1)</f>
        <v>330</v>
      </c>
      <c r="U68" s="18" t="str">
        <f>use_bar(S68,P68,1)</f>
        <v>D10D13@ 300</v>
      </c>
    </row>
    <row r="69" spans="2:21" x14ac:dyDescent="0.45">
      <c r="B69" s="12" t="str">
        <f t="shared" si="8"/>
        <v>Mf5'</v>
      </c>
      <c r="C69" s="17">
        <f>H52</f>
        <v>2.6617999999999999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113</v>
      </c>
      <c r="G69" s="12">
        <f>F69*7/8</f>
        <v>98.875</v>
      </c>
      <c r="H69" s="18">
        <f>C69*1000*1000/(G$23*G69)</f>
        <v>138.05569062206229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3.8658000000000001</v>
      </c>
      <c r="O69" s="15" t="str">
        <f>N52</f>
        <v>上端筋</v>
      </c>
      <c r="P69" s="12" t="str">
        <f>P35</f>
        <v>D10D13</v>
      </c>
      <c r="Q69" s="12">
        <f t="array" ref="Q69">N$23-O$23-bar_1(P69,4)/2</f>
        <v>113</v>
      </c>
      <c r="R69" s="12">
        <f>Q69*7/8</f>
        <v>98.875</v>
      </c>
      <c r="S69" s="18">
        <f>N69*1000*1000/(R$23*R69)</f>
        <v>200.50179908586989</v>
      </c>
      <c r="T69" s="19">
        <f>bar_1(U69,1)</f>
        <v>330</v>
      </c>
      <c r="U69" s="18" t="str">
        <f>use_bar(S69,P69,1)</f>
        <v>D10D13@ 300</v>
      </c>
    </row>
    <row r="70" spans="2:21" x14ac:dyDescent="0.45">
      <c r="B70" s="12" t="str">
        <f t="shared" si="8"/>
        <v>Mf2'</v>
      </c>
      <c r="C70" s="17">
        <f>H53</f>
        <v>3.8664999999999998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93</v>
      </c>
      <c r="G70" s="12">
        <f>F70*7/8</f>
        <v>81.375</v>
      </c>
      <c r="H70" s="18">
        <f>C70*1000*1000/(G$23*G70)</f>
        <v>243.66457914845012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5.6154000000000002</v>
      </c>
      <c r="O70" s="15" t="str">
        <f>N53</f>
        <v>下端筋</v>
      </c>
      <c r="P70" s="12" t="str">
        <f>P36</f>
        <v>D10</v>
      </c>
      <c r="Q70" s="12">
        <f t="array" ref="Q70">N$23-P$23-bar_1(P70,4)/2</f>
        <v>94.5</v>
      </c>
      <c r="R70" s="12">
        <f>Q70*7/8</f>
        <v>82.6875</v>
      </c>
      <c r="S70" s="18">
        <f>N70*1000*1000/(R$23*R70)</f>
        <v>348.26210826210831</v>
      </c>
      <c r="T70" s="19">
        <f>bar_1(U70,1)</f>
        <v>355</v>
      </c>
      <c r="U70" s="18" t="str">
        <f>use_bar(S70,P70,1)</f>
        <v>D10@ 200</v>
      </c>
    </row>
    <row r="71" spans="2:21" x14ac:dyDescent="0.45">
      <c r="B71" s="12" t="str">
        <f t="shared" si="8"/>
        <v>Mf4'</v>
      </c>
      <c r="C71" s="17">
        <f>H54</f>
        <v>3.5291999999999999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93</v>
      </c>
      <c r="G71" s="12">
        <f>F71*7/8</f>
        <v>81.375</v>
      </c>
      <c r="H71" s="18">
        <f>C71*1000*1000/(G$23*G71)</f>
        <v>222.40812950490371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5.1256000000000004</v>
      </c>
      <c r="O71" s="15" t="str">
        <f>N54</f>
        <v>下端筋</v>
      </c>
      <c r="P71" s="12" t="str">
        <f>P37</f>
        <v>D10</v>
      </c>
      <c r="Q71" s="12">
        <f t="array" ref="Q71">N$23-P$23-bar_1(P71,4)/2</f>
        <v>94.5</v>
      </c>
      <c r="R71" s="12">
        <f>Q71*7/8</f>
        <v>82.6875</v>
      </c>
      <c r="S71" s="18">
        <f>N71*1000*1000/(R$23*R71)</f>
        <v>317.88514836133885</v>
      </c>
      <c r="T71" s="19">
        <f>bar_1(U71,1)</f>
        <v>355</v>
      </c>
      <c r="U71" s="18" t="str">
        <f>use_bar(S71,P71,1)</f>
        <v>D10@ 200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0EBEC-9E6D-4BFB-BAEC-F443087528DF}">
  <sheetPr codeName="Sheet7"/>
  <dimension ref="B3:U71"/>
  <sheetViews>
    <sheetView workbookViewId="0">
      <selection activeCell="V39" sqref="V39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v>500</v>
      </c>
    </row>
    <row r="4" spans="2:19" x14ac:dyDescent="0.45">
      <c r="C4" s="2" t="s">
        <v>3</v>
      </c>
      <c r="D4">
        <v>150</v>
      </c>
      <c r="E4">
        <f>D4*24000/1000</f>
        <v>3600</v>
      </c>
    </row>
    <row r="5" spans="2:19" x14ac:dyDescent="0.45">
      <c r="C5" s="2"/>
      <c r="D5" s="3" t="s">
        <v>2</v>
      </c>
      <c r="E5">
        <f>SUM(E3:E4)</f>
        <v>4100</v>
      </c>
    </row>
    <row r="6" spans="2:19" x14ac:dyDescent="0.45">
      <c r="B6" t="s">
        <v>27</v>
      </c>
      <c r="C6" s="2"/>
      <c r="D6" s="3"/>
      <c r="M6" t="s">
        <v>26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5">
      <c r="B8" s="22">
        <v>3.9</v>
      </c>
      <c r="C8" s="22"/>
      <c r="D8" s="22">
        <f>E5</f>
        <v>4100</v>
      </c>
      <c r="E8" s="22"/>
      <c r="F8" s="22">
        <v>2900</v>
      </c>
      <c r="G8" s="22"/>
      <c r="M8" s="22">
        <v>4.7</v>
      </c>
      <c r="N8" s="22"/>
      <c r="O8" s="22">
        <f>D8</f>
        <v>4100</v>
      </c>
      <c r="P8" s="22"/>
      <c r="Q8" s="22">
        <f>F8</f>
        <v>2900</v>
      </c>
      <c r="R8" s="22"/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8.8725000000000005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12.8858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13.3088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19.328800000000001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10.647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15.462999999999999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6.5110999999999999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9.4562000000000008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5.7915000000000001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8.4111999999999991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2.9575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4.2953000000000001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4.4363000000000001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6.4428999999999998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3.5489999999999999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5.1543000000000001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5.1553000000000004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7.4871999999999996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4.7055999999999996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6.8341000000000003</v>
      </c>
    </row>
    <row r="22" spans="2:21" x14ac:dyDescent="0.45">
      <c r="B22" t="s">
        <v>23</v>
      </c>
      <c r="C22" s="22" t="s">
        <v>19</v>
      </c>
      <c r="D22" s="22" t="s">
        <v>20</v>
      </c>
      <c r="E22" s="22" t="s">
        <v>21</v>
      </c>
      <c r="G22" s="22" t="s">
        <v>25</v>
      </c>
      <c r="M22" t="s">
        <v>23</v>
      </c>
      <c r="N22" s="22" t="s">
        <v>19</v>
      </c>
      <c r="O22" s="22" t="s">
        <v>20</v>
      </c>
      <c r="P22" s="22" t="s">
        <v>21</v>
      </c>
      <c r="R22" s="22" t="s">
        <v>25</v>
      </c>
    </row>
    <row r="23" spans="2:21" x14ac:dyDescent="0.45">
      <c r="B23" t="s">
        <v>24</v>
      </c>
      <c r="C23" s="22">
        <f>D4</f>
        <v>150</v>
      </c>
      <c r="D23" s="22">
        <v>30</v>
      </c>
      <c r="E23" s="22">
        <v>50</v>
      </c>
      <c r="G23">
        <v>195</v>
      </c>
      <c r="M23" t="s">
        <v>24</v>
      </c>
      <c r="N23" s="22">
        <f>C23</f>
        <v>150</v>
      </c>
      <c r="O23" s="22">
        <v>30</v>
      </c>
      <c r="P23" s="22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8.8725000000000005</v>
      </c>
      <c r="D27" s="1" t="str">
        <f>C10</f>
        <v>上端筋</v>
      </c>
      <c r="E27" t="s">
        <v>18</v>
      </c>
      <c r="F27">
        <f>C$23-D$23-bar_1(E27,4)/2</f>
        <v>113</v>
      </c>
      <c r="G27">
        <f>F27*7/8</f>
        <v>98.875</v>
      </c>
      <c r="H27" s="9">
        <f>C27*1000*1000/(G$23*G27)</f>
        <v>460.17699115044246</v>
      </c>
      <c r="I27" s="9">
        <f t="array" ref="I27">bar_1(J27,1)</f>
        <v>508</v>
      </c>
      <c r="J27" s="9" t="str">
        <f>use_bar(H27,E27,1)</f>
        <v>D13@ 250</v>
      </c>
      <c r="M27" t="s">
        <v>7</v>
      </c>
      <c r="N27" s="6">
        <f>S10</f>
        <v>12.8858</v>
      </c>
      <c r="O27" s="1" t="str">
        <f>N10</f>
        <v>上端筋</v>
      </c>
      <c r="P27" t="s">
        <v>64</v>
      </c>
      <c r="Q27">
        <f>N$23-O$23-bar_1(P27,4)*1.5</f>
        <v>99</v>
      </c>
      <c r="R27">
        <f>Q27*7/8</f>
        <v>86.625</v>
      </c>
      <c r="S27" s="9">
        <f>N27*1000*1000/(R$23*R27)</f>
        <v>762.84012284012283</v>
      </c>
      <c r="T27" s="8">
        <f t="shared" ref="T27:T31" si="0">barX(U27,1)</f>
        <v>710</v>
      </c>
      <c r="U27" s="9" t="str">
        <f>use_bar(S27,P27,1)</f>
        <v>D10D13@ 100</v>
      </c>
    </row>
    <row r="28" spans="2:21" x14ac:dyDescent="0.45">
      <c r="B28" t="s">
        <v>9</v>
      </c>
      <c r="C28" s="6">
        <f>H11</f>
        <v>13.3088</v>
      </c>
      <c r="D28" s="1" t="str">
        <f>C11</f>
        <v>上端筋</v>
      </c>
      <c r="E28" t="s">
        <v>18</v>
      </c>
      <c r="F28">
        <f>C$23-D$23-bar_1(E28,4)/2</f>
        <v>113</v>
      </c>
      <c r="G28">
        <f>F28*7/8</f>
        <v>98.875</v>
      </c>
      <c r="H28" s="9">
        <f>C28*1000*1000/(G$23*G28)</f>
        <v>690.26808000259325</v>
      </c>
      <c r="I28" s="9">
        <f t="array" ref="I28">bar_1(J28,1)</f>
        <v>846.66666666666674</v>
      </c>
      <c r="J28" s="9" t="str">
        <f>use_bar(H28,E28,1)</f>
        <v>D13@ 150</v>
      </c>
      <c r="M28" t="s">
        <v>9</v>
      </c>
      <c r="N28" s="6">
        <f>S11</f>
        <v>19.328800000000001</v>
      </c>
      <c r="O28" s="1" t="str">
        <f>N11</f>
        <v>上端筋</v>
      </c>
      <c r="P28" t="s">
        <v>67</v>
      </c>
      <c r="Q28">
        <f>N$23-O$23-bar_1(P28,4)*1.5</f>
        <v>99</v>
      </c>
      <c r="R28">
        <f>Q28*7/8</f>
        <v>86.625</v>
      </c>
      <c r="S28" s="9">
        <f>N28*1000*1000/(R$23*R28)</f>
        <v>1144.2661042661045</v>
      </c>
      <c r="T28" s="8">
        <f t="shared" si="0"/>
        <v>946.66666666666674</v>
      </c>
      <c r="U28" s="9" t="str">
        <f>use_bar(S28,P28,1)</f>
        <v>D10D13@ 75</v>
      </c>
    </row>
    <row r="29" spans="2:21" x14ac:dyDescent="0.45">
      <c r="B29" t="s">
        <v>10</v>
      </c>
      <c r="C29" s="6">
        <f>H12</f>
        <v>10.647</v>
      </c>
      <c r="D29" s="1" t="str">
        <f>C12</f>
        <v>上端筋</v>
      </c>
      <c r="E29" t="str">
        <f>E28</f>
        <v>D13</v>
      </c>
      <c r="F29">
        <f t="array" ref="F29">C$23-D$23-bar_1(E29,4)/2</f>
        <v>113</v>
      </c>
      <c r="G29">
        <f>F29*7/8</f>
        <v>98.875</v>
      </c>
      <c r="H29" s="9">
        <f>C29*1000*1000/(G$23*G29)</f>
        <v>552.21238938053102</v>
      </c>
      <c r="I29" s="9">
        <f t="array" ref="I29">bar_1(J29,1)</f>
        <v>635</v>
      </c>
      <c r="J29" s="9" t="str">
        <f>use_bar(H29,E29,1)</f>
        <v>D13@ 200</v>
      </c>
      <c r="M29" t="s">
        <v>10</v>
      </c>
      <c r="N29" s="6">
        <f>S12</f>
        <v>15.462999999999999</v>
      </c>
      <c r="O29" s="1" t="str">
        <f>N12</f>
        <v>上端筋</v>
      </c>
      <c r="P29" t="str">
        <f>P28</f>
        <v>D10D13</v>
      </c>
      <c r="Q29">
        <f>N$23-O$23-bar_1(P29,4)*1.5</f>
        <v>99</v>
      </c>
      <c r="R29">
        <f>Q29*7/8</f>
        <v>86.625</v>
      </c>
      <c r="S29" s="9">
        <f>N29*1000*1000/(R$23*R29)</f>
        <v>915.41051541051536</v>
      </c>
      <c r="T29" s="8">
        <f t="shared" si="0"/>
        <v>710</v>
      </c>
      <c r="U29" s="9" t="str">
        <f>use_bar(S29,P29,1)</f>
        <v>D10D13@ 100</v>
      </c>
    </row>
    <row r="30" spans="2:21" x14ac:dyDescent="0.45">
      <c r="B30" t="s">
        <v>8</v>
      </c>
      <c r="C30" s="6">
        <f>H13</f>
        <v>6.5110999999999999</v>
      </c>
      <c r="D30" s="1" t="str">
        <f>C13</f>
        <v>下端筋</v>
      </c>
      <c r="E30" t="s">
        <v>64</v>
      </c>
      <c r="F30">
        <f>C$23-E$23-bar_1(E30,4)/2</f>
        <v>93</v>
      </c>
      <c r="G30">
        <f>F30*7/8</f>
        <v>81.375</v>
      </c>
      <c r="H30" s="9">
        <f>C30*1000*1000/(G$23*G30)</f>
        <v>410.32573161605416</v>
      </c>
      <c r="I30" s="9">
        <f t="array" ref="I30">bar_1(J30,1)</f>
        <v>495</v>
      </c>
      <c r="J30" s="9" t="str">
        <f>use_bar(H30,E30,1)</f>
        <v>D10D13@ 200</v>
      </c>
      <c r="M30" t="s">
        <v>8</v>
      </c>
      <c r="N30" s="6">
        <f>S13</f>
        <v>9.4562000000000008</v>
      </c>
      <c r="O30" s="1" t="str">
        <f>N13</f>
        <v>下端筋</v>
      </c>
      <c r="P30" t="s">
        <v>66</v>
      </c>
      <c r="Q30">
        <f>N$23-P$23-bar_1(P30,4)*1.5</f>
        <v>83.5</v>
      </c>
      <c r="R30">
        <f>Q30*7/8</f>
        <v>73.0625</v>
      </c>
      <c r="S30" s="9">
        <f>N30*1000*1000/(R$23*R30)</f>
        <v>663.72398061020817</v>
      </c>
      <c r="T30" s="8">
        <f t="shared" si="0"/>
        <v>710</v>
      </c>
      <c r="U30" s="9" t="str">
        <f>use_bar(S30,P30,1)</f>
        <v>D10@ 100</v>
      </c>
    </row>
    <row r="31" spans="2:21" x14ac:dyDescent="0.45">
      <c r="B31" t="s">
        <v>14</v>
      </c>
      <c r="C31" s="6">
        <f>H14</f>
        <v>5.7915000000000001</v>
      </c>
      <c r="D31" s="1" t="str">
        <f>C14</f>
        <v>下端筋</v>
      </c>
      <c r="E31" t="str">
        <f>E30</f>
        <v>D10D13</v>
      </c>
      <c r="F31">
        <f t="array" ref="F31">C$23-E$23-bar_1(E31,4)/2</f>
        <v>93</v>
      </c>
      <c r="G31">
        <f>F31*7/8</f>
        <v>81.375</v>
      </c>
      <c r="H31" s="9">
        <f>C31*1000*1000/(G$23*G31)</f>
        <v>364.97695852534559</v>
      </c>
      <c r="I31" s="9">
        <f>bar_1(J31,1)</f>
        <v>396</v>
      </c>
      <c r="J31" s="9" t="str">
        <f>use_bar(H31,E31,1)</f>
        <v>D10D13@ 250</v>
      </c>
      <c r="M31" t="s">
        <v>14</v>
      </c>
      <c r="N31" s="6">
        <f>S14</f>
        <v>8.4111999999999991</v>
      </c>
      <c r="O31" s="1" t="str">
        <f>N14</f>
        <v>下端筋</v>
      </c>
      <c r="P31" t="s">
        <v>66</v>
      </c>
      <c r="Q31">
        <f>N$23-P$23-bar_1(P31,4)*1.5</f>
        <v>83.5</v>
      </c>
      <c r="R31">
        <f>Q31*7/8</f>
        <v>73.0625</v>
      </c>
      <c r="S31" s="9">
        <f>N31*1000*1000/(R$23*R31)</f>
        <v>590.37617073545209</v>
      </c>
      <c r="T31" s="8">
        <f t="shared" si="0"/>
        <v>710</v>
      </c>
      <c r="U31" s="9" t="str">
        <f>use_bar(S31,P31,1)</f>
        <v>D10@ 100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2.9575</v>
      </c>
      <c r="D33" s="1" t="str">
        <f>C16</f>
        <v>上端筋</v>
      </c>
      <c r="E33" t="s">
        <v>18</v>
      </c>
      <c r="F33">
        <f t="array" ref="F33">C$23-D$23-bar_1(E33,4)/2</f>
        <v>113</v>
      </c>
      <c r="G33">
        <f>F33*7/8</f>
        <v>98.875</v>
      </c>
      <c r="H33" s="9">
        <f>C33*1000*1000/(G$23*G33)</f>
        <v>153.39233038348084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4.2953000000000001</v>
      </c>
      <c r="O33" s="1" t="str">
        <f>N16</f>
        <v>上端筋</v>
      </c>
      <c r="P33" t="s">
        <v>64</v>
      </c>
      <c r="Q33">
        <f>N$23-O$23-bar_1(P33,4)*1.5</f>
        <v>99</v>
      </c>
      <c r="R33">
        <f>Q33*7/8</f>
        <v>86.625</v>
      </c>
      <c r="S33" s="9">
        <f>N33*1000*1000/(R$23*R33)</f>
        <v>254.28201428201427</v>
      </c>
      <c r="T33" s="8">
        <f>barX(U33,1)</f>
        <v>236.66666666666669</v>
      </c>
      <c r="U33" s="9" t="str">
        <f>use_bar(S33,P33,1)</f>
        <v>D10D13@ 300</v>
      </c>
    </row>
    <row r="34" spans="2:21" x14ac:dyDescent="0.45">
      <c r="B34" t="s">
        <v>5</v>
      </c>
      <c r="C34" s="6">
        <f>H17</f>
        <v>4.4363000000000001</v>
      </c>
      <c r="D34" s="1" t="str">
        <f>C17</f>
        <v>上端筋</v>
      </c>
      <c r="E34" t="str">
        <f>E33</f>
        <v>D13</v>
      </c>
      <c r="F34">
        <f t="array" ref="F34">C$23-D$23-bar_1(E34,4)/2</f>
        <v>113</v>
      </c>
      <c r="G34">
        <f>F34*7/8</f>
        <v>98.875</v>
      </c>
      <c r="H34" s="9">
        <f>C34*1000*1000/(G$23*G34)</f>
        <v>230.09108885215079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6.4428999999999998</v>
      </c>
      <c r="O34" s="1" t="str">
        <f>N17</f>
        <v>上端筋</v>
      </c>
      <c r="P34" t="str">
        <f>P33</f>
        <v>D10D13</v>
      </c>
      <c r="Q34">
        <f>N$23-O$23-bar_1(P34,4)*1.5</f>
        <v>99</v>
      </c>
      <c r="R34">
        <f>Q34*7/8</f>
        <v>86.625</v>
      </c>
      <c r="S34" s="9">
        <f>N34*1000*1000/(R$23*R34)</f>
        <v>381.42006142006142</v>
      </c>
      <c r="T34" s="8">
        <f t="shared" ref="T34:T37" si="1">barX(U34,1)</f>
        <v>284</v>
      </c>
      <c r="U34" s="9" t="str">
        <f>use_bar(S34,P34,1)</f>
        <v>D10D13@ 250</v>
      </c>
    </row>
    <row r="35" spans="2:21" x14ac:dyDescent="0.45">
      <c r="B35" t="s">
        <v>6</v>
      </c>
      <c r="C35" s="6">
        <f>H18</f>
        <v>3.5489999999999999</v>
      </c>
      <c r="D35" s="1" t="str">
        <f>C18</f>
        <v>上端筋</v>
      </c>
      <c r="E35" t="str">
        <f>E34</f>
        <v>D13</v>
      </c>
      <c r="F35">
        <f t="array" ref="F35">C$23-D$23-bar_1(E35,4)/2</f>
        <v>113</v>
      </c>
      <c r="G35">
        <f>F35*7/8</f>
        <v>98.875</v>
      </c>
      <c r="H35" s="9">
        <f>C35*1000*1000/(G$23*G35)</f>
        <v>184.07079646017698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5.1543000000000001</v>
      </c>
      <c r="O35" s="1" t="str">
        <f>N18</f>
        <v>上端筋</v>
      </c>
      <c r="P35" t="str">
        <f>P34</f>
        <v>D10D13</v>
      </c>
      <c r="Q35">
        <f>N$23-O$23-bar_1(P35,4)*1.5</f>
        <v>99</v>
      </c>
      <c r="R35">
        <f>Q35*7/8</f>
        <v>86.625</v>
      </c>
      <c r="S35" s="9">
        <f>N35*1000*1000/(R$23*R35)</f>
        <v>305.13486513486515</v>
      </c>
      <c r="T35" s="8">
        <f t="shared" si="1"/>
        <v>236.66666666666669</v>
      </c>
      <c r="U35" s="9" t="str">
        <f>use_bar(S35,P35,1)</f>
        <v>D10D13@ 300</v>
      </c>
    </row>
    <row r="36" spans="2:21" x14ac:dyDescent="0.45">
      <c r="B36" t="s">
        <v>16</v>
      </c>
      <c r="C36" s="6">
        <f>H19</f>
        <v>5.1553000000000004</v>
      </c>
      <c r="D36" s="1" t="str">
        <f>C19</f>
        <v>下端筋</v>
      </c>
      <c r="E36" t="s">
        <v>67</v>
      </c>
      <c r="F36">
        <f t="array" ref="F36">C$23-E$23-bar_1(E36,4)/2</f>
        <v>93</v>
      </c>
      <c r="G36">
        <f>F36*7/8</f>
        <v>81.375</v>
      </c>
      <c r="H36" s="9">
        <f>C36*1000*1000/(G$23*G36)</f>
        <v>324.88400488400487</v>
      </c>
      <c r="I36" s="9">
        <f>bar_1(J36,1)</f>
        <v>330</v>
      </c>
      <c r="J36" s="9" t="str">
        <f>use_bar(H36,E36,1)</f>
        <v>D10D13@ 300</v>
      </c>
      <c r="M36" t="s">
        <v>16</v>
      </c>
      <c r="N36" s="6">
        <f>S19</f>
        <v>7.4871999999999996</v>
      </c>
      <c r="O36" s="1" t="str">
        <f>N19</f>
        <v>下端筋</v>
      </c>
      <c r="P36" t="s">
        <v>66</v>
      </c>
      <c r="Q36">
        <f>N$23-P$23-bar_1(P36,4)*1.5</f>
        <v>83.5</v>
      </c>
      <c r="R36">
        <f>Q36*7/8</f>
        <v>73.0625</v>
      </c>
      <c r="S36" s="9">
        <f>N36*1000*1000/(R$23*R36)</f>
        <v>525.52126516198371</v>
      </c>
      <c r="T36" s="8">
        <f t="shared" si="1"/>
        <v>710</v>
      </c>
      <c r="U36" s="9" t="str">
        <f>use_bar(S36,P36,1)</f>
        <v>D10@ 100</v>
      </c>
    </row>
    <row r="37" spans="2:21" x14ac:dyDescent="0.45">
      <c r="B37" t="s">
        <v>17</v>
      </c>
      <c r="C37" s="6">
        <f>H20</f>
        <v>4.7055999999999996</v>
      </c>
      <c r="D37" s="1" t="str">
        <f>C20</f>
        <v>下端筋</v>
      </c>
      <c r="E37" t="str">
        <f>E36</f>
        <v>D10D13</v>
      </c>
      <c r="F37">
        <f t="array" ref="F37">C$23-E$23-bar_1(E37,4)/2</f>
        <v>93</v>
      </c>
      <c r="G37">
        <f>F37*7/8</f>
        <v>81.375</v>
      </c>
      <c r="H37" s="9">
        <f>C37*1000*1000/(G$23*G37)</f>
        <v>296.54417267320486</v>
      </c>
      <c r="I37" s="9">
        <f>bar_1(J37,1)</f>
        <v>330</v>
      </c>
      <c r="J37" s="9" t="str">
        <f>use_bar(H37,E37,1)</f>
        <v>D10D13@ 300</v>
      </c>
      <c r="M37" t="s">
        <v>17</v>
      </c>
      <c r="N37" s="6">
        <f>S20</f>
        <v>6.8341000000000003</v>
      </c>
      <c r="O37" s="1" t="str">
        <f>N20</f>
        <v>下端筋</v>
      </c>
      <c r="P37" t="str">
        <f>P36</f>
        <v>D10</v>
      </c>
      <c r="Q37">
        <f>N$23-P$23-bar_1(P37,4)*1.5</f>
        <v>83.5</v>
      </c>
      <c r="R37">
        <f>Q37*7/8</f>
        <v>73.0625</v>
      </c>
      <c r="S37" s="9">
        <f>N37*1000*1000/(R$23*R37)</f>
        <v>479.68063872255487</v>
      </c>
      <c r="T37" s="8">
        <f t="shared" si="1"/>
        <v>710</v>
      </c>
      <c r="U37" s="9" t="str">
        <f>use_bar(S37,P37,1)</f>
        <v>D10@ 100</v>
      </c>
    </row>
    <row r="40" spans="2:21" x14ac:dyDescent="0.45">
      <c r="B40" s="12" t="s">
        <v>65</v>
      </c>
      <c r="C40" s="12" t="str">
        <f>B6</f>
        <v>短辺</v>
      </c>
      <c r="D40" s="12"/>
      <c r="E40" s="12"/>
      <c r="F40" s="12"/>
      <c r="G40" s="12"/>
      <c r="H40" s="12"/>
      <c r="I40" s="12"/>
      <c r="J40" s="12"/>
      <c r="K40" s="12"/>
      <c r="L40" s="12"/>
      <c r="M40" s="12" t="s">
        <v>65</v>
      </c>
      <c r="N40" s="12" t="str">
        <f>M6</f>
        <v>長辺</v>
      </c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f>B8</f>
        <v>3.9</v>
      </c>
      <c r="C42" s="14"/>
      <c r="D42" s="14">
        <f>+D8</f>
        <v>4100</v>
      </c>
      <c r="E42" s="14"/>
      <c r="F42" s="14">
        <f>F8</f>
        <v>2900</v>
      </c>
      <c r="G42" s="14"/>
      <c r="H42" s="12"/>
      <c r="I42" s="12"/>
      <c r="J42" s="12"/>
      <c r="K42" s="12"/>
      <c r="L42" s="12"/>
      <c r="M42" s="14">
        <f>+M8</f>
        <v>4.7</v>
      </c>
      <c r="N42" s="14"/>
      <c r="O42" s="14">
        <f>+O8</f>
        <v>4100</v>
      </c>
      <c r="P42" s="14"/>
      <c r="Q42" s="14">
        <f>Q8</f>
        <v>2900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4.4363000000000001</v>
      </c>
      <c r="I44" s="23">
        <f>J44/2-H44</f>
        <v>-4.9999999999883471E-5</v>
      </c>
      <c r="J44" s="17">
        <f t="shared" ref="J44:J54" si="2">+H10</f>
        <v>8.8725000000000005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6.4428999999999998</v>
      </c>
      <c r="T44" s="12">
        <f>+U44/2-S44</f>
        <v>0</v>
      </c>
      <c r="U44" s="17">
        <f>S10</f>
        <v>12.8858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6.6543999999999999</v>
      </c>
      <c r="I45" s="23">
        <f>J45/2-H45</f>
        <v>0</v>
      </c>
      <c r="J45" s="17">
        <f t="shared" si="2"/>
        <v>13.3088</v>
      </c>
      <c r="K45" s="12"/>
      <c r="L45" s="12"/>
      <c r="M45" s="12" t="str">
        <f t="shared" ref="M45:M54" si="3">B45</f>
        <v>Mg3'</v>
      </c>
      <c r="N45" s="15" t="str">
        <f t="shared" ref="N45:N54" si="4">flat_slab_side(M$8,O$8/10000,Q$8/1000,M45,3)</f>
        <v>上端筋</v>
      </c>
      <c r="O45" s="12"/>
      <c r="P45" s="12"/>
      <c r="Q45" s="12"/>
      <c r="R45" s="16" t="str">
        <f t="shared" ref="R45:R54" si="5">flat_slab_side(M$8,O$8/10000,Q$8/1000,M45,2)</f>
        <v>Mg3'=L ^ 2 / 8 * (g + p) /2=</v>
      </c>
      <c r="S45" s="17">
        <f t="shared" ref="S45:S54" si="6">ROUND(flat_slab_side(M$8,O$8/1000,Q$8/1000,M45,1),4)</f>
        <v>9.6644000000000005</v>
      </c>
      <c r="T45" s="12">
        <f>+U45/2-S45</f>
        <v>0</v>
      </c>
      <c r="U45" s="17">
        <f t="shared" ref="U45:U54" si="7">S11</f>
        <v>19.328800000000001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5.3235000000000001</v>
      </c>
      <c r="I46" s="23">
        <f>J46/2-H46</f>
        <v>0</v>
      </c>
      <c r="J46" s="17">
        <f t="shared" si="2"/>
        <v>10.647</v>
      </c>
      <c r="K46" s="12"/>
      <c r="L46" s="12"/>
      <c r="M46" s="12" t="str">
        <f t="shared" si="3"/>
        <v>Mg5'</v>
      </c>
      <c r="N46" s="15" t="str">
        <f t="shared" si="4"/>
        <v>上端筋</v>
      </c>
      <c r="O46" s="12"/>
      <c r="P46" s="12"/>
      <c r="Q46" s="12"/>
      <c r="R46" s="16" t="str">
        <f t="shared" si="5"/>
        <v>Mg5'=L ^ 2 / 10 * (g + p) /2=</v>
      </c>
      <c r="S46" s="17">
        <f t="shared" si="6"/>
        <v>7.7314999999999996</v>
      </c>
      <c r="T46" s="12">
        <f>+U46/2-S46</f>
        <v>0</v>
      </c>
      <c r="U46" s="17">
        <f t="shared" si="7"/>
        <v>15.462999999999999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3.2555000000000001</v>
      </c>
      <c r="I47" s="23">
        <f>J47/2-H47</f>
        <v>4.9999999999883471E-5</v>
      </c>
      <c r="J47" s="17">
        <f t="shared" si="2"/>
        <v>6.5110999999999999</v>
      </c>
      <c r="K47" s="12"/>
      <c r="L47" s="12"/>
      <c r="M47" s="12" t="str">
        <f t="shared" si="3"/>
        <v>Mg2'</v>
      </c>
      <c r="N47" s="15" t="str">
        <f t="shared" si="4"/>
        <v>下端筋</v>
      </c>
      <c r="O47" s="12"/>
      <c r="P47" s="12"/>
      <c r="Q47" s="12"/>
      <c r="R47" s="16" t="str">
        <f t="shared" si="5"/>
        <v>Mg2'=L ^ 2 * (g / 20 + p / 13) /2=</v>
      </c>
      <c r="S47" s="17">
        <f t="shared" si="6"/>
        <v>4.7281000000000004</v>
      </c>
      <c r="T47" s="12">
        <f>+U47/2-S47</f>
        <v>0</v>
      </c>
      <c r="U47" s="17">
        <f t="shared" si="7"/>
        <v>9.4562000000000008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2.8957999999999999</v>
      </c>
      <c r="I48" s="23">
        <f>J48/2-H48</f>
        <v>-4.9999999999883471E-5</v>
      </c>
      <c r="J48" s="17">
        <f t="shared" si="2"/>
        <v>5.7915000000000001</v>
      </c>
      <c r="K48" s="12"/>
      <c r="L48" s="12"/>
      <c r="M48" s="12" t="str">
        <f t="shared" si="3"/>
        <v>Mg4'</v>
      </c>
      <c r="N48" s="15" t="str">
        <f t="shared" si="4"/>
        <v>下端筋</v>
      </c>
      <c r="O48" s="12"/>
      <c r="P48" s="12"/>
      <c r="Q48" s="12"/>
      <c r="R48" s="16" t="str">
        <f t="shared" si="5"/>
        <v>Mg4'=L ^ 2 * (g / 26 + p / 13) /2=</v>
      </c>
      <c r="S48" s="17">
        <f t="shared" si="6"/>
        <v>4.2055999999999996</v>
      </c>
      <c r="T48" s="12">
        <f>+U48/2-S48</f>
        <v>0</v>
      </c>
      <c r="U48" s="17">
        <f t="shared" si="7"/>
        <v>8.4111999999999991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23"/>
      <c r="J49" s="17">
        <f t="shared" si="2"/>
        <v>0</v>
      </c>
      <c r="K49" s="12"/>
      <c r="L49" s="12"/>
      <c r="M49" s="12" t="str">
        <f t="shared" si="3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2.2181000000000002</v>
      </c>
      <c r="I50" s="23">
        <f>J50*3/4-H50</f>
        <v>2.4999999999941735E-5</v>
      </c>
      <c r="J50" s="17">
        <f t="shared" si="2"/>
        <v>2.9575</v>
      </c>
      <c r="K50" s="12"/>
      <c r="L50" s="12"/>
      <c r="M50" s="12" t="str">
        <f t="shared" si="3"/>
        <v>Mf1'</v>
      </c>
      <c r="N50" s="15" t="str">
        <f t="shared" si="4"/>
        <v>上端筋</v>
      </c>
      <c r="O50" s="12"/>
      <c r="P50" s="12"/>
      <c r="Q50" s="12"/>
      <c r="R50" s="16" t="str">
        <f t="shared" si="5"/>
        <v>Mf1'=L ^ 2 / 36 * (g + p) * 3/4=</v>
      </c>
      <c r="S50" s="17">
        <f t="shared" si="6"/>
        <v>3.2214999999999998</v>
      </c>
      <c r="T50" s="12">
        <f>+U50*3/4-S50</f>
        <v>-2.4999999999941735E-5</v>
      </c>
      <c r="U50" s="17">
        <f t="shared" si="7"/>
        <v>4.2953000000000001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3.3271999999999999</v>
      </c>
      <c r="I51" s="23">
        <f>J51*3/4-H51</f>
        <v>2.5000000000385825E-5</v>
      </c>
      <c r="J51" s="17">
        <f t="shared" si="2"/>
        <v>4.4363000000000001</v>
      </c>
      <c r="K51" s="12"/>
      <c r="L51" s="12"/>
      <c r="M51" s="12" t="str">
        <f t="shared" si="3"/>
        <v>Mf3'</v>
      </c>
      <c r="N51" s="15" t="str">
        <f t="shared" si="4"/>
        <v>上端筋</v>
      </c>
      <c r="O51" s="12"/>
      <c r="P51" s="12"/>
      <c r="Q51" s="12"/>
      <c r="R51" s="16" t="str">
        <f t="shared" si="5"/>
        <v>Mf3'= L ^ 2 / 24 * (g + p) * 3/4=</v>
      </c>
      <c r="S51" s="17">
        <f t="shared" si="6"/>
        <v>4.8322000000000003</v>
      </c>
      <c r="T51" s="12">
        <f>+U51*3/4-S51</f>
        <v>-2.5000000000829914E-5</v>
      </c>
      <c r="U51" s="17">
        <f t="shared" si="7"/>
        <v>6.4428999999999998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2.6617999999999999</v>
      </c>
      <c r="I52" s="23">
        <f>J52*3/4-H52</f>
        <v>-4.9999999999883471E-5</v>
      </c>
      <c r="J52" s="17">
        <f t="shared" si="2"/>
        <v>3.5489999999999999</v>
      </c>
      <c r="K52" s="12"/>
      <c r="L52" s="12"/>
      <c r="M52" s="12" t="str">
        <f t="shared" si="3"/>
        <v>Mf5'</v>
      </c>
      <c r="N52" s="15" t="str">
        <f t="shared" si="4"/>
        <v>上端筋</v>
      </c>
      <c r="O52" s="12"/>
      <c r="P52" s="12"/>
      <c r="Q52" s="12"/>
      <c r="R52" s="16" t="str">
        <f t="shared" si="5"/>
        <v>Mf5'= L ^ 2 / 30 * (g + p) * 3/4=</v>
      </c>
      <c r="S52" s="17">
        <f t="shared" si="6"/>
        <v>3.8658000000000001</v>
      </c>
      <c r="T52" s="12">
        <f>+U52*3/4-S52</f>
        <v>-7.4999999999825206E-5</v>
      </c>
      <c r="U52" s="17">
        <f t="shared" si="7"/>
        <v>5.1543000000000001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3.8664999999999998</v>
      </c>
      <c r="I53" s="23">
        <f>J53*3/4-H53</f>
        <v>-2.4999999999497646E-5</v>
      </c>
      <c r="J53" s="17">
        <f t="shared" si="2"/>
        <v>5.1553000000000004</v>
      </c>
      <c r="K53" s="12"/>
      <c r="L53" s="12"/>
      <c r="M53" s="12" t="str">
        <f t="shared" si="3"/>
        <v>Mf2'</v>
      </c>
      <c r="N53" s="15" t="str">
        <f t="shared" si="4"/>
        <v>下端筋</v>
      </c>
      <c r="O53" s="12"/>
      <c r="P53" s="12"/>
      <c r="Q53" s="12"/>
      <c r="R53" s="16" t="str">
        <f t="shared" si="5"/>
        <v>Mf2'=L ^2 * (g / 26 + p / 16) * 3/4=</v>
      </c>
      <c r="S53" s="17">
        <f t="shared" si="6"/>
        <v>5.6154000000000002</v>
      </c>
      <c r="T53" s="12">
        <f>+U53*3/4-S53</f>
        <v>0</v>
      </c>
      <c r="U53" s="17">
        <f t="shared" si="7"/>
        <v>7.4871999999999996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3.5291999999999999</v>
      </c>
      <c r="I54" s="23">
        <f>J54*3/4-H54</f>
        <v>0</v>
      </c>
      <c r="J54" s="17">
        <f t="shared" si="2"/>
        <v>4.7055999999999996</v>
      </c>
      <c r="K54" s="12"/>
      <c r="L54" s="12"/>
      <c r="M54" s="12" t="str">
        <f t="shared" si="3"/>
        <v>Mf4'</v>
      </c>
      <c r="N54" s="15" t="str">
        <f t="shared" si="4"/>
        <v>下端筋</v>
      </c>
      <c r="O54" s="12"/>
      <c r="P54" s="12"/>
      <c r="Q54" s="12"/>
      <c r="R54" s="16" t="str">
        <f t="shared" si="5"/>
        <v>Mf4'=L ^ 2 * (g / 32 + p / 16) * 3/4=</v>
      </c>
      <c r="S54" s="17">
        <f t="shared" si="6"/>
        <v>5.1256000000000004</v>
      </c>
      <c r="T54" s="12">
        <f>+U54*3/4-S54</f>
        <v>-2.4999999999941735E-5</v>
      </c>
      <c r="U54" s="17">
        <f t="shared" si="7"/>
        <v>6.8341000000000003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150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150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4.4363000000000001</v>
      </c>
      <c r="D61" s="15" t="str">
        <f>C44</f>
        <v>上端筋</v>
      </c>
      <c r="E61" s="12" t="s">
        <v>18</v>
      </c>
      <c r="F61" s="12">
        <f t="array" ref="F61">C$23-D$23-bar_1(E61,4)/2</f>
        <v>113</v>
      </c>
      <c r="G61" s="12">
        <f>F61*7/8</f>
        <v>98.875</v>
      </c>
      <c r="H61" s="18">
        <f>C61*1000*1000/(G$23*G61)</f>
        <v>230.09108885215079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6.4428999999999998</v>
      </c>
      <c r="O61" s="15" t="str">
        <f>N44</f>
        <v>上端筋</v>
      </c>
      <c r="P61" s="12" t="str">
        <f>P27</f>
        <v>D10D13</v>
      </c>
      <c r="Q61" s="12">
        <f>N$23-O$23-bar_1(P61,4)/2</f>
        <v>113</v>
      </c>
      <c r="R61" s="12">
        <f>Q61*7/8</f>
        <v>98.875</v>
      </c>
      <c r="S61" s="18">
        <f>N61*1000*1000/(R$23*R61)</f>
        <v>334.16447858925733</v>
      </c>
      <c r="T61" s="19">
        <f>bar_1(U61,1)</f>
        <v>396</v>
      </c>
      <c r="U61" s="18" t="str">
        <f>use_bar(S61,P61,1)</f>
        <v>D10D13@ 250</v>
      </c>
    </row>
    <row r="62" spans="2:21" x14ac:dyDescent="0.45">
      <c r="B62" s="12" t="str">
        <f t="shared" ref="B62:B71" si="8">B45</f>
        <v>Mg3'</v>
      </c>
      <c r="C62" s="17">
        <f>H45</f>
        <v>6.6543999999999999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113</v>
      </c>
      <c r="G62" s="12">
        <f>F62*7/8</f>
        <v>98.875</v>
      </c>
      <c r="H62" s="18">
        <f>C62*1000*1000/(G$23*G62)</f>
        <v>345.13404000129663</v>
      </c>
      <c r="I62" s="19">
        <f>bar_1(J62,1)</f>
        <v>423.33333333333337</v>
      </c>
      <c r="J62" s="18" t="str">
        <f>use_bar(H62,E62,1)</f>
        <v>D13@ 300</v>
      </c>
      <c r="K62" s="12"/>
      <c r="L62" s="12"/>
      <c r="M62" s="12" t="s">
        <v>9</v>
      </c>
      <c r="N62" s="17">
        <f>S45</f>
        <v>9.6644000000000005</v>
      </c>
      <c r="O62" s="15" t="str">
        <f>N45</f>
        <v>上端筋</v>
      </c>
      <c r="P62" s="12" t="str">
        <f>P28</f>
        <v>D10D13</v>
      </c>
      <c r="Q62" s="12">
        <f t="array" ref="Q62">N$23-O$23-bar_1(P62,4)/2</f>
        <v>113</v>
      </c>
      <c r="R62" s="12">
        <f>Q62*7/8</f>
        <v>98.875</v>
      </c>
      <c r="S62" s="18">
        <f>N62*1000*1000/(R$23*R62)</f>
        <v>501.24931116081569</v>
      </c>
      <c r="T62" s="19">
        <f>bar_1(U62,1)</f>
        <v>660</v>
      </c>
      <c r="U62" s="18" t="str">
        <f>use_bar(S62,P62,1)</f>
        <v>D10D13@ 150</v>
      </c>
    </row>
    <row r="63" spans="2:21" x14ac:dyDescent="0.45">
      <c r="B63" s="12" t="str">
        <f t="shared" si="8"/>
        <v>Mg5'</v>
      </c>
      <c r="C63" s="17">
        <f>H46</f>
        <v>5.3235000000000001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113</v>
      </c>
      <c r="G63" s="12">
        <f>F63*7/8</f>
        <v>98.875</v>
      </c>
      <c r="H63" s="18">
        <f>C63*1000*1000/(G$23*G63)</f>
        <v>276.10619469026551</v>
      </c>
      <c r="I63" s="19">
        <f>bar_1(J63,1)</f>
        <v>423.33333333333337</v>
      </c>
      <c r="J63" s="18" t="str">
        <f>use_bar(H63,E63,1)</f>
        <v>D13@ 300</v>
      </c>
      <c r="K63" s="12"/>
      <c r="L63" s="12"/>
      <c r="M63" s="12" t="s">
        <v>10</v>
      </c>
      <c r="N63" s="17">
        <f>S46</f>
        <v>7.7314999999999996</v>
      </c>
      <c r="O63" s="15" t="str">
        <f>N46</f>
        <v>上端筋</v>
      </c>
      <c r="P63" s="12" t="str">
        <f>P29</f>
        <v>D10D13</v>
      </c>
      <c r="Q63" s="12">
        <f t="array" ref="Q63">N$23-O$23-bar_1(P63,4)/2</f>
        <v>113</v>
      </c>
      <c r="R63" s="12">
        <f>Q63*7/8</f>
        <v>98.875</v>
      </c>
      <c r="S63" s="18">
        <f>N63*1000*1000/(R$23*R63)</f>
        <v>400.99841161788066</v>
      </c>
      <c r="T63" s="19">
        <f>bar_1(U63,1)</f>
        <v>495</v>
      </c>
      <c r="U63" s="18" t="str">
        <f>use_bar(S63,P63,1)</f>
        <v>D10D13@ 200</v>
      </c>
    </row>
    <row r="64" spans="2:21" x14ac:dyDescent="0.45">
      <c r="B64" s="12" t="str">
        <f t="shared" si="8"/>
        <v>Mg2'</v>
      </c>
      <c r="C64" s="17">
        <f>H47</f>
        <v>3.2555000000000001</v>
      </c>
      <c r="D64" s="15" t="str">
        <f>C47</f>
        <v>下端筋</v>
      </c>
      <c r="E64" s="12" t="s">
        <v>18</v>
      </c>
      <c r="F64" s="12">
        <f t="array" ref="F64">C$23-E$23-bar_1(E64,4)/2</f>
        <v>93</v>
      </c>
      <c r="G64" s="12">
        <f>F64*7/8</f>
        <v>81.375</v>
      </c>
      <c r="H64" s="18">
        <f>C64*1000*1000/(G$23*G64)</f>
        <v>205.1597148371342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4.7281000000000004</v>
      </c>
      <c r="O64" s="15" t="str">
        <f>N47</f>
        <v>下端筋</v>
      </c>
      <c r="P64" s="12" t="str">
        <f>P30</f>
        <v>D10</v>
      </c>
      <c r="Q64" s="12">
        <f t="array" ref="Q64">N$23-P$23-bar_1(P64,4)/2</f>
        <v>94.5</v>
      </c>
      <c r="R64" s="12">
        <f>Q64*7/8</f>
        <v>82.6875</v>
      </c>
      <c r="S64" s="18">
        <f>N64*1000*1000/(R$23*R64)</f>
        <v>293.23255228017132</v>
      </c>
      <c r="T64" s="19">
        <f>bar_1(U64,1)</f>
        <v>355</v>
      </c>
      <c r="U64" s="18" t="str">
        <f>use_bar(S64,P64,1)</f>
        <v>D10@ 200</v>
      </c>
    </row>
    <row r="65" spans="2:21" x14ac:dyDescent="0.45">
      <c r="B65" s="12" t="str">
        <f t="shared" si="8"/>
        <v>Mg4'</v>
      </c>
      <c r="C65" s="17">
        <f>H48</f>
        <v>2.8957999999999999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93</v>
      </c>
      <c r="G65" s="12">
        <f>F65*7/8</f>
        <v>81.375</v>
      </c>
      <c r="H65" s="18">
        <f>C65*1000*1000/(G$23*G65)</f>
        <v>182.4916302335657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4.2055999999999996</v>
      </c>
      <c r="O65" s="15" t="str">
        <f>N48</f>
        <v>下端筋</v>
      </c>
      <c r="P65" s="12" t="str">
        <f>P31</f>
        <v>D10</v>
      </c>
      <c r="Q65" s="12">
        <f t="array" ref="Q65">N$23-P$23-bar_1(P65,4)/2</f>
        <v>94.5</v>
      </c>
      <c r="R65" s="12">
        <f>Q65*7/8</f>
        <v>82.6875</v>
      </c>
      <c r="S65" s="18">
        <f>N65*1000*1000/(R$23*R65)</f>
        <v>260.82756749423413</v>
      </c>
      <c r="T65" s="19">
        <f>bar_1(U65,1)</f>
        <v>284</v>
      </c>
      <c r="U65" s="18" t="str">
        <f>use_bar(S65,P65,1)</f>
        <v>D10@ 250</v>
      </c>
    </row>
    <row r="66" spans="2:21" x14ac:dyDescent="0.45">
      <c r="B66" s="12" t="str">
        <f t="shared" si="8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8"/>
        <v>Mf1'</v>
      </c>
      <c r="C67" s="17">
        <f>H50</f>
        <v>2.2181000000000002</v>
      </c>
      <c r="D67" s="15" t="str">
        <f>C50</f>
        <v>上端筋</v>
      </c>
      <c r="E67" s="12" t="s">
        <v>18</v>
      </c>
      <c r="F67" s="12">
        <f t="array" ref="F67">C$23-D$23-bar_1(E67,4)/2</f>
        <v>113</v>
      </c>
      <c r="G67" s="12">
        <f>F67*7/8</f>
        <v>98.875</v>
      </c>
      <c r="H67" s="18">
        <f>C67*1000*1000/(G$23*G67)</f>
        <v>115.04295114914586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3.2214999999999998</v>
      </c>
      <c r="O67" s="15" t="str">
        <f>N50</f>
        <v>上端筋</v>
      </c>
      <c r="P67" s="12" t="str">
        <f>P33</f>
        <v>D10D13</v>
      </c>
      <c r="Q67" s="12">
        <f t="array" ref="Q67">N$23-O$23-bar_1(P67,4)/2</f>
        <v>113</v>
      </c>
      <c r="R67" s="12">
        <f>Q67*7/8</f>
        <v>98.875</v>
      </c>
      <c r="S67" s="18">
        <f>N67*1000*1000/(R$23*R67)</f>
        <v>167.08483257155822</v>
      </c>
      <c r="T67" s="19">
        <f>bar_1(U67,1)</f>
        <v>330</v>
      </c>
      <c r="U67" s="18" t="str">
        <f>use_bar(S67,P67,1)</f>
        <v>D10D13@ 300</v>
      </c>
    </row>
    <row r="68" spans="2:21" x14ac:dyDescent="0.45">
      <c r="B68" s="12" t="str">
        <f t="shared" si="8"/>
        <v>Mf3'</v>
      </c>
      <c r="C68" s="17">
        <f>H51</f>
        <v>3.3271999999999999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113</v>
      </c>
      <c r="G68" s="12">
        <f>F68*7/8</f>
        <v>98.875</v>
      </c>
      <c r="H68" s="18">
        <f>C68*1000*1000/(G$23*G68)</f>
        <v>172.56702000064831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4.8322000000000003</v>
      </c>
      <c r="O68" s="15" t="str">
        <f>N51</f>
        <v>上端筋</v>
      </c>
      <c r="P68" s="12" t="str">
        <f>P34</f>
        <v>D10D13</v>
      </c>
      <c r="Q68" s="12">
        <f t="array" ref="Q68">N$23-O$23-bar_1(P68,4)/2</f>
        <v>113</v>
      </c>
      <c r="R68" s="12">
        <f>Q68*7/8</f>
        <v>98.875</v>
      </c>
      <c r="S68" s="18">
        <f>N68*1000*1000/(R$23*R68)</f>
        <v>250.62465558040785</v>
      </c>
      <c r="T68" s="19">
        <f>bar_1(U68,1)</f>
        <v>330</v>
      </c>
      <c r="U68" s="18" t="str">
        <f>use_bar(S68,P68,1)</f>
        <v>D10D13@ 300</v>
      </c>
    </row>
    <row r="69" spans="2:21" x14ac:dyDescent="0.45">
      <c r="B69" s="12" t="str">
        <f t="shared" si="8"/>
        <v>Mf5'</v>
      </c>
      <c r="C69" s="17">
        <f>H52</f>
        <v>2.6617999999999999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113</v>
      </c>
      <c r="G69" s="12">
        <f>F69*7/8</f>
        <v>98.875</v>
      </c>
      <c r="H69" s="18">
        <f>C69*1000*1000/(G$23*G69)</f>
        <v>138.05569062206229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3.8658000000000001</v>
      </c>
      <c r="O69" s="15" t="str">
        <f>N52</f>
        <v>上端筋</v>
      </c>
      <c r="P69" s="12" t="str">
        <f>P35</f>
        <v>D10D13</v>
      </c>
      <c r="Q69" s="12">
        <f t="array" ref="Q69">N$23-O$23-bar_1(P69,4)/2</f>
        <v>113</v>
      </c>
      <c r="R69" s="12">
        <f>Q69*7/8</f>
        <v>98.875</v>
      </c>
      <c r="S69" s="18">
        <f>N69*1000*1000/(R$23*R69)</f>
        <v>200.50179908586989</v>
      </c>
      <c r="T69" s="19">
        <f>bar_1(U69,1)</f>
        <v>330</v>
      </c>
      <c r="U69" s="18" t="str">
        <f>use_bar(S69,P69,1)</f>
        <v>D10D13@ 300</v>
      </c>
    </row>
    <row r="70" spans="2:21" x14ac:dyDescent="0.45">
      <c r="B70" s="12" t="str">
        <f t="shared" si="8"/>
        <v>Mf2'</v>
      </c>
      <c r="C70" s="17">
        <f>H53</f>
        <v>3.8664999999999998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93</v>
      </c>
      <c r="G70" s="12">
        <f>F70*7/8</f>
        <v>81.375</v>
      </c>
      <c r="H70" s="18">
        <f>C70*1000*1000/(G$23*G70)</f>
        <v>243.66457914845012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5.6154000000000002</v>
      </c>
      <c r="O70" s="15" t="str">
        <f>N53</f>
        <v>下端筋</v>
      </c>
      <c r="P70" s="12" t="str">
        <f>P36</f>
        <v>D10</v>
      </c>
      <c r="Q70" s="12">
        <f t="array" ref="Q70">N$23-P$23-bar_1(P70,4)/2</f>
        <v>94.5</v>
      </c>
      <c r="R70" s="12">
        <f>Q70*7/8</f>
        <v>82.6875</v>
      </c>
      <c r="S70" s="18">
        <f>N70*1000*1000/(R$23*R70)</f>
        <v>348.26210826210831</v>
      </c>
      <c r="T70" s="19">
        <f>bar_1(U70,1)</f>
        <v>355</v>
      </c>
      <c r="U70" s="18" t="str">
        <f>use_bar(S70,P70,1)</f>
        <v>D10@ 200</v>
      </c>
    </row>
    <row r="71" spans="2:21" x14ac:dyDescent="0.45">
      <c r="B71" s="12" t="str">
        <f t="shared" si="8"/>
        <v>Mf4'</v>
      </c>
      <c r="C71" s="17">
        <f>H54</f>
        <v>3.5291999999999999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93</v>
      </c>
      <c r="G71" s="12">
        <f>F71*7/8</f>
        <v>81.375</v>
      </c>
      <c r="H71" s="18">
        <f>C71*1000*1000/(G$23*G71)</f>
        <v>222.40812950490371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5.1256000000000004</v>
      </c>
      <c r="O71" s="15" t="str">
        <f>N54</f>
        <v>下端筋</v>
      </c>
      <c r="P71" s="12" t="str">
        <f>P37</f>
        <v>D10</v>
      </c>
      <c r="Q71" s="12">
        <f t="array" ref="Q71">N$23-P$23-bar_1(P71,4)/2</f>
        <v>94.5</v>
      </c>
      <c r="R71" s="12">
        <f>Q71*7/8</f>
        <v>82.6875</v>
      </c>
      <c r="S71" s="18">
        <f>N71*1000*1000/(R$23*R71)</f>
        <v>317.88514836133885</v>
      </c>
      <c r="T71" s="19">
        <f>bar_1(U71,1)</f>
        <v>355</v>
      </c>
      <c r="U71" s="18" t="str">
        <f>use_bar(S71,P71,1)</f>
        <v>D10@ 200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3E0B-832E-47DE-BA2E-A7686FA4BD4C}">
  <sheetPr codeName="Sheet9"/>
  <dimension ref="B3:U71"/>
  <sheetViews>
    <sheetView topLeftCell="A16" workbookViewId="0">
      <selection activeCell="H4" sqref="H4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f>23000*0.03</f>
        <v>690</v>
      </c>
      <c r="H3">
        <f>20000*0.03</f>
        <v>600</v>
      </c>
    </row>
    <row r="4" spans="2:19" x14ac:dyDescent="0.45">
      <c r="C4" s="2" t="s">
        <v>3</v>
      </c>
      <c r="D4">
        <v>250</v>
      </c>
      <c r="E4">
        <f>D4*24000/1000</f>
        <v>6000</v>
      </c>
    </row>
    <row r="5" spans="2:19" x14ac:dyDescent="0.45">
      <c r="C5" s="2"/>
      <c r="D5" s="3" t="s">
        <v>2</v>
      </c>
      <c r="E5">
        <f>SUM(E3:E4)</f>
        <v>6690</v>
      </c>
    </row>
    <row r="6" spans="2:19" x14ac:dyDescent="0.45">
      <c r="B6" t="s">
        <v>26</v>
      </c>
      <c r="C6" s="2"/>
      <c r="D6" s="3"/>
      <c r="M6" t="s">
        <v>27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H7" t="s">
        <v>68</v>
      </c>
      <c r="J7" t="s">
        <v>70</v>
      </c>
      <c r="M7" s="5" t="s">
        <v>1</v>
      </c>
      <c r="N7" s="5"/>
      <c r="O7" s="5" t="s">
        <v>11</v>
      </c>
      <c r="P7" s="5"/>
      <c r="Q7" s="5" t="s">
        <v>12</v>
      </c>
      <c r="R7" s="5"/>
      <c r="S7" t="s">
        <v>70</v>
      </c>
    </row>
    <row r="8" spans="2:19" x14ac:dyDescent="0.45">
      <c r="B8" s="24">
        <v>2</v>
      </c>
      <c r="C8" s="24"/>
      <c r="D8" s="24">
        <f>E5</f>
        <v>6690</v>
      </c>
      <c r="E8" s="24"/>
      <c r="F8" s="24">
        <v>1000</v>
      </c>
      <c r="G8" s="24"/>
      <c r="H8">
        <f>D8+F8</f>
        <v>7690</v>
      </c>
      <c r="J8">
        <v>7000</v>
      </c>
      <c r="M8" s="24">
        <v>4</v>
      </c>
      <c r="N8" s="24"/>
      <c r="O8" s="24">
        <f>D8</f>
        <v>6690</v>
      </c>
      <c r="P8" s="24"/>
      <c r="Q8" s="24">
        <v>1000</v>
      </c>
      <c r="R8" s="24"/>
      <c r="S8">
        <f>J8</f>
        <v>7000</v>
      </c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">
        <v>69</v>
      </c>
      <c r="H10" s="6">
        <f>1/2*H8/1000*B8^2</f>
        <v>15.38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10.253299999999999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">
        <v>71</v>
      </c>
      <c r="H11" s="6">
        <f>B8*J8/1000</f>
        <v>14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15.38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3.0760000000000001</v>
      </c>
      <c r="M12" t="s">
        <v>10</v>
      </c>
      <c r="N12" s="1" t="str">
        <f t="array" ref="N12">flat_slab(M$8,O$8/10000,Q$8/1000,M12,3)</f>
        <v>上端筋</v>
      </c>
      <c r="R12" s="7" t="s">
        <v>72</v>
      </c>
      <c r="S12" s="6">
        <f>3/16*S8/1000*M8^2</f>
        <v>21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1.6456999999999999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6.5827999999999998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1.3369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5.3476999999999997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0.85440000000000005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3.4178000000000002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1.2817000000000001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5.1266999999999996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1.0253000000000001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4.1013000000000002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1.2791999999999999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5.1169000000000002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1.0863</v>
      </c>
      <c r="M20" t="s">
        <v>17</v>
      </c>
      <c r="N20" s="1" t="str">
        <f t="array" ref="N20">flat_slab(M$8,O$8/10000,Q$8/1000,M20,3)</f>
        <v>下端筋</v>
      </c>
      <c r="R20" s="7" t="s">
        <v>73</v>
      </c>
      <c r="S20" s="6">
        <f>5/32*S8/1000*M8</f>
        <v>4.375</v>
      </c>
    </row>
    <row r="22" spans="2:21" x14ac:dyDescent="0.45">
      <c r="B22" t="s">
        <v>23</v>
      </c>
      <c r="C22" s="24" t="s">
        <v>19</v>
      </c>
      <c r="D22" s="24" t="s">
        <v>20</v>
      </c>
      <c r="E22" s="24" t="s">
        <v>21</v>
      </c>
      <c r="G22" s="24" t="s">
        <v>25</v>
      </c>
      <c r="M22" t="s">
        <v>23</v>
      </c>
      <c r="N22" s="24" t="s">
        <v>19</v>
      </c>
      <c r="O22" s="24" t="s">
        <v>20</v>
      </c>
      <c r="P22" s="24" t="s">
        <v>21</v>
      </c>
      <c r="R22" s="24" t="s">
        <v>25</v>
      </c>
    </row>
    <row r="23" spans="2:21" x14ac:dyDescent="0.45">
      <c r="B23" t="s">
        <v>24</v>
      </c>
      <c r="C23" s="24">
        <f>D4</f>
        <v>250</v>
      </c>
      <c r="D23" s="24">
        <v>30</v>
      </c>
      <c r="E23" s="24">
        <v>50</v>
      </c>
      <c r="G23">
        <v>195</v>
      </c>
      <c r="M23" t="s">
        <v>24</v>
      </c>
      <c r="N23" s="24">
        <f>C23</f>
        <v>250</v>
      </c>
      <c r="O23" s="24">
        <v>30</v>
      </c>
      <c r="P23" s="24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15.38</v>
      </c>
      <c r="D27" s="1" t="str">
        <f>C10</f>
        <v>上端筋</v>
      </c>
      <c r="E27" t="s">
        <v>18</v>
      </c>
      <c r="F27">
        <f>C$23-D$23-bar_1(E27,4)/2</f>
        <v>213</v>
      </c>
      <c r="G27">
        <f>F27*7/8</f>
        <v>186.375</v>
      </c>
      <c r="H27" s="9">
        <f>C27*1000*1000/(G$23*G27)</f>
        <v>423.18870487884573</v>
      </c>
      <c r="I27" s="9">
        <f t="array" ref="I27">bar_1(J27,1)</f>
        <v>423.33333333333337</v>
      </c>
      <c r="J27" s="9" t="str">
        <f>use_bar(H27,E27,1)</f>
        <v>D13@ 300</v>
      </c>
      <c r="M27" t="s">
        <v>7</v>
      </c>
      <c r="N27" s="6">
        <f>N28+N29</f>
        <v>36.380000000000003</v>
      </c>
      <c r="O27" s="1" t="str">
        <f>N10</f>
        <v>上端筋</v>
      </c>
      <c r="P27" t="s">
        <v>18</v>
      </c>
      <c r="Q27">
        <f>N$23-O$23-bar_1(P27,4)*1.5</f>
        <v>199</v>
      </c>
      <c r="R27">
        <f>Q27*7/8</f>
        <v>174.125</v>
      </c>
      <c r="S27" s="9">
        <f>N27*1000*1000/(R$23*R27)</f>
        <v>1071.4377749553628</v>
      </c>
      <c r="T27" s="8">
        <f>bar_1(U27,1)</f>
        <v>1270</v>
      </c>
      <c r="U27" s="9" t="str">
        <f>use_bar(S27,P27,1)</f>
        <v>D13@ 100</v>
      </c>
    </row>
    <row r="28" spans="2:21" x14ac:dyDescent="0.45">
      <c r="B28" t="s">
        <v>9</v>
      </c>
      <c r="C28" s="6">
        <f>H11</f>
        <v>14</v>
      </c>
      <c r="D28" s="1" t="str">
        <f>C11</f>
        <v>上端筋</v>
      </c>
      <c r="E28" t="s">
        <v>18</v>
      </c>
      <c r="F28">
        <f>C$23-D$23-bar_1(E28,4)/2</f>
        <v>213</v>
      </c>
      <c r="G28">
        <f>F28*7/8</f>
        <v>186.375</v>
      </c>
      <c r="H28" s="9">
        <f>C28*1000*1000/(G$23*G28)</f>
        <v>385.2172866257373</v>
      </c>
      <c r="I28" s="9">
        <f t="array" ref="I28">bar_1(J28,1)</f>
        <v>423.33333333333337</v>
      </c>
      <c r="J28" s="9" t="str">
        <f>use_bar(H28,E28,1)</f>
        <v>D13@ 300</v>
      </c>
      <c r="M28" t="s">
        <v>9</v>
      </c>
      <c r="N28" s="6">
        <f>S11</f>
        <v>15.38</v>
      </c>
      <c r="O28" s="1" t="str">
        <f>N11</f>
        <v>上端筋</v>
      </c>
      <c r="P28" t="str">
        <f>P27</f>
        <v>D13</v>
      </c>
      <c r="Q28">
        <f>N$23-O$23-bar_1(P28,4)*1.5</f>
        <v>199</v>
      </c>
      <c r="R28">
        <f>Q28*7/8</f>
        <v>174.125</v>
      </c>
      <c r="S28" s="9">
        <f>N28*1000*1000/(R$23*R28)</f>
        <v>452.96077456881477</v>
      </c>
      <c r="T28" s="8">
        <f>bar_1(U28,1)</f>
        <v>508</v>
      </c>
      <c r="U28" s="9" t="str">
        <f>use_bar(S28,P28,1)</f>
        <v>D13@ 250</v>
      </c>
    </row>
    <row r="29" spans="2:21" x14ac:dyDescent="0.45">
      <c r="B29" t="s">
        <v>10</v>
      </c>
      <c r="C29" s="6">
        <f>C27+C28</f>
        <v>29.380000000000003</v>
      </c>
      <c r="D29" s="1" t="str">
        <f>C12</f>
        <v>上端筋</v>
      </c>
      <c r="E29" t="str">
        <f>E28</f>
        <v>D13</v>
      </c>
      <c r="F29">
        <f t="array" ref="F29">C$23-D$23-bar_1(E29,4)/2</f>
        <v>213</v>
      </c>
      <c r="G29">
        <f>F29*7/8</f>
        <v>186.375</v>
      </c>
      <c r="H29" s="9">
        <f>C29*1000*1000/(G$23*G29)</f>
        <v>808.4059915045832</v>
      </c>
      <c r="I29" s="9">
        <f t="array" ref="I29">bar_1(J29,1)</f>
        <v>846.66666666666674</v>
      </c>
      <c r="J29" s="9" t="str">
        <f>use_bar(H29,E29,1)</f>
        <v>D13@ 150</v>
      </c>
      <c r="M29" t="s">
        <v>10</v>
      </c>
      <c r="N29" s="6">
        <f>S12</f>
        <v>21</v>
      </c>
      <c r="O29" s="1" t="str">
        <f>N12</f>
        <v>上端筋</v>
      </c>
      <c r="P29" t="str">
        <f>P28</f>
        <v>D13</v>
      </c>
      <c r="Q29">
        <f>N$23-O$23-bar_1(P29,4)*1.5</f>
        <v>199</v>
      </c>
      <c r="R29">
        <f>Q29*7/8</f>
        <v>174.125</v>
      </c>
      <c r="S29" s="9">
        <f>N29*1000*1000/(R$23*R29)</f>
        <v>618.47700038654807</v>
      </c>
      <c r="T29" s="8">
        <f>bar_1(U29,1)</f>
        <v>635</v>
      </c>
      <c r="U29" s="9" t="str">
        <f>use_bar(S29,P29,1)</f>
        <v>D13@ 200</v>
      </c>
    </row>
    <row r="30" spans="2:21" x14ac:dyDescent="0.45">
      <c r="B30" t="s">
        <v>8</v>
      </c>
      <c r="C30" s="6">
        <f>H13</f>
        <v>1.6456999999999999</v>
      </c>
      <c r="D30" s="1" t="str">
        <f>C13</f>
        <v>下端筋</v>
      </c>
      <c r="E30" t="s">
        <v>18</v>
      </c>
      <c r="F30">
        <f>C$23-E$23-bar_1(E30,4)/2</f>
        <v>193</v>
      </c>
      <c r="G30">
        <f>F30*7/8</f>
        <v>168.875</v>
      </c>
      <c r="H30" s="9">
        <f>C30*1000*1000/(G$23*G30)</f>
        <v>49.974757539524376</v>
      </c>
      <c r="I30" s="9">
        <f t="array" ref="I30">bar_1(J30,1)</f>
        <v>423.33333333333337</v>
      </c>
      <c r="J30" s="9" t="str">
        <f>use_bar(H30,E30,1)</f>
        <v>D13@ 300</v>
      </c>
      <c r="M30" t="s">
        <v>8</v>
      </c>
      <c r="N30" s="6">
        <f>S13</f>
        <v>6.5827999999999998</v>
      </c>
      <c r="O30" s="1" t="str">
        <f>N13</f>
        <v>下端筋</v>
      </c>
      <c r="P30" t="str">
        <f>P29</f>
        <v>D13</v>
      </c>
      <c r="Q30">
        <f>N$23-P$23-bar_1(P30,4)*1.5</f>
        <v>179</v>
      </c>
      <c r="R30">
        <f>Q30*7/8</f>
        <v>156.625</v>
      </c>
      <c r="S30" s="9">
        <f>N30*1000*1000/(R$23*R30)</f>
        <v>215.53359117604927</v>
      </c>
      <c r="T30" s="8">
        <f>bar_1(U30,1)</f>
        <v>423.33333333333337</v>
      </c>
      <c r="U30" s="9" t="str">
        <f>use_bar(S30,P30,1)</f>
        <v>D13@ 300</v>
      </c>
    </row>
    <row r="31" spans="2:21" x14ac:dyDescent="0.45">
      <c r="B31" t="s">
        <v>14</v>
      </c>
      <c r="C31" s="6">
        <f>H14</f>
        <v>1.3369</v>
      </c>
      <c r="D31" s="1" t="str">
        <f>C14</f>
        <v>下端筋</v>
      </c>
      <c r="E31" t="str">
        <f>E30</f>
        <v>D13</v>
      </c>
      <c r="F31">
        <f t="array" ref="F31">C$23-E$23-bar_1(E31,4)/2</f>
        <v>193</v>
      </c>
      <c r="G31">
        <f>F31*7/8</f>
        <v>168.875</v>
      </c>
      <c r="H31" s="9">
        <f>C31*1000*1000/(G$23*G31)</f>
        <v>40.597468162235003</v>
      </c>
      <c r="I31" s="9">
        <f>bar_1(J31,1)</f>
        <v>423.33333333333337</v>
      </c>
      <c r="J31" s="9" t="str">
        <f>use_bar(H31,E31,1)</f>
        <v>D13@ 300</v>
      </c>
      <c r="M31" t="s">
        <v>14</v>
      </c>
      <c r="N31" s="6">
        <f>S14</f>
        <v>5.3476999999999997</v>
      </c>
      <c r="O31" s="1" t="str">
        <f>N14</f>
        <v>下端筋</v>
      </c>
      <c r="P31" t="str">
        <f>P30</f>
        <v>D13</v>
      </c>
      <c r="Q31">
        <f>N$23-P$23-bar_1(P31,4)*1.5</f>
        <v>179</v>
      </c>
      <c r="R31">
        <f>Q31*7/8</f>
        <v>156.625</v>
      </c>
      <c r="S31" s="9">
        <f>N31*1000*1000/(R$23*R31)</f>
        <v>175.09403073648883</v>
      </c>
      <c r="T31" s="8">
        <f>bar_1(U31,1)</f>
        <v>423.33333333333337</v>
      </c>
      <c r="U31" s="9" t="str">
        <f>use_bar(S31,P31,1)</f>
        <v>D13@ 300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0.85440000000000005</v>
      </c>
      <c r="D33" s="1" t="str">
        <f>C16</f>
        <v>上端筋</v>
      </c>
      <c r="E33" t="s">
        <v>18</v>
      </c>
      <c r="F33">
        <f t="array" ref="F33">C$23-D$23-bar_1(E33,4)/2</f>
        <v>213</v>
      </c>
      <c r="G33">
        <f>F33*7/8</f>
        <v>186.375</v>
      </c>
      <c r="H33" s="9">
        <f>C33*1000*1000/(G$23*G33)</f>
        <v>23.509260692359288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3.4178000000000002</v>
      </c>
      <c r="O33" s="1" t="str">
        <f>N16</f>
        <v>上端筋</v>
      </c>
      <c r="P33" t="s">
        <v>18</v>
      </c>
      <c r="Q33">
        <f>N$23-O$23-bar_1(P33,4)*1.5</f>
        <v>199</v>
      </c>
      <c r="R33">
        <f>Q33*7/8</f>
        <v>174.125</v>
      </c>
      <c r="S33" s="9">
        <f>N33*1000*1000/(R$23*R33)</f>
        <v>100.65860437719734</v>
      </c>
      <c r="T33" s="8">
        <f>bar_1(U33,1)</f>
        <v>423.33333333333337</v>
      </c>
      <c r="U33" s="9" t="str">
        <f>use_bar(S33,P33,1)</f>
        <v>D13@ 300</v>
      </c>
    </row>
    <row r="34" spans="2:21" x14ac:dyDescent="0.45">
      <c r="B34" t="s">
        <v>5</v>
      </c>
      <c r="C34" s="6">
        <f>H17</f>
        <v>1.2817000000000001</v>
      </c>
      <c r="D34" s="1" t="str">
        <f>C17</f>
        <v>上端筋</v>
      </c>
      <c r="E34" t="str">
        <f>E33</f>
        <v>D13</v>
      </c>
      <c r="F34">
        <f t="array" ref="F34">C$23-D$23-bar_1(E34,4)/2</f>
        <v>213</v>
      </c>
      <c r="G34">
        <f>F34*7/8</f>
        <v>186.375</v>
      </c>
      <c r="H34" s="9">
        <f>C34*1000*1000/(G$23*G34)</f>
        <v>35.266642590586251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5.1266999999999996</v>
      </c>
      <c r="O34" s="1" t="str">
        <f>N17</f>
        <v>上端筋</v>
      </c>
      <c r="P34" t="str">
        <f>P33</f>
        <v>D13</v>
      </c>
      <c r="Q34">
        <f>N$23-O$23-bar_1(P34,4)*1.5</f>
        <v>199</v>
      </c>
      <c r="R34">
        <f>Q34*7/8</f>
        <v>174.125</v>
      </c>
      <c r="S34" s="9">
        <f>N34*1000*1000/(R$23*R34)</f>
        <v>150.98790656579601</v>
      </c>
      <c r="T34" s="8">
        <f>bar_1(U34,1)</f>
        <v>423.33333333333337</v>
      </c>
      <c r="U34" s="9" t="str">
        <f>use_bar(S34,P34,1)</f>
        <v>D13@ 300</v>
      </c>
    </row>
    <row r="35" spans="2:21" x14ac:dyDescent="0.45">
      <c r="B35" t="s">
        <v>6</v>
      </c>
      <c r="C35" s="6">
        <f>H18</f>
        <v>1.0253000000000001</v>
      </c>
      <c r="D35" s="1" t="str">
        <f>C18</f>
        <v>上端筋</v>
      </c>
      <c r="E35" t="str">
        <f>E34</f>
        <v>D13</v>
      </c>
      <c r="F35">
        <f t="array" ref="F35">C$23-D$23-bar_1(E35,4)/2</f>
        <v>213</v>
      </c>
      <c r="G35">
        <f>F35*7/8</f>
        <v>186.375</v>
      </c>
      <c r="H35" s="9">
        <f>C35*1000*1000/(G$23*G35)</f>
        <v>28.211663141240614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4.1013000000000002</v>
      </c>
      <c r="O35" s="1" t="str">
        <f>N18</f>
        <v>上端筋</v>
      </c>
      <c r="P35" t="str">
        <f>P34</f>
        <v>D13</v>
      </c>
      <c r="Q35">
        <f>N$23-O$23-bar_1(P35,4)*1.5</f>
        <v>199</v>
      </c>
      <c r="R35">
        <f>Q35*7/8</f>
        <v>174.125</v>
      </c>
      <c r="S35" s="9">
        <f>N35*1000*1000/(R$23*R35)</f>
        <v>120.78855817549285</v>
      </c>
      <c r="T35" s="8">
        <f>bar_1(U35,1)</f>
        <v>423.33333333333337</v>
      </c>
      <c r="U35" s="9" t="str">
        <f>use_bar(S35,P35,1)</f>
        <v>D13@ 300</v>
      </c>
    </row>
    <row r="36" spans="2:21" x14ac:dyDescent="0.45">
      <c r="B36" t="s">
        <v>16</v>
      </c>
      <c r="C36" s="6">
        <f>H19</f>
        <v>1.2791999999999999</v>
      </c>
      <c r="D36" s="1" t="str">
        <f>C19</f>
        <v>下端筋</v>
      </c>
      <c r="E36" t="str">
        <f>E35</f>
        <v>D13</v>
      </c>
      <c r="F36">
        <f t="array" ref="F36">C$23-E$23-bar_1(E36,4)/2</f>
        <v>193</v>
      </c>
      <c r="G36">
        <f>F36*7/8</f>
        <v>168.875</v>
      </c>
      <c r="H36" s="9">
        <f>C36*1000*1000/(G$23*G36)</f>
        <v>38.845299777942259</v>
      </c>
      <c r="I36" s="9">
        <f>bar_1(J36,1)</f>
        <v>423.33333333333337</v>
      </c>
      <c r="J36" s="9" t="str">
        <f>use_bar(H36,E36,1)</f>
        <v>D13@ 300</v>
      </c>
      <c r="M36" t="s">
        <v>16</v>
      </c>
      <c r="N36" s="6">
        <f>S19</f>
        <v>5.1169000000000002</v>
      </c>
      <c r="O36" s="1" t="str">
        <f>N19</f>
        <v>下端筋</v>
      </c>
      <c r="P36" t="str">
        <f>P35</f>
        <v>D13</v>
      </c>
      <c r="Q36">
        <f>N$23-P$23-bar_1(P36,4)*1.5</f>
        <v>179</v>
      </c>
      <c r="R36">
        <f>Q36*7/8</f>
        <v>156.625</v>
      </c>
      <c r="S36" s="9">
        <f>N36*1000*1000/(R$23*R36)</f>
        <v>167.53719278858946</v>
      </c>
      <c r="T36" s="8">
        <f>bar_1(U36,1)</f>
        <v>423.33333333333337</v>
      </c>
      <c r="U36" s="9" t="str">
        <f>use_bar(S36,P36,1)</f>
        <v>D13@ 300</v>
      </c>
    </row>
    <row r="37" spans="2:21" x14ac:dyDescent="0.45">
      <c r="B37" t="s">
        <v>17</v>
      </c>
      <c r="C37" s="6">
        <f>H20</f>
        <v>1.0863</v>
      </c>
      <c r="D37" s="1" t="str">
        <f>C20</f>
        <v>下端筋</v>
      </c>
      <c r="E37" t="str">
        <f>E36</f>
        <v>D13</v>
      </c>
      <c r="F37">
        <f t="array" ref="F37">C$23-E$23-bar_1(E37,4)/2</f>
        <v>193</v>
      </c>
      <c r="G37">
        <f>F37*7/8</f>
        <v>168.875</v>
      </c>
      <c r="H37" s="9">
        <f>C37*1000*1000/(G$23*G37)</f>
        <v>32.987530604110916</v>
      </c>
      <c r="I37" s="9">
        <f>bar_1(J37,1)</f>
        <v>423.33333333333337</v>
      </c>
      <c r="J37" s="9" t="str">
        <f>use_bar(H37,E37,1)</f>
        <v>D13@ 300</v>
      </c>
      <c r="M37" t="s">
        <v>17</v>
      </c>
      <c r="N37" s="6">
        <f>S19+S20</f>
        <v>9.4919000000000011</v>
      </c>
      <c r="O37" s="1" t="str">
        <f>N20</f>
        <v>下端筋</v>
      </c>
      <c r="P37" t="s">
        <v>74</v>
      </c>
      <c r="Q37">
        <f>N$23-P$23-bar_1(P37,4)*1.5</f>
        <v>183.5</v>
      </c>
      <c r="R37">
        <f>Q37*7/8</f>
        <v>160.5625</v>
      </c>
      <c r="S37" s="9">
        <f>N37*1000*1000/(R$23*R37)</f>
        <v>303.1617610364205</v>
      </c>
      <c r="T37" s="8">
        <f>bar_1(U37,1)</f>
        <v>355</v>
      </c>
      <c r="U37" s="9" t="str">
        <f>use_bar(S37,P37,1)</f>
        <v>D10@ 200</v>
      </c>
    </row>
    <row r="40" spans="2:21" x14ac:dyDescent="0.45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f>B8</f>
        <v>2</v>
      </c>
      <c r="C42" s="14"/>
      <c r="D42" s="14">
        <f>+D8</f>
        <v>6690</v>
      </c>
      <c r="E42" s="14"/>
      <c r="F42" s="14">
        <f>F8</f>
        <v>1000</v>
      </c>
      <c r="G42" s="14"/>
      <c r="H42" s="12"/>
      <c r="I42" s="12"/>
      <c r="J42" s="12"/>
      <c r="K42" s="12"/>
      <c r="L42" s="12"/>
      <c r="M42" s="14">
        <f>+M8</f>
        <v>4</v>
      </c>
      <c r="N42" s="14"/>
      <c r="O42" s="14">
        <f>+O8</f>
        <v>6690</v>
      </c>
      <c r="P42" s="14"/>
      <c r="Q42" s="14">
        <f>Q8</f>
        <v>1000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1.2817000000000001</v>
      </c>
      <c r="I44" s="23">
        <f>J44/2-H44</f>
        <v>6.4083000000000006</v>
      </c>
      <c r="J44" s="17">
        <f t="shared" ref="J44:J54" si="0">+H10</f>
        <v>15.38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5.1266999999999996</v>
      </c>
      <c r="T44" s="12">
        <f>+U44/2-S44</f>
        <v>-4.9999999999883471E-5</v>
      </c>
      <c r="U44" s="17">
        <f>S10</f>
        <v>10.253299999999999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1.9225000000000001</v>
      </c>
      <c r="I45" s="23">
        <f>J45/2-H45</f>
        <v>5.0774999999999997</v>
      </c>
      <c r="J45" s="17">
        <f t="shared" si="0"/>
        <v>14</v>
      </c>
      <c r="K45" s="12"/>
      <c r="L45" s="12"/>
      <c r="M45" s="12" t="str">
        <f t="shared" ref="M45:M54" si="1">B45</f>
        <v>Mg3'</v>
      </c>
      <c r="N45" s="15" t="str">
        <f t="shared" ref="N45:N54" si="2">flat_slab_side(M$8,O$8/10000,Q$8/1000,M45,3)</f>
        <v>上端筋</v>
      </c>
      <c r="O45" s="12"/>
      <c r="P45" s="12"/>
      <c r="Q45" s="12"/>
      <c r="R45" s="16" t="str">
        <f t="shared" ref="R45:R54" si="3">flat_slab_side(M$8,O$8/10000,Q$8/1000,M45,2)</f>
        <v>Mg3'=L ^ 2 / 8 * (g + p) /2=</v>
      </c>
      <c r="S45" s="17">
        <f t="shared" ref="S45:S54" si="4">ROUND(flat_slab_side(M$8,O$8/1000,Q$8/1000,M45,1),4)</f>
        <v>7.69</v>
      </c>
      <c r="T45" s="12">
        <f>+U45/2-S45</f>
        <v>0</v>
      </c>
      <c r="U45" s="17">
        <f t="shared" ref="U45:U54" si="5">S11</f>
        <v>15.38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1.538</v>
      </c>
      <c r="I46" s="23">
        <f>J46/2-H46</f>
        <v>0</v>
      </c>
      <c r="J46" s="17">
        <f t="shared" si="0"/>
        <v>3.0760000000000001</v>
      </c>
      <c r="K46" s="12"/>
      <c r="L46" s="12"/>
      <c r="M46" s="12" t="str">
        <f t="shared" si="1"/>
        <v>Mg5'</v>
      </c>
      <c r="N46" s="15" t="str">
        <f t="shared" si="2"/>
        <v>上端筋</v>
      </c>
      <c r="O46" s="12"/>
      <c r="P46" s="12"/>
      <c r="Q46" s="12"/>
      <c r="R46" s="16" t="str">
        <f t="shared" si="3"/>
        <v>Mg5'=L ^ 2 / 10 * (g + p) /2=</v>
      </c>
      <c r="S46" s="17">
        <f t="shared" si="4"/>
        <v>6.1520000000000001</v>
      </c>
      <c r="T46" s="12">
        <f>+U46/2-S46</f>
        <v>4.3479999999999999</v>
      </c>
      <c r="U46" s="17">
        <f t="shared" si="5"/>
        <v>21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0.82279999999999998</v>
      </c>
      <c r="I47" s="23">
        <f>J47/2-H47</f>
        <v>4.9999999999994493E-5</v>
      </c>
      <c r="J47" s="17">
        <f t="shared" si="0"/>
        <v>1.6456999999999999</v>
      </c>
      <c r="K47" s="12"/>
      <c r="L47" s="12"/>
      <c r="M47" s="12" t="str">
        <f t="shared" si="1"/>
        <v>Mg2'</v>
      </c>
      <c r="N47" s="15" t="str">
        <f t="shared" si="2"/>
        <v>下端筋</v>
      </c>
      <c r="O47" s="12"/>
      <c r="P47" s="12"/>
      <c r="Q47" s="12"/>
      <c r="R47" s="16" t="str">
        <f t="shared" si="3"/>
        <v>Mg2'=L ^ 2 * (g / 20 + p / 13) /2=</v>
      </c>
      <c r="S47" s="17">
        <f t="shared" si="4"/>
        <v>3.2913999999999999</v>
      </c>
      <c r="T47" s="12">
        <f>+U47/2-S47</f>
        <v>0</v>
      </c>
      <c r="U47" s="17">
        <f t="shared" si="5"/>
        <v>6.5827999999999998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0.66849999999999998</v>
      </c>
      <c r="I48" s="23">
        <f>J48/2-H48</f>
        <v>-4.9999999999994493E-5</v>
      </c>
      <c r="J48" s="17">
        <f t="shared" si="0"/>
        <v>1.3369</v>
      </c>
      <c r="K48" s="12"/>
      <c r="L48" s="12"/>
      <c r="M48" s="12" t="str">
        <f t="shared" si="1"/>
        <v>Mg4'</v>
      </c>
      <c r="N48" s="15" t="str">
        <f t="shared" si="2"/>
        <v>下端筋</v>
      </c>
      <c r="O48" s="12"/>
      <c r="P48" s="12"/>
      <c r="Q48" s="12"/>
      <c r="R48" s="16" t="str">
        <f t="shared" si="3"/>
        <v>Mg4'=L ^ 2 * (g / 26 + p / 13) /2=</v>
      </c>
      <c r="S48" s="17">
        <f t="shared" si="4"/>
        <v>2.6738</v>
      </c>
      <c r="T48" s="12">
        <f>+U48/2-S48</f>
        <v>4.9999999999883471E-5</v>
      </c>
      <c r="U48" s="17">
        <f t="shared" si="5"/>
        <v>5.3476999999999997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23"/>
      <c r="J49" s="17">
        <f t="shared" si="0"/>
        <v>0</v>
      </c>
      <c r="K49" s="12"/>
      <c r="L49" s="12"/>
      <c r="M49" s="12" t="str">
        <f t="shared" si="1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0.64080000000000004</v>
      </c>
      <c r="I50" s="23">
        <f>J50*3/4-H50</f>
        <v>0</v>
      </c>
      <c r="J50" s="17">
        <f t="shared" si="0"/>
        <v>0.85440000000000005</v>
      </c>
      <c r="K50" s="12"/>
      <c r="L50" s="12"/>
      <c r="M50" s="12" t="str">
        <f t="shared" si="1"/>
        <v>Mf1'</v>
      </c>
      <c r="N50" s="15" t="str">
        <f t="shared" si="2"/>
        <v>上端筋</v>
      </c>
      <c r="O50" s="12"/>
      <c r="P50" s="12"/>
      <c r="Q50" s="12"/>
      <c r="R50" s="16" t="str">
        <f t="shared" si="3"/>
        <v>Mf1'=L ^ 2 / 36 * (g + p) * 3/4=</v>
      </c>
      <c r="S50" s="17">
        <f t="shared" si="4"/>
        <v>2.5632999999999999</v>
      </c>
      <c r="T50" s="12">
        <f>+U50*3/4-S50</f>
        <v>5.000000000032756E-5</v>
      </c>
      <c r="U50" s="17">
        <f t="shared" si="5"/>
        <v>3.4178000000000002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0.96130000000000004</v>
      </c>
      <c r="I51" s="23">
        <f>J51*3/4-H51</f>
        <v>-2.4999999999941735E-5</v>
      </c>
      <c r="J51" s="17">
        <f t="shared" si="0"/>
        <v>1.2817000000000001</v>
      </c>
      <c r="K51" s="12"/>
      <c r="L51" s="12"/>
      <c r="M51" s="12" t="str">
        <f t="shared" si="1"/>
        <v>Mf3'</v>
      </c>
      <c r="N51" s="15" t="str">
        <f t="shared" si="2"/>
        <v>上端筋</v>
      </c>
      <c r="O51" s="12"/>
      <c r="P51" s="12"/>
      <c r="Q51" s="12"/>
      <c r="R51" s="16" t="str">
        <f t="shared" si="3"/>
        <v>Mf3'= L ^ 2 / 24 * (g + p) * 3/4=</v>
      </c>
      <c r="S51" s="17">
        <f t="shared" si="4"/>
        <v>3.8450000000000002</v>
      </c>
      <c r="T51" s="12">
        <f>+U51*3/4-S51</f>
        <v>2.4999999999497646E-5</v>
      </c>
      <c r="U51" s="17">
        <f t="shared" si="5"/>
        <v>5.1266999999999996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0.76900000000000002</v>
      </c>
      <c r="I52" s="23">
        <f>J52*3/4-H52</f>
        <v>-2.4999999999941735E-5</v>
      </c>
      <c r="J52" s="17">
        <f t="shared" si="0"/>
        <v>1.0253000000000001</v>
      </c>
      <c r="K52" s="12"/>
      <c r="L52" s="12"/>
      <c r="M52" s="12" t="str">
        <f t="shared" si="1"/>
        <v>Mf5'</v>
      </c>
      <c r="N52" s="15" t="str">
        <f t="shared" si="2"/>
        <v>上端筋</v>
      </c>
      <c r="O52" s="12"/>
      <c r="P52" s="12"/>
      <c r="Q52" s="12"/>
      <c r="R52" s="16" t="str">
        <f t="shared" si="3"/>
        <v>Mf5'= L ^ 2 / 30 * (g + p) * 3/4=</v>
      </c>
      <c r="S52" s="17">
        <f t="shared" si="4"/>
        <v>3.0760000000000001</v>
      </c>
      <c r="T52" s="12">
        <f>+U52*3/4-S52</f>
        <v>-2.4999999999941735E-5</v>
      </c>
      <c r="U52" s="17">
        <f t="shared" si="5"/>
        <v>4.1013000000000002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0.95940000000000003</v>
      </c>
      <c r="I53" s="23">
        <f>J53*3/4-H53</f>
        <v>0</v>
      </c>
      <c r="J53" s="17">
        <f t="shared" si="0"/>
        <v>1.2791999999999999</v>
      </c>
      <c r="K53" s="12"/>
      <c r="L53" s="12"/>
      <c r="M53" s="12" t="str">
        <f t="shared" si="1"/>
        <v>Mf2'</v>
      </c>
      <c r="N53" s="15" t="str">
        <f t="shared" si="2"/>
        <v>下端筋</v>
      </c>
      <c r="O53" s="12"/>
      <c r="P53" s="12"/>
      <c r="Q53" s="12"/>
      <c r="R53" s="16" t="str">
        <f t="shared" si="3"/>
        <v>Mf2'=L ^2 * (g / 26 + p / 16) * 3/4=</v>
      </c>
      <c r="S53" s="17">
        <f t="shared" si="4"/>
        <v>3.8376999999999999</v>
      </c>
      <c r="T53" s="12">
        <f>+U53*3/4-S53</f>
        <v>-2.4999999999941735E-5</v>
      </c>
      <c r="U53" s="17">
        <f t="shared" si="5"/>
        <v>5.1169000000000002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0.81469999999999998</v>
      </c>
      <c r="I54" s="23">
        <f>J54*3/4-H54</f>
        <v>2.5000000000052758E-5</v>
      </c>
      <c r="J54" s="17">
        <f t="shared" si="0"/>
        <v>1.0863</v>
      </c>
      <c r="K54" s="12"/>
      <c r="L54" s="12"/>
      <c r="M54" s="12" t="str">
        <f t="shared" si="1"/>
        <v>Mf4'</v>
      </c>
      <c r="N54" s="15" t="str">
        <f t="shared" si="2"/>
        <v>下端筋</v>
      </c>
      <c r="O54" s="12"/>
      <c r="P54" s="12"/>
      <c r="Q54" s="12"/>
      <c r="R54" s="16" t="str">
        <f t="shared" si="3"/>
        <v>Mf4'=L ^ 2 * (g / 32 + p / 16) * 3/4=</v>
      </c>
      <c r="S54" s="17">
        <f t="shared" si="4"/>
        <v>3.2587999999999999</v>
      </c>
      <c r="T54" s="12">
        <f>+U54*3/4-S54</f>
        <v>2.2450000000000081E-2</v>
      </c>
      <c r="U54" s="17">
        <f t="shared" si="5"/>
        <v>4.375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250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1.2817000000000001</v>
      </c>
      <c r="D61" s="15" t="str">
        <f>C44</f>
        <v>上端筋</v>
      </c>
      <c r="E61" s="12" t="s">
        <v>18</v>
      </c>
      <c r="F61" s="12">
        <f t="array" ref="F61">C$23-D$23-bar_1(E61,4)/2</f>
        <v>213</v>
      </c>
      <c r="G61" s="12">
        <f>F61*7/8</f>
        <v>186.375</v>
      </c>
      <c r="H61" s="18">
        <f>C61*1000*1000/(G$23*G61)</f>
        <v>35.266642590586251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5.1266999999999996</v>
      </c>
      <c r="O61" s="15" t="str">
        <f>N44</f>
        <v>上端筋</v>
      </c>
      <c r="P61" s="12" t="s">
        <v>18</v>
      </c>
      <c r="Q61" s="12">
        <f>N$23-O$23-bar_1(P61,4)/2</f>
        <v>213</v>
      </c>
      <c r="R61" s="12">
        <f>Q61*7/8</f>
        <v>186.375</v>
      </c>
      <c r="S61" s="18">
        <f>N61*1000*1000/(R$23*R61)</f>
        <v>141.06381881029768</v>
      </c>
      <c r="T61" s="19">
        <f>bar_1(U61,1)</f>
        <v>423.33333333333337</v>
      </c>
      <c r="U61" s="18" t="str">
        <f>use_bar(S61,P61,1)</f>
        <v>D13@ 300</v>
      </c>
    </row>
    <row r="62" spans="2:21" x14ac:dyDescent="0.45">
      <c r="B62" s="12" t="str">
        <f t="shared" ref="B62:B71" si="6">B45</f>
        <v>Mg3'</v>
      </c>
      <c r="C62" s="17">
        <f>H45</f>
        <v>1.9225000000000001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213</v>
      </c>
      <c r="G62" s="12">
        <f>F62*7/8</f>
        <v>186.375</v>
      </c>
      <c r="H62" s="18">
        <f>C62*1000*1000/(G$23*G62)</f>
        <v>52.898588109855716</v>
      </c>
      <c r="I62" s="19">
        <f>bar_1(J62,1)</f>
        <v>423.33333333333337</v>
      </c>
      <c r="J62" s="18" t="str">
        <f>use_bar(H62,E62,1)</f>
        <v>D13@ 300</v>
      </c>
      <c r="K62" s="12"/>
      <c r="L62" s="12"/>
      <c r="M62" s="12" t="s">
        <v>9</v>
      </c>
      <c r="N62" s="17">
        <f>S45</f>
        <v>7.69</v>
      </c>
      <c r="O62" s="15" t="str">
        <f>N45</f>
        <v>上端筋</v>
      </c>
      <c r="P62" s="12" t="str">
        <f>P61</f>
        <v>D13</v>
      </c>
      <c r="Q62" s="12">
        <f t="array" ref="Q62">N$23-O$23-bar_1(P62,4)/2</f>
        <v>213</v>
      </c>
      <c r="R62" s="12">
        <f>Q62*7/8</f>
        <v>186.375</v>
      </c>
      <c r="S62" s="18">
        <f>N62*1000*1000/(R$23*R62)</f>
        <v>211.59435243942286</v>
      </c>
      <c r="T62" s="19">
        <f>bar_1(U62,1)</f>
        <v>423.33333333333337</v>
      </c>
      <c r="U62" s="18" t="str">
        <f>use_bar(S62,P62,1)</f>
        <v>D13@ 300</v>
      </c>
    </row>
    <row r="63" spans="2:21" x14ac:dyDescent="0.45">
      <c r="B63" s="12" t="str">
        <f t="shared" si="6"/>
        <v>Mg5'</v>
      </c>
      <c r="C63" s="17">
        <f>H46</f>
        <v>1.538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213</v>
      </c>
      <c r="G63" s="12">
        <f>F63*7/8</f>
        <v>186.375</v>
      </c>
      <c r="H63" s="18">
        <f>C63*1000*1000/(G$23*G63)</f>
        <v>42.318870487884574</v>
      </c>
      <c r="I63" s="19">
        <f>bar_1(J63,1)</f>
        <v>423.33333333333337</v>
      </c>
      <c r="J63" s="18" t="str">
        <f>use_bar(H63,E63,1)</f>
        <v>D13@ 300</v>
      </c>
      <c r="K63" s="12"/>
      <c r="L63" s="12"/>
      <c r="M63" s="12" t="s">
        <v>10</v>
      </c>
      <c r="N63" s="17">
        <f>S46</f>
        <v>6.1520000000000001</v>
      </c>
      <c r="O63" s="15" t="str">
        <f>N46</f>
        <v>上端筋</v>
      </c>
      <c r="P63" s="12" t="str">
        <f>P62</f>
        <v>D13</v>
      </c>
      <c r="Q63" s="12">
        <f t="array" ref="Q63">N$23-O$23-bar_1(P63,4)/2</f>
        <v>213</v>
      </c>
      <c r="R63" s="12">
        <f>Q63*7/8</f>
        <v>186.375</v>
      </c>
      <c r="S63" s="18">
        <f>N63*1000*1000/(R$23*R63)</f>
        <v>169.2754819515383</v>
      </c>
      <c r="T63" s="19">
        <f>bar_1(U63,1)</f>
        <v>423.33333333333337</v>
      </c>
      <c r="U63" s="18" t="str">
        <f>use_bar(S63,P63,1)</f>
        <v>D13@ 300</v>
      </c>
    </row>
    <row r="64" spans="2:21" x14ac:dyDescent="0.45">
      <c r="B64" s="12" t="str">
        <f t="shared" si="6"/>
        <v>Mg2'</v>
      </c>
      <c r="C64" s="17">
        <f>H47</f>
        <v>0.82279999999999998</v>
      </c>
      <c r="D64" s="15" t="str">
        <f>C47</f>
        <v>下端筋</v>
      </c>
      <c r="E64" s="12" t="s">
        <v>18</v>
      </c>
      <c r="F64" s="12">
        <f t="array" ref="F64">C$23-E$23-bar_1(E64,4)/2</f>
        <v>193</v>
      </c>
      <c r="G64" s="12">
        <f>F64*7/8</f>
        <v>168.875</v>
      </c>
      <c r="H64" s="18">
        <f>C64*1000*1000/(G$23*G64)</f>
        <v>24.985860426274932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3.2913999999999999</v>
      </c>
      <c r="O64" s="15" t="str">
        <f>N47</f>
        <v>下端筋</v>
      </c>
      <c r="P64" s="12" t="s">
        <v>18</v>
      </c>
      <c r="Q64" s="12">
        <f t="array" ref="Q64">N$23-P$23-bar_1(P64,4)/2</f>
        <v>193</v>
      </c>
      <c r="R64" s="12">
        <f>Q64*7/8</f>
        <v>168.875</v>
      </c>
      <c r="S64" s="18">
        <f>N64*1000*1000/(R$23*R64)</f>
        <v>99.949515079048751</v>
      </c>
      <c r="T64" s="19">
        <f>bar_1(U64,1)</f>
        <v>423.33333333333337</v>
      </c>
      <c r="U64" s="18" t="str">
        <f>use_bar(S64,P64,1)</f>
        <v>D13@ 300</v>
      </c>
    </row>
    <row r="65" spans="2:21" x14ac:dyDescent="0.45">
      <c r="B65" s="12" t="str">
        <f t="shared" si="6"/>
        <v>Mg4'</v>
      </c>
      <c r="C65" s="17">
        <f>H48</f>
        <v>0.66849999999999998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193</v>
      </c>
      <c r="G65" s="12">
        <f>F65*7/8</f>
        <v>168.875</v>
      </c>
      <c r="H65" s="18">
        <f>C65*1000*1000/(G$23*G65)</f>
        <v>20.300252424604757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2.6738</v>
      </c>
      <c r="O65" s="15" t="str">
        <f>N48</f>
        <v>下端筋</v>
      </c>
      <c r="P65" s="12" t="str">
        <f>P64</f>
        <v>D13</v>
      </c>
      <c r="Q65" s="12">
        <f t="array" ref="Q65">N$23-P$23-bar_1(P65,4)/2</f>
        <v>193</v>
      </c>
      <c r="R65" s="12">
        <f>Q65*7/8</f>
        <v>168.875</v>
      </c>
      <c r="S65" s="18">
        <f>N65*1000*1000/(R$23*R65)</f>
        <v>81.194936324470007</v>
      </c>
      <c r="T65" s="19">
        <f>bar_1(U65,1)</f>
        <v>423.33333333333337</v>
      </c>
      <c r="U65" s="18" t="str">
        <f>use_bar(S65,P65,1)</f>
        <v>D13@ 300</v>
      </c>
    </row>
    <row r="66" spans="2:21" x14ac:dyDescent="0.45">
      <c r="B66" s="12" t="str">
        <f t="shared" si="6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6"/>
        <v>Mf1'</v>
      </c>
      <c r="C67" s="17">
        <f>H50</f>
        <v>0.64080000000000004</v>
      </c>
      <c r="D67" s="15" t="str">
        <f>C50</f>
        <v>上端筋</v>
      </c>
      <c r="E67" s="12" t="s">
        <v>18</v>
      </c>
      <c r="F67" s="12">
        <f t="array" ref="F67">C$23-D$23-bar_1(E67,4)/2</f>
        <v>213</v>
      </c>
      <c r="G67" s="12">
        <f>F67*7/8</f>
        <v>186.375</v>
      </c>
      <c r="H67" s="18">
        <f>C67*1000*1000/(G$23*G67)</f>
        <v>17.631945519269465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2.5632999999999999</v>
      </c>
      <c r="O67" s="15" t="str">
        <f>N50</f>
        <v>上端筋</v>
      </c>
      <c r="P67" s="12" t="s">
        <v>18</v>
      </c>
      <c r="Q67" s="12">
        <f t="array" ref="Q67">N$23-O$23-bar_1(P67,4)/2</f>
        <v>213</v>
      </c>
      <c r="R67" s="12">
        <f>Q67*7/8</f>
        <v>186.375</v>
      </c>
      <c r="S67" s="18">
        <f>N67*1000*1000/(R$23*R67)</f>
        <v>70.530533629125159</v>
      </c>
      <c r="T67" s="19">
        <f>bar_1(U67,1)</f>
        <v>423.33333333333337</v>
      </c>
      <c r="U67" s="18" t="str">
        <f>use_bar(S67,P67,1)</f>
        <v>D13@ 300</v>
      </c>
    </row>
    <row r="68" spans="2:21" x14ac:dyDescent="0.45">
      <c r="B68" s="12" t="str">
        <f t="shared" si="6"/>
        <v>Mf3'</v>
      </c>
      <c r="C68" s="17">
        <f>H51</f>
        <v>0.96130000000000004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213</v>
      </c>
      <c r="G68" s="12">
        <f>F68*7/8</f>
        <v>186.375</v>
      </c>
      <c r="H68" s="18">
        <f>C68*1000*1000/(G$23*G68)</f>
        <v>26.450669830951526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3.8450000000000002</v>
      </c>
      <c r="O68" s="15" t="str">
        <f>N51</f>
        <v>上端筋</v>
      </c>
      <c r="P68" s="12" t="str">
        <f>P67</f>
        <v>D13</v>
      </c>
      <c r="Q68" s="12">
        <f t="array" ref="Q68">N$23-O$23-bar_1(P68,4)/2</f>
        <v>213</v>
      </c>
      <c r="R68" s="12">
        <f>Q68*7/8</f>
        <v>186.375</v>
      </c>
      <c r="S68" s="18">
        <f>N68*1000*1000/(R$23*R68)</f>
        <v>105.79717621971143</v>
      </c>
      <c r="T68" s="19">
        <f>bar_1(U68,1)</f>
        <v>423.33333333333337</v>
      </c>
      <c r="U68" s="18" t="str">
        <f>use_bar(S68,P68,1)</f>
        <v>D13@ 300</v>
      </c>
    </row>
    <row r="69" spans="2:21" x14ac:dyDescent="0.45">
      <c r="B69" s="12" t="str">
        <f t="shared" si="6"/>
        <v>Mf5'</v>
      </c>
      <c r="C69" s="17">
        <f>H52</f>
        <v>0.76900000000000002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213</v>
      </c>
      <c r="G69" s="12">
        <f>F69*7/8</f>
        <v>186.375</v>
      </c>
      <c r="H69" s="18">
        <f>C69*1000*1000/(G$23*G69)</f>
        <v>21.159435243942287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3.0760000000000001</v>
      </c>
      <c r="O69" s="15" t="str">
        <f>N52</f>
        <v>上端筋</v>
      </c>
      <c r="P69" s="12" t="str">
        <f>P68</f>
        <v>D13</v>
      </c>
      <c r="Q69" s="12">
        <f t="array" ref="Q69">N$23-O$23-bar_1(P69,4)/2</f>
        <v>213</v>
      </c>
      <c r="R69" s="12">
        <f>Q69*7/8</f>
        <v>186.375</v>
      </c>
      <c r="S69" s="18">
        <f>N69*1000*1000/(R$23*R69)</f>
        <v>84.637740975769148</v>
      </c>
      <c r="T69" s="19">
        <f>bar_1(U69,1)</f>
        <v>423.33333333333337</v>
      </c>
      <c r="U69" s="18" t="str">
        <f>use_bar(S69,P69,1)</f>
        <v>D13@ 300</v>
      </c>
    </row>
    <row r="70" spans="2:21" x14ac:dyDescent="0.45">
      <c r="B70" s="12" t="str">
        <f t="shared" si="6"/>
        <v>Mf2'</v>
      </c>
      <c r="C70" s="17">
        <f>H53</f>
        <v>0.95940000000000003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193</v>
      </c>
      <c r="G70" s="12">
        <f>F70*7/8</f>
        <v>168.875</v>
      </c>
      <c r="H70" s="18">
        <f>C70*1000*1000/(G$23*G70)</f>
        <v>29.133974833456698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3.8376999999999999</v>
      </c>
      <c r="O70" s="15" t="str">
        <f>N53</f>
        <v>下端筋</v>
      </c>
      <c r="P70" s="12" t="str">
        <f>P69</f>
        <v>D13</v>
      </c>
      <c r="Q70" s="12">
        <f t="array" ref="Q70">N$23-P$23-bar_1(P70,4)/2</f>
        <v>193</v>
      </c>
      <c r="R70" s="12">
        <f>Q70*7/8</f>
        <v>168.875</v>
      </c>
      <c r="S70" s="18">
        <f>N70*1000*1000/(R$23*R70)</f>
        <v>116.5389360208013</v>
      </c>
      <c r="T70" s="19">
        <f>bar_1(U70,1)</f>
        <v>423.33333333333337</v>
      </c>
      <c r="U70" s="18" t="str">
        <f>use_bar(S70,P70,1)</f>
        <v>D13@ 300</v>
      </c>
    </row>
    <row r="71" spans="2:21" x14ac:dyDescent="0.45">
      <c r="B71" s="12" t="str">
        <f t="shared" si="6"/>
        <v>Mf4'</v>
      </c>
      <c r="C71" s="17">
        <f>H54</f>
        <v>0.81469999999999998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193</v>
      </c>
      <c r="G71" s="12">
        <f>F71*7/8</f>
        <v>168.875</v>
      </c>
      <c r="H71" s="18">
        <f>C71*1000*1000/(G$23*G71)</f>
        <v>24.739888781339555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3.2587999999999999</v>
      </c>
      <c r="O71" s="15" t="str">
        <f>N54</f>
        <v>下端筋</v>
      </c>
      <c r="P71" s="12" t="str">
        <f>P70</f>
        <v>D13</v>
      </c>
      <c r="Q71" s="12">
        <f t="array" ref="Q71">N$23-P$23-bar_1(P71,4)/2</f>
        <v>193</v>
      </c>
      <c r="R71" s="12">
        <f>Q71*7/8</f>
        <v>168.875</v>
      </c>
      <c r="S71" s="18">
        <f>N71*1000*1000/(R$23*R71)</f>
        <v>98.959555125358222</v>
      </c>
      <c r="T71" s="19">
        <f>bar_1(U71,1)</f>
        <v>423.33333333333337</v>
      </c>
      <c r="U71" s="18" t="str">
        <f>use_bar(S71,P71,1)</f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AE68-818A-44AE-837F-CB2C198FF0AA}">
  <sheetPr codeName="Sheet10"/>
  <dimension ref="B3:U71"/>
  <sheetViews>
    <sheetView workbookViewId="0">
      <selection activeCell="P34" sqref="P34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v>500</v>
      </c>
    </row>
    <row r="4" spans="2:19" x14ac:dyDescent="0.45">
      <c r="C4" s="2" t="s">
        <v>3</v>
      </c>
      <c r="D4">
        <v>200</v>
      </c>
      <c r="E4">
        <f>D4*24000/1000</f>
        <v>4800</v>
      </c>
    </row>
    <row r="5" spans="2:19" x14ac:dyDescent="0.45">
      <c r="C5" s="2"/>
      <c r="D5" s="3" t="s">
        <v>2</v>
      </c>
      <c r="E5">
        <f>SUM(E3:E4)</f>
        <v>5300</v>
      </c>
    </row>
    <row r="6" spans="2:19" x14ac:dyDescent="0.45">
      <c r="B6" t="s">
        <v>26</v>
      </c>
      <c r="C6" s="2"/>
      <c r="D6" s="3"/>
      <c r="M6" t="s">
        <v>27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5">
      <c r="B8" s="24">
        <v>4</v>
      </c>
      <c r="C8" s="24"/>
      <c r="D8" s="24">
        <f>E5</f>
        <v>5300</v>
      </c>
      <c r="E8" s="24"/>
      <c r="F8" s="24">
        <v>2900</v>
      </c>
      <c r="G8" s="24"/>
      <c r="M8" s="24">
        <v>3</v>
      </c>
      <c r="N8" s="24"/>
      <c r="O8" s="24">
        <f>D8</f>
        <v>5300</v>
      </c>
      <c r="P8" s="24"/>
      <c r="Q8" s="24">
        <f>F8</f>
        <v>2900</v>
      </c>
      <c r="R8" s="24"/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10.933299999999999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6.15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16.399999999999999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9.2249999999999996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13.12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7.38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7.8091999999999997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4.3926999999999996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6.8308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3.8422999999999998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3.6444000000000001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2.0499999999999998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5.4667000000000003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3.0750000000000002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4.3733000000000004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2.46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6.1615000000000002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3.4659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5.55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3.1219000000000001</v>
      </c>
    </row>
    <row r="22" spans="2:21" x14ac:dyDescent="0.45">
      <c r="B22" t="s">
        <v>23</v>
      </c>
      <c r="C22" s="24" t="s">
        <v>19</v>
      </c>
      <c r="D22" s="24" t="s">
        <v>20</v>
      </c>
      <c r="E22" s="24" t="s">
        <v>21</v>
      </c>
      <c r="G22" s="24" t="s">
        <v>25</v>
      </c>
      <c r="M22" t="s">
        <v>23</v>
      </c>
      <c r="N22" s="24" t="s">
        <v>19</v>
      </c>
      <c r="O22" s="24" t="s">
        <v>20</v>
      </c>
      <c r="P22" s="24" t="s">
        <v>21</v>
      </c>
      <c r="R22" s="24" t="s">
        <v>25</v>
      </c>
    </row>
    <row r="23" spans="2:21" x14ac:dyDescent="0.45">
      <c r="B23" t="s">
        <v>24</v>
      </c>
      <c r="C23" s="24">
        <f>D4</f>
        <v>200</v>
      </c>
      <c r="D23" s="24">
        <v>30</v>
      </c>
      <c r="E23" s="24">
        <v>50</v>
      </c>
      <c r="G23">
        <v>195</v>
      </c>
      <c r="M23" t="s">
        <v>24</v>
      </c>
      <c r="N23" s="24">
        <f>C23</f>
        <v>200</v>
      </c>
      <c r="O23" s="24">
        <v>30</v>
      </c>
      <c r="P23" s="24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10.933299999999999</v>
      </c>
      <c r="D27" s="1" t="str">
        <f>C10</f>
        <v>上端筋</v>
      </c>
      <c r="E27" t="s">
        <v>18</v>
      </c>
      <c r="F27">
        <f>C$23-D$23-bar_1(E27,4)/2</f>
        <v>163</v>
      </c>
      <c r="G27">
        <f>F27*7/8</f>
        <v>142.625</v>
      </c>
      <c r="H27" s="9">
        <f>C27*1000*1000/(G$23*G27)</f>
        <v>393.11624980336637</v>
      </c>
      <c r="I27" s="9">
        <f t="array" ref="I27">bar_1(J27,1)</f>
        <v>423.33333333333337</v>
      </c>
      <c r="J27" s="9" t="str">
        <f>use_bar(H27,E27,1)</f>
        <v>D13@ 300</v>
      </c>
      <c r="M27" t="s">
        <v>7</v>
      </c>
      <c r="N27" s="6">
        <f>S10</f>
        <v>6.15</v>
      </c>
      <c r="O27" s="1" t="str">
        <f>N10</f>
        <v>上端筋</v>
      </c>
      <c r="P27" t="s">
        <v>66</v>
      </c>
      <c r="Q27">
        <f>N$23-O$23-bar_1(P27,4)*1.5</f>
        <v>153.5</v>
      </c>
      <c r="R27">
        <f>Q27*7/8</f>
        <v>134.3125</v>
      </c>
      <c r="S27" s="9">
        <f>N27*1000*1000/(R$23*R27)</f>
        <v>234.81404588896444</v>
      </c>
      <c r="T27" s="8">
        <f>bar_1(U27,1)</f>
        <v>236.66666666666669</v>
      </c>
      <c r="U27" s="9" t="str">
        <f>use_bar(S27,P27,1)</f>
        <v>D10@ 300</v>
      </c>
    </row>
    <row r="28" spans="2:21" x14ac:dyDescent="0.45">
      <c r="B28" t="s">
        <v>9</v>
      </c>
      <c r="C28" s="6">
        <f>H11</f>
        <v>16.399999999999999</v>
      </c>
      <c r="D28" s="1" t="str">
        <f>C11</f>
        <v>上端筋</v>
      </c>
      <c r="E28" t="s">
        <v>18</v>
      </c>
      <c r="F28">
        <f>C$23-D$23-bar_1(E28,4)/2</f>
        <v>163</v>
      </c>
      <c r="G28">
        <f>F28*7/8</f>
        <v>142.625</v>
      </c>
      <c r="H28" s="9">
        <f>C28*1000*1000/(G$23*G28)</f>
        <v>589.67617249825844</v>
      </c>
      <c r="I28" s="9">
        <f t="array" ref="I28">bar_1(J28,1)</f>
        <v>635</v>
      </c>
      <c r="J28" s="9" t="str">
        <f>use_bar(H28,E28,1)</f>
        <v>D13@ 200</v>
      </c>
      <c r="M28" t="s">
        <v>9</v>
      </c>
      <c r="N28" s="6">
        <f>S11</f>
        <v>9.2249999999999996</v>
      </c>
      <c r="O28" s="1" t="str">
        <f>N11</f>
        <v>上端筋</v>
      </c>
      <c r="P28" t="str">
        <f>P27</f>
        <v>D10</v>
      </c>
      <c r="Q28">
        <f>N$23-O$23-bar_1(P28,4)*1.5</f>
        <v>153.5</v>
      </c>
      <c r="R28">
        <f>Q28*7/8</f>
        <v>134.3125</v>
      </c>
      <c r="S28" s="9">
        <f>N28*1000*1000/(R$23*R28)</f>
        <v>352.22106883344668</v>
      </c>
      <c r="T28" s="8">
        <f>bar_1(U28,1)</f>
        <v>355</v>
      </c>
      <c r="U28" s="9" t="str">
        <f>use_bar(S28,P28,1)</f>
        <v>D10@ 200</v>
      </c>
    </row>
    <row r="29" spans="2:21" x14ac:dyDescent="0.45">
      <c r="B29" t="s">
        <v>10</v>
      </c>
      <c r="C29" s="6">
        <f>H12</f>
        <v>13.12</v>
      </c>
      <c r="D29" s="1" t="str">
        <f>C12</f>
        <v>上端筋</v>
      </c>
      <c r="E29" t="str">
        <f>E28</f>
        <v>D13</v>
      </c>
      <c r="F29">
        <f t="array" ref="F29">C$23-D$23-bar_1(E29,4)/2</f>
        <v>163</v>
      </c>
      <c r="G29">
        <f>F29*7/8</f>
        <v>142.625</v>
      </c>
      <c r="H29" s="9">
        <f>C29*1000*1000/(G$23*G29)</f>
        <v>471.74093799860668</v>
      </c>
      <c r="I29" s="9">
        <f t="array" ref="I29">bar_1(J29,1)</f>
        <v>508</v>
      </c>
      <c r="J29" s="9" t="str">
        <f>use_bar(H29,E29,1)</f>
        <v>D13@ 250</v>
      </c>
      <c r="M29" t="s">
        <v>10</v>
      </c>
      <c r="N29" s="6">
        <f>S12</f>
        <v>7.38</v>
      </c>
      <c r="O29" s="1" t="str">
        <f>N12</f>
        <v>上端筋</v>
      </c>
      <c r="P29" t="str">
        <f>P28</f>
        <v>D10</v>
      </c>
      <c r="Q29">
        <f>N$23-O$23-bar_1(P29,4)*1.5</f>
        <v>153.5</v>
      </c>
      <c r="R29">
        <f>Q29*7/8</f>
        <v>134.3125</v>
      </c>
      <c r="S29" s="9">
        <f>N29*1000*1000/(R$23*R29)</f>
        <v>281.77685506675732</v>
      </c>
      <c r="T29" s="8">
        <f>bar_1(U29,1)</f>
        <v>284</v>
      </c>
      <c r="U29" s="9" t="str">
        <f>use_bar(S29,P29,1)</f>
        <v>D10@ 250</v>
      </c>
    </row>
    <row r="30" spans="2:21" x14ac:dyDescent="0.45">
      <c r="B30" t="s">
        <v>8</v>
      </c>
      <c r="C30" s="6">
        <f>H13</f>
        <v>7.8091999999999997</v>
      </c>
      <c r="D30" s="1" t="str">
        <f>C13</f>
        <v>下端筋</v>
      </c>
      <c r="E30" t="s">
        <v>18</v>
      </c>
      <c r="F30">
        <f>C$23-E$23-bar_1(E30,4)/2</f>
        <v>143</v>
      </c>
      <c r="G30">
        <f>F30*7/8</f>
        <v>125.125</v>
      </c>
      <c r="H30" s="9">
        <f>C30*1000*1000/(G$23*G30)</f>
        <v>320.05737851891701</v>
      </c>
      <c r="I30" s="9">
        <f t="array" ref="I30">bar_1(J30,1)</f>
        <v>423.33333333333337</v>
      </c>
      <c r="J30" s="9" t="str">
        <f>use_bar(H30,E30,1)</f>
        <v>D13@ 300</v>
      </c>
      <c r="M30" t="s">
        <v>8</v>
      </c>
      <c r="N30" s="6">
        <f>S13</f>
        <v>4.3926999999999996</v>
      </c>
      <c r="O30" s="1" t="str">
        <f>N13</f>
        <v>下端筋</v>
      </c>
      <c r="P30" t="str">
        <f>P29</f>
        <v>D10</v>
      </c>
      <c r="Q30">
        <f>N$23-P$23-bar_1(P30,4)*1.5</f>
        <v>133.5</v>
      </c>
      <c r="R30">
        <f>Q30*7/8</f>
        <v>116.8125</v>
      </c>
      <c r="S30" s="9">
        <f>N30*1000*1000/(R$23*R30)</f>
        <v>192.84465846263598</v>
      </c>
      <c r="T30" s="8">
        <f>bar_1(U30,1)</f>
        <v>236.66666666666669</v>
      </c>
      <c r="U30" s="9" t="str">
        <f>use_bar(S30,P30,1)</f>
        <v>D10@ 300</v>
      </c>
    </row>
    <row r="31" spans="2:21" x14ac:dyDescent="0.45">
      <c r="B31" t="s">
        <v>14</v>
      </c>
      <c r="C31" s="6">
        <f>H14</f>
        <v>6.8308</v>
      </c>
      <c r="D31" s="1" t="str">
        <f>C14</f>
        <v>下端筋</v>
      </c>
      <c r="E31" t="str">
        <f>E30</f>
        <v>D13</v>
      </c>
      <c r="F31">
        <f t="array" ref="F31">C$23-E$23-bar_1(E31,4)/2</f>
        <v>143</v>
      </c>
      <c r="G31">
        <f>F31*7/8</f>
        <v>125.125</v>
      </c>
      <c r="H31" s="9">
        <f>C31*1000*1000/(G$23*G31)</f>
        <v>279.9579907272215</v>
      </c>
      <c r="I31" s="9">
        <f>bar_1(J31,1)</f>
        <v>423.33333333333337</v>
      </c>
      <c r="J31" s="9" t="str">
        <f>use_bar(H31,E31,1)</f>
        <v>D13@ 300</v>
      </c>
      <c r="M31" t="s">
        <v>14</v>
      </c>
      <c r="N31" s="6">
        <f>S14</f>
        <v>3.8422999999999998</v>
      </c>
      <c r="O31" s="1" t="str">
        <f>N14</f>
        <v>下端筋</v>
      </c>
      <c r="P31" t="str">
        <f>P30</f>
        <v>D10</v>
      </c>
      <c r="Q31">
        <f>N$23-P$23-bar_1(P31,4)*1.5</f>
        <v>133.5</v>
      </c>
      <c r="R31">
        <f>Q31*7/8</f>
        <v>116.8125</v>
      </c>
      <c r="S31" s="9">
        <f>N31*1000*1000/(R$23*R31)</f>
        <v>168.6814558724671</v>
      </c>
      <c r="T31" s="8">
        <f>bar_1(U31,1)</f>
        <v>236.66666666666669</v>
      </c>
      <c r="U31" s="9" t="str">
        <f>use_bar(S31,P31,1)</f>
        <v>D10@ 300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3.6444000000000001</v>
      </c>
      <c r="D33" s="1" t="str">
        <f>C16</f>
        <v>上端筋</v>
      </c>
      <c r="E33" t="s">
        <v>18</v>
      </c>
      <c r="F33">
        <f t="array" ref="F33">C$23-D$23-bar_1(E33,4)/2</f>
        <v>163</v>
      </c>
      <c r="G33">
        <f>F33*7/8</f>
        <v>142.625</v>
      </c>
      <c r="H33" s="9">
        <f>C33*1000*1000/(G$23*G33)</f>
        <v>131.03755140564957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2.0499999999999998</v>
      </c>
      <c r="O33" s="1" t="str">
        <f>N16</f>
        <v>上端筋</v>
      </c>
      <c r="P33" t="s">
        <v>66</v>
      </c>
      <c r="Q33">
        <f>N$23-O$23-bar_1(P33,4)*1.5</f>
        <v>153.5</v>
      </c>
      <c r="R33">
        <f>Q33*7/8</f>
        <v>134.3125</v>
      </c>
      <c r="S33" s="9">
        <f>N33*1000*1000/(R$23*R33)</f>
        <v>78.271348629654824</v>
      </c>
      <c r="T33" s="8">
        <f>bar_1(U33,1)</f>
        <v>236.66666666666669</v>
      </c>
      <c r="U33" s="9" t="str">
        <f>use_bar(S33,P33,1)</f>
        <v>D10@ 300</v>
      </c>
    </row>
    <row r="34" spans="2:21" x14ac:dyDescent="0.45">
      <c r="B34" t="s">
        <v>5</v>
      </c>
      <c r="C34" s="6">
        <f>H17</f>
        <v>5.4667000000000003</v>
      </c>
      <c r="D34" s="1" t="str">
        <f>C17</f>
        <v>上端筋</v>
      </c>
      <c r="E34" t="str">
        <f>E33</f>
        <v>D13</v>
      </c>
      <c r="F34">
        <f t="array" ref="F34">C$23-D$23-bar_1(E34,4)/2</f>
        <v>163</v>
      </c>
      <c r="G34">
        <f>F34*7/8</f>
        <v>142.625</v>
      </c>
      <c r="H34" s="9">
        <f>C34*1000*1000/(G$23*G34)</f>
        <v>196.55992269489207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3.0750000000000002</v>
      </c>
      <c r="O34" s="1" t="str">
        <f>N17</f>
        <v>上端筋</v>
      </c>
      <c r="P34" t="str">
        <f>P33</f>
        <v>D10</v>
      </c>
      <c r="Q34">
        <f>N$23-O$23-bar_1(P34,4)*1.5</f>
        <v>153.5</v>
      </c>
      <c r="R34">
        <f>Q34*7/8</f>
        <v>134.3125</v>
      </c>
      <c r="S34" s="9">
        <f>N34*1000*1000/(R$23*R34)</f>
        <v>117.40702294448222</v>
      </c>
      <c r="T34" s="8">
        <f>bar_1(U34,1)</f>
        <v>236.66666666666669</v>
      </c>
      <c r="U34" s="9" t="str">
        <f>use_bar(S34,P34,1)</f>
        <v>D10@ 300</v>
      </c>
    </row>
    <row r="35" spans="2:21" x14ac:dyDescent="0.45">
      <c r="B35" t="s">
        <v>6</v>
      </c>
      <c r="C35" s="6">
        <f>H18</f>
        <v>4.3733000000000004</v>
      </c>
      <c r="D35" s="1" t="str">
        <f>C18</f>
        <v>上端筋</v>
      </c>
      <c r="E35" t="str">
        <f>E34</f>
        <v>D13</v>
      </c>
      <c r="F35">
        <f t="array" ref="F35">C$23-D$23-bar_1(E35,4)/2</f>
        <v>163</v>
      </c>
      <c r="G35">
        <f>F35*7/8</f>
        <v>142.625</v>
      </c>
      <c r="H35" s="9">
        <f>C35*1000*1000/(G$23*G35)</f>
        <v>157.245780804063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2.46</v>
      </c>
      <c r="O35" s="1" t="str">
        <f>N18</f>
        <v>上端筋</v>
      </c>
      <c r="P35" t="str">
        <f>P34</f>
        <v>D10</v>
      </c>
      <c r="Q35">
        <f>N$23-O$23-bar_1(P35,4)*1.5</f>
        <v>153.5</v>
      </c>
      <c r="R35">
        <f>Q35*7/8</f>
        <v>134.3125</v>
      </c>
      <c r="S35" s="9">
        <f>N35*1000*1000/(R$23*R35)</f>
        <v>93.925618355585783</v>
      </c>
      <c r="T35" s="8">
        <f>bar_1(U35,1)</f>
        <v>236.66666666666669</v>
      </c>
      <c r="U35" s="9" t="str">
        <f>use_bar(S35,P35,1)</f>
        <v>D10@ 300</v>
      </c>
    </row>
    <row r="36" spans="2:21" x14ac:dyDescent="0.45">
      <c r="B36" t="s">
        <v>16</v>
      </c>
      <c r="C36" s="6">
        <f>H19</f>
        <v>6.1615000000000002</v>
      </c>
      <c r="D36" s="1" t="str">
        <f>C19</f>
        <v>下端筋</v>
      </c>
      <c r="E36" t="str">
        <f>E35</f>
        <v>D13</v>
      </c>
      <c r="F36">
        <f t="array" ref="F36">C$23-E$23-bar_1(E36,4)/2</f>
        <v>143</v>
      </c>
      <c r="G36">
        <f>F36*7/8</f>
        <v>125.125</v>
      </c>
      <c r="H36" s="9">
        <f>C36*1000*1000/(G$23*G36)</f>
        <v>252.52696021926792</v>
      </c>
      <c r="I36" s="9">
        <f>bar_1(J36,1)</f>
        <v>423.33333333333337</v>
      </c>
      <c r="J36" s="9" t="str">
        <f>use_bar(H36,E36,1)</f>
        <v>D13@ 300</v>
      </c>
      <c r="M36" t="s">
        <v>16</v>
      </c>
      <c r="N36" s="6">
        <f>S19</f>
        <v>3.4659</v>
      </c>
      <c r="O36" s="1" t="str">
        <f>N19</f>
        <v>下端筋</v>
      </c>
      <c r="P36" t="str">
        <f>P35</f>
        <v>D10</v>
      </c>
      <c r="Q36">
        <f>N$23-P$23-bar_1(P36,4)*1.5</f>
        <v>133.5</v>
      </c>
      <c r="R36">
        <f>Q36*7/8</f>
        <v>116.8125</v>
      </c>
      <c r="S36" s="9">
        <f>N36*1000*1000/(R$23*R36)</f>
        <v>152.15705642671935</v>
      </c>
      <c r="T36" s="8">
        <f>bar_1(U36,1)</f>
        <v>236.66666666666669</v>
      </c>
      <c r="U36" s="9" t="str">
        <f>use_bar(S36,P36,1)</f>
        <v>D10@ 300</v>
      </c>
    </row>
    <row r="37" spans="2:21" x14ac:dyDescent="0.45">
      <c r="B37" t="s">
        <v>17</v>
      </c>
      <c r="C37" s="6">
        <f>H20</f>
        <v>5.55</v>
      </c>
      <c r="D37" s="1" t="str">
        <f>C20</f>
        <v>下端筋</v>
      </c>
      <c r="E37" t="str">
        <f>E36</f>
        <v>D13</v>
      </c>
      <c r="F37">
        <f t="array" ref="F37">C$23-E$23-bar_1(E37,4)/2</f>
        <v>143</v>
      </c>
      <c r="G37">
        <f>F37*7/8</f>
        <v>125.125</v>
      </c>
      <c r="H37" s="9">
        <f>C37*1000*1000/(G$23*G37)</f>
        <v>227.46484284945822</v>
      </c>
      <c r="I37" s="9">
        <f>bar_1(J37,1)</f>
        <v>423.33333333333337</v>
      </c>
      <c r="J37" s="9" t="str">
        <f>use_bar(H37,E37,1)</f>
        <v>D13@ 300</v>
      </c>
      <c r="M37" t="s">
        <v>17</v>
      </c>
      <c r="N37" s="6">
        <f>S20</f>
        <v>3.1219000000000001</v>
      </c>
      <c r="O37" s="1" t="str">
        <f>N20</f>
        <v>下端筋</v>
      </c>
      <c r="P37" t="str">
        <f>P36</f>
        <v>D10</v>
      </c>
      <c r="Q37">
        <f>N$23-P$23-bar_1(P37,4)*1.5</f>
        <v>133.5</v>
      </c>
      <c r="R37">
        <f>Q37*7/8</f>
        <v>116.8125</v>
      </c>
      <c r="S37" s="9">
        <f>N37*1000*1000/(R$23*R37)</f>
        <v>137.0550548078638</v>
      </c>
      <c r="T37" s="8">
        <f>bar_1(U37,1)</f>
        <v>236.66666666666669</v>
      </c>
      <c r="U37" s="9" t="str">
        <f>use_bar(S37,P37,1)</f>
        <v>D10@ 300</v>
      </c>
    </row>
    <row r="40" spans="2:21" x14ac:dyDescent="0.45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f>B8</f>
        <v>4</v>
      </c>
      <c r="C42" s="14"/>
      <c r="D42" s="14">
        <f>+D8</f>
        <v>5300</v>
      </c>
      <c r="E42" s="14"/>
      <c r="F42" s="14">
        <f>F8</f>
        <v>2900</v>
      </c>
      <c r="G42" s="14"/>
      <c r="H42" s="12"/>
      <c r="I42" s="12"/>
      <c r="J42" s="12"/>
      <c r="K42" s="12"/>
      <c r="L42" s="12"/>
      <c r="M42" s="14">
        <f>+M8</f>
        <v>3</v>
      </c>
      <c r="N42" s="14"/>
      <c r="O42" s="14">
        <f>+O8</f>
        <v>5300</v>
      </c>
      <c r="P42" s="14"/>
      <c r="Q42" s="14">
        <f>Q8</f>
        <v>2900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5.4667000000000003</v>
      </c>
      <c r="I44" s="23">
        <f>J44/2-H44</f>
        <v>-5.0000000000771649E-5</v>
      </c>
      <c r="J44" s="17">
        <f t="shared" ref="J44:J54" si="0">+H10</f>
        <v>10.933299999999999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3.0750000000000002</v>
      </c>
      <c r="T44" s="12">
        <f>+U44/2-S44</f>
        <v>0</v>
      </c>
      <c r="U44" s="17">
        <f>S10</f>
        <v>6.15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8.1999999999999993</v>
      </c>
      <c r="I45" s="23">
        <f>J45/2-H45</f>
        <v>0</v>
      </c>
      <c r="J45" s="17">
        <f t="shared" si="0"/>
        <v>16.399999999999999</v>
      </c>
      <c r="K45" s="12"/>
      <c r="L45" s="12"/>
      <c r="M45" s="12" t="str">
        <f t="shared" ref="M45:M54" si="1">B45</f>
        <v>Mg3'</v>
      </c>
      <c r="N45" s="15" t="str">
        <f t="shared" ref="N45:N54" si="2">flat_slab_side(M$8,O$8/10000,Q$8/1000,M45,3)</f>
        <v>上端筋</v>
      </c>
      <c r="O45" s="12"/>
      <c r="P45" s="12"/>
      <c r="Q45" s="12"/>
      <c r="R45" s="16" t="str">
        <f t="shared" ref="R45:R54" si="3">flat_slab_side(M$8,O$8/10000,Q$8/1000,M45,2)</f>
        <v>Mg3'=L ^ 2 / 8 * (g + p) /2=</v>
      </c>
      <c r="S45" s="17">
        <f t="shared" ref="S45:S54" si="4">ROUND(flat_slab_side(M$8,O$8/1000,Q$8/1000,M45,1),4)</f>
        <v>4.6124999999999998</v>
      </c>
      <c r="T45" s="12">
        <f>+U45/2-S45</f>
        <v>0</v>
      </c>
      <c r="U45" s="17">
        <f t="shared" ref="U45:U54" si="5">S11</f>
        <v>9.2249999999999996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6.56</v>
      </c>
      <c r="I46" s="23">
        <f>J46/2-H46</f>
        <v>0</v>
      </c>
      <c r="J46" s="17">
        <f t="shared" si="0"/>
        <v>13.12</v>
      </c>
      <c r="K46" s="12"/>
      <c r="L46" s="12"/>
      <c r="M46" s="12" t="str">
        <f t="shared" si="1"/>
        <v>Mg5'</v>
      </c>
      <c r="N46" s="15" t="str">
        <f t="shared" si="2"/>
        <v>上端筋</v>
      </c>
      <c r="O46" s="12"/>
      <c r="P46" s="12"/>
      <c r="Q46" s="12"/>
      <c r="R46" s="16" t="str">
        <f t="shared" si="3"/>
        <v>Mg5'=L ^ 2 / 10 * (g + p) /2=</v>
      </c>
      <c r="S46" s="17">
        <f t="shared" si="4"/>
        <v>3.69</v>
      </c>
      <c r="T46" s="12">
        <f>+U46/2-S46</f>
        <v>0</v>
      </c>
      <c r="U46" s="17">
        <f t="shared" si="5"/>
        <v>7.38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3.9045999999999998</v>
      </c>
      <c r="I47" s="23">
        <f>J47/2-H47</f>
        <v>0</v>
      </c>
      <c r="J47" s="17">
        <f t="shared" si="0"/>
        <v>7.8091999999999997</v>
      </c>
      <c r="K47" s="12"/>
      <c r="L47" s="12"/>
      <c r="M47" s="12" t="str">
        <f t="shared" si="1"/>
        <v>Mg2'</v>
      </c>
      <c r="N47" s="15" t="str">
        <f t="shared" si="2"/>
        <v>下端筋</v>
      </c>
      <c r="O47" s="12"/>
      <c r="P47" s="12"/>
      <c r="Q47" s="12"/>
      <c r="R47" s="16" t="str">
        <f t="shared" si="3"/>
        <v>Mg2'=L ^ 2 * (g / 20 + p / 13) /2=</v>
      </c>
      <c r="S47" s="17">
        <f t="shared" si="4"/>
        <v>2.1962999999999999</v>
      </c>
      <c r="T47" s="12">
        <f>+U47/2-S47</f>
        <v>4.9999999999883471E-5</v>
      </c>
      <c r="U47" s="17">
        <f t="shared" si="5"/>
        <v>4.3926999999999996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3.4154</v>
      </c>
      <c r="I48" s="23">
        <f>J48/2-H48</f>
        <v>0</v>
      </c>
      <c r="J48" s="17">
        <f t="shared" si="0"/>
        <v>6.8308</v>
      </c>
      <c r="K48" s="12"/>
      <c r="L48" s="12"/>
      <c r="M48" s="12" t="str">
        <f t="shared" si="1"/>
        <v>Mg4'</v>
      </c>
      <c r="N48" s="15" t="str">
        <f t="shared" si="2"/>
        <v>下端筋</v>
      </c>
      <c r="O48" s="12"/>
      <c r="P48" s="12"/>
      <c r="Q48" s="12"/>
      <c r="R48" s="16" t="str">
        <f t="shared" si="3"/>
        <v>Mg4'=L ^ 2 * (g / 26 + p / 13) /2=</v>
      </c>
      <c r="S48" s="17">
        <f t="shared" si="4"/>
        <v>1.9212</v>
      </c>
      <c r="T48" s="12">
        <f>+U48/2-S48</f>
        <v>-5.0000000000105516E-5</v>
      </c>
      <c r="U48" s="17">
        <f t="shared" si="5"/>
        <v>3.8422999999999998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23"/>
      <c r="J49" s="17">
        <f t="shared" si="0"/>
        <v>0</v>
      </c>
      <c r="K49" s="12"/>
      <c r="L49" s="12"/>
      <c r="M49" s="12" t="str">
        <f t="shared" si="1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2.7332999999999998</v>
      </c>
      <c r="I50" s="23">
        <f>J50*3/4-H50</f>
        <v>0</v>
      </c>
      <c r="J50" s="17">
        <f t="shared" si="0"/>
        <v>3.6444000000000001</v>
      </c>
      <c r="K50" s="12"/>
      <c r="L50" s="12"/>
      <c r="M50" s="12" t="str">
        <f t="shared" si="1"/>
        <v>Mf1'</v>
      </c>
      <c r="N50" s="15" t="str">
        <f t="shared" si="2"/>
        <v>上端筋</v>
      </c>
      <c r="O50" s="12"/>
      <c r="P50" s="12"/>
      <c r="Q50" s="12"/>
      <c r="R50" s="16" t="str">
        <f t="shared" si="3"/>
        <v>Mf1'=L ^ 2 / 36 * (g + p) * 3/4=</v>
      </c>
      <c r="S50" s="17">
        <f t="shared" si="4"/>
        <v>1.5375000000000001</v>
      </c>
      <c r="T50" s="12">
        <f>+U50*3/4-S50</f>
        <v>0</v>
      </c>
      <c r="U50" s="17">
        <f t="shared" si="5"/>
        <v>2.0499999999999998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4.0999999999999996</v>
      </c>
      <c r="I51" s="23">
        <f>J51*3/4-H51</f>
        <v>2.5000000000829914E-5</v>
      </c>
      <c r="J51" s="17">
        <f t="shared" si="0"/>
        <v>5.4667000000000003</v>
      </c>
      <c r="K51" s="12"/>
      <c r="L51" s="12"/>
      <c r="M51" s="12" t="str">
        <f t="shared" si="1"/>
        <v>Mf3'</v>
      </c>
      <c r="N51" s="15" t="str">
        <f t="shared" si="2"/>
        <v>上端筋</v>
      </c>
      <c r="O51" s="12"/>
      <c r="P51" s="12"/>
      <c r="Q51" s="12"/>
      <c r="R51" s="16" t="str">
        <f t="shared" si="3"/>
        <v>Mf3'= L ^ 2 / 24 * (g + p) * 3/4=</v>
      </c>
      <c r="S51" s="17">
        <f t="shared" si="4"/>
        <v>2.3062999999999998</v>
      </c>
      <c r="T51" s="12">
        <f>+U51*3/4-S51</f>
        <v>-4.9999999999439382E-5</v>
      </c>
      <c r="U51" s="17">
        <f t="shared" si="5"/>
        <v>3.0750000000000002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3.28</v>
      </c>
      <c r="I52" s="23">
        <f>J52*3/4-H52</f>
        <v>-2.4999999999497646E-5</v>
      </c>
      <c r="J52" s="17">
        <f t="shared" si="0"/>
        <v>4.3733000000000004</v>
      </c>
      <c r="K52" s="12"/>
      <c r="L52" s="12"/>
      <c r="M52" s="12" t="str">
        <f t="shared" si="1"/>
        <v>Mf5'</v>
      </c>
      <c r="N52" s="15" t="str">
        <f t="shared" si="2"/>
        <v>上端筋</v>
      </c>
      <c r="O52" s="12"/>
      <c r="P52" s="12"/>
      <c r="Q52" s="12"/>
      <c r="R52" s="16" t="str">
        <f t="shared" si="3"/>
        <v>Mf5'= L ^ 2 / 30 * (g + p) * 3/4=</v>
      </c>
      <c r="S52" s="17">
        <f t="shared" si="4"/>
        <v>1.845</v>
      </c>
      <c r="T52" s="12">
        <f>+U52*3/4-S52</f>
        <v>0</v>
      </c>
      <c r="U52" s="17">
        <f t="shared" si="5"/>
        <v>2.46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4.6212</v>
      </c>
      <c r="I53" s="23">
        <f>J53*3/4-H53</f>
        <v>-7.4999999999825206E-5</v>
      </c>
      <c r="J53" s="17">
        <f t="shared" si="0"/>
        <v>6.1615000000000002</v>
      </c>
      <c r="K53" s="12"/>
      <c r="L53" s="12"/>
      <c r="M53" s="12" t="str">
        <f t="shared" si="1"/>
        <v>Mf2'</v>
      </c>
      <c r="N53" s="15" t="str">
        <f t="shared" si="2"/>
        <v>下端筋</v>
      </c>
      <c r="O53" s="12"/>
      <c r="P53" s="12"/>
      <c r="Q53" s="12"/>
      <c r="R53" s="16" t="str">
        <f t="shared" si="3"/>
        <v>Mf2'=L ^2 * (g / 26 + p / 16) * 3/4=</v>
      </c>
      <c r="S53" s="17">
        <f t="shared" si="4"/>
        <v>2.5994000000000002</v>
      </c>
      <c r="T53" s="12">
        <f>+U53*3/4-S53</f>
        <v>2.4999999999941735E-5</v>
      </c>
      <c r="U53" s="17">
        <f t="shared" si="5"/>
        <v>3.4659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4.1624999999999996</v>
      </c>
      <c r="I54" s="23">
        <f>J54*3/4-H54</f>
        <v>0</v>
      </c>
      <c r="J54" s="17">
        <f t="shared" si="0"/>
        <v>5.55</v>
      </c>
      <c r="K54" s="12"/>
      <c r="L54" s="12"/>
      <c r="M54" s="12" t="str">
        <f t="shared" si="1"/>
        <v>Mf4'</v>
      </c>
      <c r="N54" s="15" t="str">
        <f t="shared" si="2"/>
        <v>下端筋</v>
      </c>
      <c r="O54" s="12"/>
      <c r="P54" s="12"/>
      <c r="Q54" s="12"/>
      <c r="R54" s="16" t="str">
        <f t="shared" si="3"/>
        <v>Mf4'=L ^ 2 * (g / 32 + p / 16) * 3/4=</v>
      </c>
      <c r="S54" s="17">
        <f t="shared" si="4"/>
        <v>2.3414000000000001</v>
      </c>
      <c r="T54" s="12">
        <f>+U54*3/4-S54</f>
        <v>2.4999999999941735E-5</v>
      </c>
      <c r="U54" s="17">
        <f t="shared" si="5"/>
        <v>3.1219000000000001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200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200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5.4667000000000003</v>
      </c>
      <c r="D61" s="15" t="str">
        <f>C44</f>
        <v>上端筋</v>
      </c>
      <c r="E61" s="12" t="s">
        <v>18</v>
      </c>
      <c r="F61" s="12">
        <f t="array" ref="F61">C$23-D$23-bar_1(E61,4)/2</f>
        <v>163</v>
      </c>
      <c r="G61" s="12">
        <f>F61*7/8</f>
        <v>142.625</v>
      </c>
      <c r="H61" s="18">
        <f>C61*1000*1000/(G$23*G61)</f>
        <v>196.55992269489207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3.0750000000000002</v>
      </c>
      <c r="O61" s="15" t="str">
        <f>N44</f>
        <v>上端筋</v>
      </c>
      <c r="P61" s="12" t="s">
        <v>18</v>
      </c>
      <c r="Q61" s="12">
        <f>N$23-O$23-bar_1(P61,4)/2</f>
        <v>163</v>
      </c>
      <c r="R61" s="12">
        <f>Q61*7/8</f>
        <v>142.625</v>
      </c>
      <c r="S61" s="18">
        <f>N61*1000*1000/(R$23*R61)</f>
        <v>110.56428234342344</v>
      </c>
      <c r="T61" s="19">
        <f>bar_1(U61,1)</f>
        <v>423.33333333333337</v>
      </c>
      <c r="U61" s="18" t="str">
        <f>use_bar(S61,P61,1)</f>
        <v>D13@ 300</v>
      </c>
    </row>
    <row r="62" spans="2:21" x14ac:dyDescent="0.45">
      <c r="B62" s="12" t="str">
        <f t="shared" ref="B62:B71" si="6">B45</f>
        <v>Mg3'</v>
      </c>
      <c r="C62" s="17">
        <f>H45</f>
        <v>8.1999999999999993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163</v>
      </c>
      <c r="G62" s="12">
        <f>F62*7/8</f>
        <v>142.625</v>
      </c>
      <c r="H62" s="18">
        <f>C62*1000*1000/(G$23*G62)</f>
        <v>294.83808624912922</v>
      </c>
      <c r="I62" s="19">
        <f>bar_1(J62,1)</f>
        <v>423.33333333333337</v>
      </c>
      <c r="J62" s="18" t="str">
        <f>use_bar(H62,E62,1)</f>
        <v>D13@ 300</v>
      </c>
      <c r="K62" s="12"/>
      <c r="L62" s="12"/>
      <c r="M62" s="12" t="s">
        <v>9</v>
      </c>
      <c r="N62" s="17">
        <f>S45</f>
        <v>4.6124999999999998</v>
      </c>
      <c r="O62" s="15" t="str">
        <f>N45</f>
        <v>上端筋</v>
      </c>
      <c r="P62" s="12" t="str">
        <f>P61</f>
        <v>D13</v>
      </c>
      <c r="Q62" s="12">
        <f t="array" ref="Q62">N$23-O$23-bar_1(P62,4)/2</f>
        <v>163</v>
      </c>
      <c r="R62" s="12">
        <f>Q62*7/8</f>
        <v>142.625</v>
      </c>
      <c r="S62" s="18">
        <f>N62*1000*1000/(R$23*R62)</f>
        <v>165.84642351513517</v>
      </c>
      <c r="T62" s="19">
        <f>bar_1(U62,1)</f>
        <v>423.33333333333337</v>
      </c>
      <c r="U62" s="18" t="str">
        <f>use_bar(S62,P62,1)</f>
        <v>D13@ 300</v>
      </c>
    </row>
    <row r="63" spans="2:21" x14ac:dyDescent="0.45">
      <c r="B63" s="12" t="str">
        <f t="shared" si="6"/>
        <v>Mg5'</v>
      </c>
      <c r="C63" s="17">
        <f>H46</f>
        <v>6.56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163</v>
      </c>
      <c r="G63" s="12">
        <f>F63*7/8</f>
        <v>142.625</v>
      </c>
      <c r="H63" s="18">
        <f>C63*1000*1000/(G$23*G63)</f>
        <v>235.87046899930334</v>
      </c>
      <c r="I63" s="19">
        <f>bar_1(J63,1)</f>
        <v>423.33333333333337</v>
      </c>
      <c r="J63" s="18" t="str">
        <f>use_bar(H63,E63,1)</f>
        <v>D13@ 300</v>
      </c>
      <c r="K63" s="12"/>
      <c r="L63" s="12"/>
      <c r="M63" s="12" t="s">
        <v>10</v>
      </c>
      <c r="N63" s="17">
        <f>S46</f>
        <v>3.69</v>
      </c>
      <c r="O63" s="15" t="str">
        <f>N46</f>
        <v>上端筋</v>
      </c>
      <c r="P63" s="12" t="str">
        <f>P62</f>
        <v>D13</v>
      </c>
      <c r="Q63" s="12">
        <f t="array" ref="Q63">N$23-O$23-bar_1(P63,4)/2</f>
        <v>163</v>
      </c>
      <c r="R63" s="12">
        <f>Q63*7/8</f>
        <v>142.625</v>
      </c>
      <c r="S63" s="18">
        <f>N63*1000*1000/(R$23*R63)</f>
        <v>132.67713881210813</v>
      </c>
      <c r="T63" s="19">
        <f>bar_1(U63,1)</f>
        <v>423.33333333333337</v>
      </c>
      <c r="U63" s="18" t="str">
        <f>use_bar(S63,P63,1)</f>
        <v>D13@ 300</v>
      </c>
    </row>
    <row r="64" spans="2:21" x14ac:dyDescent="0.45">
      <c r="B64" s="12" t="str">
        <f t="shared" si="6"/>
        <v>Mg2'</v>
      </c>
      <c r="C64" s="17">
        <f>H47</f>
        <v>3.9045999999999998</v>
      </c>
      <c r="D64" s="15" t="str">
        <f>C47</f>
        <v>下端筋</v>
      </c>
      <c r="E64" s="12" t="s">
        <v>18</v>
      </c>
      <c r="F64" s="12">
        <f t="array" ref="F64">C$23-E$23-bar_1(E64,4)/2</f>
        <v>143</v>
      </c>
      <c r="G64" s="12">
        <f>F64*7/8</f>
        <v>125.125</v>
      </c>
      <c r="H64" s="18">
        <f>C64*1000*1000/(G$23*G64)</f>
        <v>160.0286892594585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2.1962999999999999</v>
      </c>
      <c r="O64" s="15" t="str">
        <f>N47</f>
        <v>下端筋</v>
      </c>
      <c r="P64" s="12" t="s">
        <v>18</v>
      </c>
      <c r="Q64" s="12">
        <f t="array" ref="Q64">N$23-P$23-bar_1(P64,4)/2</f>
        <v>143</v>
      </c>
      <c r="R64" s="12">
        <f>Q64*7/8</f>
        <v>125.125</v>
      </c>
      <c r="S64" s="18">
        <f>N64*1000*1000/(R$23*R64)</f>
        <v>90.01460078383154</v>
      </c>
      <c r="T64" s="19">
        <f>bar_1(U64,1)</f>
        <v>423.33333333333337</v>
      </c>
      <c r="U64" s="18" t="str">
        <f>use_bar(S64,P64,1)</f>
        <v>D13@ 300</v>
      </c>
    </row>
    <row r="65" spans="2:21" x14ac:dyDescent="0.45">
      <c r="B65" s="12" t="str">
        <f t="shared" si="6"/>
        <v>Mg4'</v>
      </c>
      <c r="C65" s="17">
        <f>H48</f>
        <v>3.4154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143</v>
      </c>
      <c r="G65" s="12">
        <f>F65*7/8</f>
        <v>125.125</v>
      </c>
      <c r="H65" s="18">
        <f>C65*1000*1000/(G$23*G65)</f>
        <v>139.97899536361075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1.9212</v>
      </c>
      <c r="O65" s="15" t="str">
        <f>N48</f>
        <v>下端筋</v>
      </c>
      <c r="P65" s="12" t="str">
        <f>P64</f>
        <v>D13</v>
      </c>
      <c r="Q65" s="12">
        <f t="array" ref="Q65">N$23-P$23-bar_1(P65,4)/2</f>
        <v>143</v>
      </c>
      <c r="R65" s="12">
        <f>Q65*7/8</f>
        <v>125.125</v>
      </c>
      <c r="S65" s="18">
        <f>N65*1000*1000/(R$23*R65)</f>
        <v>78.739721816644888</v>
      </c>
      <c r="T65" s="19">
        <f>bar_1(U65,1)</f>
        <v>423.33333333333337</v>
      </c>
      <c r="U65" s="18" t="str">
        <f>use_bar(S65,P65,1)</f>
        <v>D13@ 300</v>
      </c>
    </row>
    <row r="66" spans="2:21" x14ac:dyDescent="0.45">
      <c r="B66" s="12" t="str">
        <f t="shared" si="6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6"/>
        <v>Mf1'</v>
      </c>
      <c r="C67" s="17">
        <f>H50</f>
        <v>2.7332999999999998</v>
      </c>
      <c r="D67" s="15" t="str">
        <f>C50</f>
        <v>上端筋</v>
      </c>
      <c r="E67" s="12" t="s">
        <v>18</v>
      </c>
      <c r="F67" s="12">
        <f t="array" ref="F67">C$23-D$23-bar_1(E67,4)/2</f>
        <v>163</v>
      </c>
      <c r="G67" s="12">
        <f>F67*7/8</f>
        <v>142.625</v>
      </c>
      <c r="H67" s="18">
        <f>C67*1000*1000/(G$23*G67)</f>
        <v>98.278163554237153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1.5375000000000001</v>
      </c>
      <c r="O67" s="15" t="str">
        <f>N50</f>
        <v>上端筋</v>
      </c>
      <c r="P67" s="12" t="s">
        <v>18</v>
      </c>
      <c r="Q67" s="12">
        <f t="array" ref="Q67">N$23-O$23-bar_1(P67,4)/2</f>
        <v>163</v>
      </c>
      <c r="R67" s="12">
        <f>Q67*7/8</f>
        <v>142.625</v>
      </c>
      <c r="S67" s="18">
        <f>N67*1000*1000/(R$23*R67)</f>
        <v>55.282141171711721</v>
      </c>
      <c r="T67" s="19">
        <f>bar_1(U67,1)</f>
        <v>423.33333333333337</v>
      </c>
      <c r="U67" s="18" t="str">
        <f>use_bar(S67,P67,1)</f>
        <v>D13@ 300</v>
      </c>
    </row>
    <row r="68" spans="2:21" x14ac:dyDescent="0.45">
      <c r="B68" s="12" t="str">
        <f t="shared" si="6"/>
        <v>Mf3'</v>
      </c>
      <c r="C68" s="17">
        <f>H51</f>
        <v>4.0999999999999996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163</v>
      </c>
      <c r="G68" s="12">
        <f>F68*7/8</f>
        <v>142.625</v>
      </c>
      <c r="H68" s="18">
        <f>C68*1000*1000/(G$23*G68)</f>
        <v>147.41904312456461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2.3062999999999998</v>
      </c>
      <c r="O68" s="15" t="str">
        <f>N51</f>
        <v>上端筋</v>
      </c>
      <c r="P68" s="12" t="str">
        <f>P67</f>
        <v>D13</v>
      </c>
      <c r="Q68" s="12">
        <f t="array" ref="Q68">N$23-O$23-bar_1(P68,4)/2</f>
        <v>163</v>
      </c>
      <c r="R68" s="12">
        <f>Q68*7/8</f>
        <v>142.625</v>
      </c>
      <c r="S68" s="18">
        <f>N68*1000*1000/(R$23*R68)</f>
        <v>82.925009550776409</v>
      </c>
      <c r="T68" s="19">
        <f>bar_1(U68,1)</f>
        <v>423.33333333333337</v>
      </c>
      <c r="U68" s="18" t="str">
        <f>use_bar(S68,P68,1)</f>
        <v>D13@ 300</v>
      </c>
    </row>
    <row r="69" spans="2:21" x14ac:dyDescent="0.45">
      <c r="B69" s="12" t="str">
        <f t="shared" si="6"/>
        <v>Mf5'</v>
      </c>
      <c r="C69" s="17">
        <f>H52</f>
        <v>3.28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163</v>
      </c>
      <c r="G69" s="12">
        <f>F69*7/8</f>
        <v>142.625</v>
      </c>
      <c r="H69" s="18">
        <f>C69*1000*1000/(G$23*G69)</f>
        <v>117.93523449965167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1.845</v>
      </c>
      <c r="O69" s="15" t="str">
        <f>N52</f>
        <v>上端筋</v>
      </c>
      <c r="P69" s="12" t="str">
        <f>P68</f>
        <v>D13</v>
      </c>
      <c r="Q69" s="12">
        <f t="array" ref="Q69">N$23-O$23-bar_1(P69,4)/2</f>
        <v>163</v>
      </c>
      <c r="R69" s="12">
        <f>Q69*7/8</f>
        <v>142.625</v>
      </c>
      <c r="S69" s="18">
        <f>N69*1000*1000/(R$23*R69)</f>
        <v>66.338569406054063</v>
      </c>
      <c r="T69" s="19">
        <f>bar_1(U69,1)</f>
        <v>423.33333333333337</v>
      </c>
      <c r="U69" s="18" t="str">
        <f>use_bar(S69,P69,1)</f>
        <v>D13@ 300</v>
      </c>
    </row>
    <row r="70" spans="2:21" x14ac:dyDescent="0.45">
      <c r="B70" s="12" t="str">
        <f t="shared" si="6"/>
        <v>Mf2'</v>
      </c>
      <c r="C70" s="17">
        <f>H53</f>
        <v>4.6212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143</v>
      </c>
      <c r="G70" s="12">
        <f>F70*7/8</f>
        <v>125.125</v>
      </c>
      <c r="H70" s="18">
        <f>C70*1000*1000/(G$23*G70)</f>
        <v>189.39829401367862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2.5994000000000002</v>
      </c>
      <c r="O70" s="15" t="str">
        <f>N53</f>
        <v>下端筋</v>
      </c>
      <c r="P70" s="12" t="str">
        <f>P69</f>
        <v>D13</v>
      </c>
      <c r="Q70" s="12">
        <f t="array" ref="Q70">N$23-P$23-bar_1(P70,4)/2</f>
        <v>143</v>
      </c>
      <c r="R70" s="12">
        <f>Q70*7/8</f>
        <v>125.125</v>
      </c>
      <c r="S70" s="18">
        <f>N70*1000*1000/(R$23*R70)</f>
        <v>106.535515766285</v>
      </c>
      <c r="T70" s="19">
        <f>bar_1(U70,1)</f>
        <v>423.33333333333337</v>
      </c>
      <c r="U70" s="18" t="str">
        <f>use_bar(S70,P70,1)</f>
        <v>D13@ 300</v>
      </c>
    </row>
    <row r="71" spans="2:21" x14ac:dyDescent="0.45">
      <c r="B71" s="12" t="str">
        <f t="shared" si="6"/>
        <v>Mf4'</v>
      </c>
      <c r="C71" s="17">
        <f>H54</f>
        <v>4.1624999999999996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143</v>
      </c>
      <c r="G71" s="12">
        <f>F71*7/8</f>
        <v>125.125</v>
      </c>
      <c r="H71" s="18">
        <f>C71*1000*1000/(G$23*G71)</f>
        <v>170.59863213709369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2.3414000000000001</v>
      </c>
      <c r="O71" s="15" t="str">
        <f>N54</f>
        <v>下端筋</v>
      </c>
      <c r="P71" s="12" t="str">
        <f>P70</f>
        <v>D13</v>
      </c>
      <c r="Q71" s="12">
        <f t="array" ref="Q71">N$23-P$23-bar_1(P71,4)/2</f>
        <v>143</v>
      </c>
      <c r="R71" s="12">
        <f>Q71*7/8</f>
        <v>125.125</v>
      </c>
      <c r="S71" s="18">
        <f>N71*1000*1000/(R$23*R71)</f>
        <v>95.961474423012888</v>
      </c>
      <c r="T71" s="19">
        <f>bar_1(U71,1)</f>
        <v>423.33333333333337</v>
      </c>
      <c r="U71" s="18" t="str">
        <f>use_bar(S71,P71,1)</f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0100-2C2A-42E6-9B53-0A0A1907E3ED}">
  <sheetPr codeName="Sheet6"/>
  <dimension ref="B3:U71"/>
  <sheetViews>
    <sheetView workbookViewId="0">
      <selection activeCell="M9" sqref="M9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v>500</v>
      </c>
    </row>
    <row r="4" spans="2:19" x14ac:dyDescent="0.45">
      <c r="C4" s="2" t="s">
        <v>3</v>
      </c>
      <c r="D4">
        <v>150</v>
      </c>
      <c r="E4">
        <f>D4*24000/1000</f>
        <v>3600</v>
      </c>
    </row>
    <row r="5" spans="2:19" x14ac:dyDescent="0.45">
      <c r="C5" s="2"/>
      <c r="D5" s="3" t="s">
        <v>2</v>
      </c>
      <c r="E5">
        <f>SUM(E3:E4)</f>
        <v>4100</v>
      </c>
    </row>
    <row r="6" spans="2:19" x14ac:dyDescent="0.45">
      <c r="B6" t="s">
        <v>26</v>
      </c>
      <c r="C6" s="2"/>
      <c r="D6" s="3"/>
      <c r="M6" t="s">
        <v>27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5">
      <c r="B8" s="21">
        <v>5.0999999999999996</v>
      </c>
      <c r="C8" s="21"/>
      <c r="D8" s="21">
        <f>E5</f>
        <v>4100</v>
      </c>
      <c r="E8" s="21"/>
      <c r="F8" s="21">
        <v>2900</v>
      </c>
      <c r="G8" s="21"/>
      <c r="M8" s="21">
        <v>4</v>
      </c>
      <c r="N8" s="21"/>
      <c r="O8" s="21">
        <f>D8</f>
        <v>4100</v>
      </c>
      <c r="P8" s="21"/>
      <c r="Q8" s="21">
        <f>F8</f>
        <v>2900</v>
      </c>
      <c r="R8" s="21"/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15.172499999999999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9.3332999999999995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22.758800000000001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14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18.207000000000001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11.2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11.1343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6.8491999999999997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9.9038000000000004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6.0922999999999998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5.0575000000000001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3.1111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7.5862999999999996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4.6666999999999996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6.069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3.7332999999999998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8.8158999999999992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5.4230999999999998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8.0467999999999993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4.95</v>
      </c>
    </row>
    <row r="22" spans="2:21" x14ac:dyDescent="0.45">
      <c r="B22" t="s">
        <v>23</v>
      </c>
      <c r="C22" s="21" t="s">
        <v>19</v>
      </c>
      <c r="D22" s="21" t="s">
        <v>20</v>
      </c>
      <c r="E22" s="21" t="s">
        <v>21</v>
      </c>
      <c r="G22" s="21" t="s">
        <v>25</v>
      </c>
      <c r="M22" t="s">
        <v>23</v>
      </c>
      <c r="N22" s="21" t="s">
        <v>19</v>
      </c>
      <c r="O22" s="21" t="s">
        <v>20</v>
      </c>
      <c r="P22" s="21" t="s">
        <v>21</v>
      </c>
      <c r="R22" s="21" t="s">
        <v>25</v>
      </c>
    </row>
    <row r="23" spans="2:21" x14ac:dyDescent="0.45">
      <c r="B23" t="s">
        <v>24</v>
      </c>
      <c r="C23" s="21">
        <f>D4</f>
        <v>150</v>
      </c>
      <c r="D23" s="21">
        <v>30</v>
      </c>
      <c r="E23" s="21">
        <v>50</v>
      </c>
      <c r="G23">
        <v>195</v>
      </c>
      <c r="M23" t="s">
        <v>24</v>
      </c>
      <c r="N23" s="21">
        <f>C23</f>
        <v>150</v>
      </c>
      <c r="O23" s="21">
        <v>30</v>
      </c>
      <c r="P23" s="21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15.172499999999999</v>
      </c>
      <c r="D27" s="1" t="str">
        <f>C10</f>
        <v>上端筋</v>
      </c>
      <c r="E27" t="s">
        <v>18</v>
      </c>
      <c r="F27">
        <f>C$23-D$23-bar_1(E27,4)/2</f>
        <v>113</v>
      </c>
      <c r="G27">
        <f>F27*7/8</f>
        <v>98.875</v>
      </c>
      <c r="H27" s="9">
        <f>C27*1000*1000/(G$23*G27)</f>
        <v>786.929884275017</v>
      </c>
      <c r="I27" s="9">
        <f t="array" ref="I27">bar_1(J27,1)</f>
        <v>846.66666666666674</v>
      </c>
      <c r="J27" s="9" t="str">
        <f>use_bar(H27,E27,1)</f>
        <v>D13@ 150</v>
      </c>
      <c r="M27" t="s">
        <v>7</v>
      </c>
      <c r="N27" s="6">
        <f>S10</f>
        <v>9.3332999999999995</v>
      </c>
      <c r="O27" s="1" t="str">
        <f>N10</f>
        <v>上端筋</v>
      </c>
      <c r="P27" t="s">
        <v>18</v>
      </c>
      <c r="Q27">
        <f>N$23-O$23-bar_1(P27,4)*1.5</f>
        <v>99</v>
      </c>
      <c r="R27">
        <f>Q27*7/8</f>
        <v>86.625</v>
      </c>
      <c r="S27" s="9">
        <f>N27*1000*1000/(R$23*R27)</f>
        <v>552.53191253191255</v>
      </c>
      <c r="T27" s="8">
        <f>bar_1(U27,1)</f>
        <v>635</v>
      </c>
      <c r="U27" s="9" t="str">
        <f>use_bar(S27,P27,1)</f>
        <v>D13@ 200</v>
      </c>
    </row>
    <row r="28" spans="2:21" x14ac:dyDescent="0.45">
      <c r="B28" t="s">
        <v>9</v>
      </c>
      <c r="C28" s="6">
        <f>H11</f>
        <v>22.758800000000001</v>
      </c>
      <c r="D28" s="1" t="str">
        <f>C11</f>
        <v>上端筋</v>
      </c>
      <c r="E28" t="s">
        <v>18</v>
      </c>
      <c r="F28">
        <f>C$23-D$23-bar_1(E28,4)/2</f>
        <v>113</v>
      </c>
      <c r="G28">
        <f>F28*7/8</f>
        <v>98.875</v>
      </c>
      <c r="H28" s="9">
        <f>C28*1000*1000/(G$23*G28)</f>
        <v>1180.3974196894551</v>
      </c>
      <c r="I28" s="9">
        <f t="array" ref="I28">bar_1(J28,1)</f>
        <v>1270</v>
      </c>
      <c r="J28" s="9" t="str">
        <f>use_bar(H28,E28,1)</f>
        <v>D13@ 100</v>
      </c>
      <c r="M28" t="s">
        <v>9</v>
      </c>
      <c r="N28" s="6">
        <f>S11</f>
        <v>14</v>
      </c>
      <c r="O28" s="1" t="str">
        <f>N11</f>
        <v>上端筋</v>
      </c>
      <c r="P28" t="str">
        <f>P27</f>
        <v>D13</v>
      </c>
      <c r="Q28">
        <f>N$23-O$23-bar_1(P28,4)*1.5</f>
        <v>99</v>
      </c>
      <c r="R28">
        <f>Q28*7/8</f>
        <v>86.625</v>
      </c>
      <c r="S28" s="9">
        <f>N28*1000*1000/(R$23*R28)</f>
        <v>828.80082880082875</v>
      </c>
      <c r="T28" s="8">
        <f>bar_1(U28,1)</f>
        <v>846.66666666666674</v>
      </c>
      <c r="U28" s="9" t="str">
        <f>use_bar(S28,P28,1)</f>
        <v>D13@ 150</v>
      </c>
    </row>
    <row r="29" spans="2:21" x14ac:dyDescent="0.45">
      <c r="B29" t="s">
        <v>10</v>
      </c>
      <c r="C29" s="6">
        <f>H12</f>
        <v>18.207000000000001</v>
      </c>
      <c r="D29" s="1" t="str">
        <f>C12</f>
        <v>上端筋</v>
      </c>
      <c r="E29" t="str">
        <f>E28</f>
        <v>D13</v>
      </c>
      <c r="F29">
        <f t="array" ref="F29">C$23-D$23-bar_1(E29,4)/2</f>
        <v>113</v>
      </c>
      <c r="G29">
        <f>F29*7/8</f>
        <v>98.875</v>
      </c>
      <c r="H29" s="9">
        <f>C29*1000*1000/(G$23*G29)</f>
        <v>944.31586113002038</v>
      </c>
      <c r="I29" s="9">
        <f t="array" ref="I29">bar_1(J29,1)</f>
        <v>1270</v>
      </c>
      <c r="J29" s="9" t="str">
        <f>use_bar(H29,E29,1)</f>
        <v>D13@ 100</v>
      </c>
      <c r="M29" t="s">
        <v>10</v>
      </c>
      <c r="N29" s="6">
        <f>S12</f>
        <v>11.2</v>
      </c>
      <c r="O29" s="1" t="str">
        <f>N12</f>
        <v>上端筋</v>
      </c>
      <c r="P29" t="str">
        <f>P28</f>
        <v>D13</v>
      </c>
      <c r="Q29">
        <f>N$23-O$23-bar_1(P29,4)*1.5</f>
        <v>99</v>
      </c>
      <c r="R29">
        <f>Q29*7/8</f>
        <v>86.625</v>
      </c>
      <c r="S29" s="9">
        <f>N29*1000*1000/(R$23*R29)</f>
        <v>663.04066304066305</v>
      </c>
      <c r="T29" s="8">
        <f>bar_1(U29,1)</f>
        <v>846.66666666666674</v>
      </c>
      <c r="U29" s="9" t="str">
        <f>use_bar(S29,P29,1)</f>
        <v>D13@ 150</v>
      </c>
    </row>
    <row r="30" spans="2:21" x14ac:dyDescent="0.45">
      <c r="B30" t="s">
        <v>8</v>
      </c>
      <c r="C30" s="6">
        <f>H13</f>
        <v>11.1343</v>
      </c>
      <c r="D30" s="1" t="str">
        <f>C13</f>
        <v>下端筋</v>
      </c>
      <c r="E30" t="s">
        <v>18</v>
      </c>
      <c r="F30">
        <f>C$23-E$23-bar_1(E30,4)/2</f>
        <v>93</v>
      </c>
      <c r="G30">
        <f>F30*7/8</f>
        <v>81.375</v>
      </c>
      <c r="H30" s="9">
        <f>C30*1000*1000/(G$23*G30)</f>
        <v>701.67710425774942</v>
      </c>
      <c r="I30" s="9">
        <f t="array" ref="I30">bar_1(J30,1)</f>
        <v>846.66666666666674</v>
      </c>
      <c r="J30" s="9" t="str">
        <f>use_bar(H30,E30,1)</f>
        <v>D13@ 150</v>
      </c>
      <c r="M30" t="s">
        <v>8</v>
      </c>
      <c r="N30" s="6">
        <f>S13</f>
        <v>6.8491999999999997</v>
      </c>
      <c r="O30" s="1" t="str">
        <f>N13</f>
        <v>下端筋</v>
      </c>
      <c r="P30" t="str">
        <f>P29</f>
        <v>D13</v>
      </c>
      <c r="Q30">
        <f>N$23-P$23-bar_1(P30,4)*1.5</f>
        <v>79</v>
      </c>
      <c r="R30">
        <f>Q30*7/8</f>
        <v>69.125</v>
      </c>
      <c r="S30" s="9">
        <f>N30*1000*1000/(R$23*R30)</f>
        <v>508.12444939027216</v>
      </c>
      <c r="T30" s="8">
        <f>bar_1(U30,1)</f>
        <v>635</v>
      </c>
      <c r="U30" s="9" t="str">
        <f>use_bar(S30,P30,1)</f>
        <v>D13@ 200</v>
      </c>
    </row>
    <row r="31" spans="2:21" x14ac:dyDescent="0.45">
      <c r="B31" t="s">
        <v>14</v>
      </c>
      <c r="C31" s="6">
        <f>H14</f>
        <v>9.9038000000000004</v>
      </c>
      <c r="D31" s="1" t="str">
        <f>C14</f>
        <v>下端筋</v>
      </c>
      <c r="E31" t="str">
        <f>E30</f>
        <v>D13</v>
      </c>
      <c r="F31">
        <f t="array" ref="F31">C$23-E$23-bar_1(E31,4)/2</f>
        <v>93</v>
      </c>
      <c r="G31">
        <f>F31*7/8</f>
        <v>81.375</v>
      </c>
      <c r="H31" s="9">
        <f>C31*1000*1000/(G$23*G31)</f>
        <v>624.13171058332364</v>
      </c>
      <c r="I31" s="9">
        <f>bar_1(J31,1)</f>
        <v>635</v>
      </c>
      <c r="J31" s="9" t="str">
        <f>use_bar(H31,E31,1)</f>
        <v>D13@ 200</v>
      </c>
      <c r="M31" t="s">
        <v>14</v>
      </c>
      <c r="N31" s="6">
        <f>S14</f>
        <v>6.0922999999999998</v>
      </c>
      <c r="O31" s="1" t="str">
        <f>N14</f>
        <v>下端筋</v>
      </c>
      <c r="P31" t="str">
        <f>P30</f>
        <v>D13</v>
      </c>
      <c r="Q31">
        <f>N$23-P$23-bar_1(P31,4)*1.5</f>
        <v>79</v>
      </c>
      <c r="R31">
        <f>Q31*7/8</f>
        <v>69.125</v>
      </c>
      <c r="S31" s="9">
        <f>N31*1000*1000/(R$23*R31)</f>
        <v>451.97199425047529</v>
      </c>
      <c r="T31" s="8">
        <f>bar_1(U31,1)</f>
        <v>508</v>
      </c>
      <c r="U31" s="9" t="str">
        <f>use_bar(S31,P31,1)</f>
        <v>D13@ 250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5.0575000000000001</v>
      </c>
      <c r="D33" s="1" t="str">
        <f>C16</f>
        <v>上端筋</v>
      </c>
      <c r="E33" t="s">
        <v>18</v>
      </c>
      <c r="F33">
        <f t="array" ref="F33">C$23-D$23-bar_1(E33,4)/2</f>
        <v>113</v>
      </c>
      <c r="G33">
        <f>F33*7/8</f>
        <v>98.875</v>
      </c>
      <c r="H33" s="9">
        <f>C33*1000*1000/(G$23*G33)</f>
        <v>262.30996142500567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3.1111</v>
      </c>
      <c r="O33" s="1" t="str">
        <f>N16</f>
        <v>上端筋</v>
      </c>
      <c r="P33" t="s">
        <v>18</v>
      </c>
      <c r="Q33">
        <f>N$23-O$23-bar_1(P33,4)*1.5</f>
        <v>99</v>
      </c>
      <c r="R33">
        <f>Q33*7/8</f>
        <v>86.625</v>
      </c>
      <c r="S33" s="9">
        <f>N33*1000*1000/(R$23*R33)</f>
        <v>184.17730417730417</v>
      </c>
      <c r="T33" s="8">
        <f>bar_1(U33,1)</f>
        <v>423.33333333333337</v>
      </c>
      <c r="U33" s="9" t="str">
        <f>use_bar(S33,P33,1)</f>
        <v>D13@ 300</v>
      </c>
    </row>
    <row r="34" spans="2:21" x14ac:dyDescent="0.45">
      <c r="B34" t="s">
        <v>5</v>
      </c>
      <c r="C34" s="6">
        <f>H17</f>
        <v>7.5862999999999996</v>
      </c>
      <c r="D34" s="1" t="str">
        <f>C17</f>
        <v>上端筋</v>
      </c>
      <c r="E34" t="str">
        <f>E33</f>
        <v>D13</v>
      </c>
      <c r="F34">
        <f t="array" ref="F34">C$23-D$23-bar_1(E34,4)/2</f>
        <v>113</v>
      </c>
      <c r="G34">
        <f>F34*7/8</f>
        <v>98.875</v>
      </c>
      <c r="H34" s="9">
        <f>C34*1000*1000/(G$23*G34)</f>
        <v>393.46753541443803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4.6666999999999996</v>
      </c>
      <c r="O34" s="1" t="str">
        <f>N17</f>
        <v>上端筋</v>
      </c>
      <c r="P34" t="str">
        <f>P33</f>
        <v>D13</v>
      </c>
      <c r="Q34">
        <f>N$23-O$23-bar_1(P34,4)*1.5</f>
        <v>99</v>
      </c>
      <c r="R34">
        <f>Q34*7/8</f>
        <v>86.625</v>
      </c>
      <c r="S34" s="9">
        <f>N34*1000*1000/(R$23*R34)</f>
        <v>276.26891626891626</v>
      </c>
      <c r="T34" s="8">
        <f>bar_1(U34,1)</f>
        <v>423.33333333333337</v>
      </c>
      <c r="U34" s="9" t="str">
        <f>use_bar(S34,P34,1)</f>
        <v>D13@ 300</v>
      </c>
    </row>
    <row r="35" spans="2:21" x14ac:dyDescent="0.45">
      <c r="B35" t="s">
        <v>6</v>
      </c>
      <c r="C35" s="6">
        <f>H18</f>
        <v>6.069</v>
      </c>
      <c r="D35" s="1" t="str">
        <f>C18</f>
        <v>上端筋</v>
      </c>
      <c r="E35" t="str">
        <f>E34</f>
        <v>D13</v>
      </c>
      <c r="F35">
        <f t="array" ref="F35">C$23-D$23-bar_1(E35,4)/2</f>
        <v>113</v>
      </c>
      <c r="G35">
        <f>F35*7/8</f>
        <v>98.875</v>
      </c>
      <c r="H35" s="9">
        <f>C35*1000*1000/(G$23*G35)</f>
        <v>314.77195371000681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3.7332999999999998</v>
      </c>
      <c r="O35" s="1" t="str">
        <f>N18</f>
        <v>上端筋</v>
      </c>
      <c r="P35" t="str">
        <f>P34</f>
        <v>D13</v>
      </c>
      <c r="Q35">
        <f>N$23-O$23-bar_1(P35,4)*1.5</f>
        <v>99</v>
      </c>
      <c r="R35">
        <f>Q35*7/8</f>
        <v>86.625</v>
      </c>
      <c r="S35" s="9">
        <f>N35*1000*1000/(R$23*R35)</f>
        <v>221.01158101158097</v>
      </c>
      <c r="T35" s="8">
        <f>bar_1(U35,1)</f>
        <v>423.33333333333337</v>
      </c>
      <c r="U35" s="9" t="str">
        <f>use_bar(S35,P35,1)</f>
        <v>D13@ 300</v>
      </c>
    </row>
    <row r="36" spans="2:21" x14ac:dyDescent="0.45">
      <c r="B36" t="s">
        <v>16</v>
      </c>
      <c r="C36" s="6">
        <f>H19</f>
        <v>8.8158999999999992</v>
      </c>
      <c r="D36" s="1" t="str">
        <f>C19</f>
        <v>下端筋</v>
      </c>
      <c r="E36" t="str">
        <f>E35</f>
        <v>D13</v>
      </c>
      <c r="F36">
        <f t="array" ref="F36">C$23-E$23-bar_1(E36,4)/2</f>
        <v>93</v>
      </c>
      <c r="G36">
        <f>F36*7/8</f>
        <v>81.375</v>
      </c>
      <c r="H36" s="9">
        <f>C36*1000*1000/(G$23*G36)</f>
        <v>555.57288589546658</v>
      </c>
      <c r="I36" s="9">
        <f>bar_1(J36,1)</f>
        <v>635</v>
      </c>
      <c r="J36" s="9" t="str">
        <f>use_bar(H36,E36,1)</f>
        <v>D13@ 200</v>
      </c>
      <c r="M36" t="s">
        <v>16</v>
      </c>
      <c r="N36" s="6">
        <f>S19</f>
        <v>5.4230999999999998</v>
      </c>
      <c r="O36" s="1" t="str">
        <f>N19</f>
        <v>下端筋</v>
      </c>
      <c r="P36" t="str">
        <f>P35</f>
        <v>D13</v>
      </c>
      <c r="Q36">
        <f>N$23-P$23-bar_1(P36,4)*1.5</f>
        <v>79</v>
      </c>
      <c r="R36">
        <f>Q36*7/8</f>
        <v>69.125</v>
      </c>
      <c r="S36" s="9">
        <f>N36*1000*1000/(R$23*R36)</f>
        <v>402.32577549033238</v>
      </c>
      <c r="T36" s="8">
        <f>bar_1(U36,1)</f>
        <v>423.33333333333337</v>
      </c>
      <c r="U36" s="9" t="str">
        <f>use_bar(S36,P36,1)</f>
        <v>D13@ 300</v>
      </c>
    </row>
    <row r="37" spans="2:21" x14ac:dyDescent="0.45">
      <c r="B37" t="s">
        <v>17</v>
      </c>
      <c r="C37" s="6">
        <f>H20</f>
        <v>8.0467999999999993</v>
      </c>
      <c r="D37" s="1" t="str">
        <f>C20</f>
        <v>下端筋</v>
      </c>
      <c r="E37" t="str">
        <f>E36</f>
        <v>D13</v>
      </c>
      <c r="F37">
        <f t="array" ref="F37">C$23-E$23-bar_1(E37,4)/2</f>
        <v>93</v>
      </c>
      <c r="G37">
        <f>F37*7/8</f>
        <v>81.375</v>
      </c>
      <c r="H37" s="9">
        <f>C37*1000*1000/(G$23*G37)</f>
        <v>507.1046516207806</v>
      </c>
      <c r="I37" s="9">
        <f>bar_1(J37,1)</f>
        <v>508</v>
      </c>
      <c r="J37" s="9" t="str">
        <f>use_bar(H37,E37,1)</f>
        <v>D13@ 250</v>
      </c>
      <c r="M37" t="s">
        <v>17</v>
      </c>
      <c r="N37" s="6">
        <f>S20</f>
        <v>4.95</v>
      </c>
      <c r="O37" s="1" t="str">
        <f>N20</f>
        <v>下端筋</v>
      </c>
      <c r="P37" t="str">
        <f>P36</f>
        <v>D13</v>
      </c>
      <c r="Q37">
        <f>N$23-P$23-bar_1(P37,4)*1.5</f>
        <v>79</v>
      </c>
      <c r="R37">
        <f>Q37*7/8</f>
        <v>69.125</v>
      </c>
      <c r="S37" s="9">
        <f>N37*1000*1000/(R$23*R37)</f>
        <v>367.22770899986091</v>
      </c>
      <c r="T37" s="8">
        <f>bar_1(U37,1)</f>
        <v>423.33333333333337</v>
      </c>
      <c r="U37" s="9" t="str">
        <f>use_bar(S37,P37,1)</f>
        <v>D13@ 300</v>
      </c>
    </row>
    <row r="40" spans="2:21" x14ac:dyDescent="0.45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f>B8</f>
        <v>5.0999999999999996</v>
      </c>
      <c r="C42" s="14"/>
      <c r="D42" s="14">
        <f>+D8</f>
        <v>4100</v>
      </c>
      <c r="E42" s="14"/>
      <c r="F42" s="14">
        <f>F8</f>
        <v>2900</v>
      </c>
      <c r="G42" s="14"/>
      <c r="H42" s="12"/>
      <c r="I42" s="12"/>
      <c r="J42" s="12"/>
      <c r="K42" s="12"/>
      <c r="L42" s="12"/>
      <c r="M42" s="14">
        <f>+M8</f>
        <v>4</v>
      </c>
      <c r="N42" s="14"/>
      <c r="O42" s="14">
        <f>+O8</f>
        <v>4100</v>
      </c>
      <c r="P42" s="14"/>
      <c r="Q42" s="14">
        <f>Q8</f>
        <v>2900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7.5862999999999996</v>
      </c>
      <c r="I44" s="23">
        <f>J44/2-H44</f>
        <v>-4.9999999999883471E-5</v>
      </c>
      <c r="J44" s="17">
        <f t="shared" ref="J44:J54" si="0">+H10</f>
        <v>15.172499999999999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4.6666999999999996</v>
      </c>
      <c r="T44" s="12">
        <f>+U44/2-S44</f>
        <v>-4.9999999999883471E-5</v>
      </c>
      <c r="U44" s="17">
        <f>S10</f>
        <v>9.3332999999999995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11.3794</v>
      </c>
      <c r="I45" s="23">
        <f>J45/2-H45</f>
        <v>0</v>
      </c>
      <c r="J45" s="17">
        <f t="shared" si="0"/>
        <v>22.758800000000001</v>
      </c>
      <c r="K45" s="12"/>
      <c r="L45" s="12"/>
      <c r="M45" s="12" t="str">
        <f t="shared" ref="M45:M54" si="1">B45</f>
        <v>Mg3'</v>
      </c>
      <c r="N45" s="15" t="str">
        <f t="shared" ref="N45:N54" si="2">flat_slab_side(M$8,O$8/10000,Q$8/1000,M45,3)</f>
        <v>上端筋</v>
      </c>
      <c r="O45" s="12"/>
      <c r="P45" s="12"/>
      <c r="Q45" s="12"/>
      <c r="R45" s="16" t="str">
        <f t="shared" ref="R45:R54" si="3">flat_slab_side(M$8,O$8/10000,Q$8/1000,M45,2)</f>
        <v>Mg3'=L ^ 2 / 8 * (g + p) /2=</v>
      </c>
      <c r="S45" s="17">
        <f t="shared" ref="S45:S54" si="4">ROUND(flat_slab_side(M$8,O$8/1000,Q$8/1000,M45,1),4)</f>
        <v>7</v>
      </c>
      <c r="T45" s="12">
        <f>+U45/2-S45</f>
        <v>0</v>
      </c>
      <c r="U45" s="17">
        <f t="shared" ref="U45:U54" si="5">S11</f>
        <v>14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9.1035000000000004</v>
      </c>
      <c r="I46" s="23">
        <f>J46/2-H46</f>
        <v>0</v>
      </c>
      <c r="J46" s="17">
        <f t="shared" si="0"/>
        <v>18.207000000000001</v>
      </c>
      <c r="K46" s="12"/>
      <c r="L46" s="12"/>
      <c r="M46" s="12" t="str">
        <f t="shared" si="1"/>
        <v>Mg5'</v>
      </c>
      <c r="N46" s="15" t="str">
        <f t="shared" si="2"/>
        <v>上端筋</v>
      </c>
      <c r="O46" s="12"/>
      <c r="P46" s="12"/>
      <c r="Q46" s="12"/>
      <c r="R46" s="16" t="str">
        <f t="shared" si="3"/>
        <v>Mg5'=L ^ 2 / 10 * (g + p) /2=</v>
      </c>
      <c r="S46" s="17">
        <f t="shared" si="4"/>
        <v>5.6</v>
      </c>
      <c r="T46" s="12">
        <f>+U46/2-S46</f>
        <v>0</v>
      </c>
      <c r="U46" s="17">
        <f t="shared" si="5"/>
        <v>11.2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5.5670999999999999</v>
      </c>
      <c r="I47" s="23">
        <f>J47/2-H47</f>
        <v>4.9999999999883471E-5</v>
      </c>
      <c r="J47" s="17">
        <f t="shared" si="0"/>
        <v>11.1343</v>
      </c>
      <c r="K47" s="12"/>
      <c r="L47" s="12"/>
      <c r="M47" s="12" t="str">
        <f t="shared" si="1"/>
        <v>Mg2'</v>
      </c>
      <c r="N47" s="15" t="str">
        <f t="shared" si="2"/>
        <v>下端筋</v>
      </c>
      <c r="O47" s="12"/>
      <c r="P47" s="12"/>
      <c r="Q47" s="12"/>
      <c r="R47" s="16" t="str">
        <f t="shared" si="3"/>
        <v>Mg2'=L ^ 2 * (g / 20 + p / 13) /2=</v>
      </c>
      <c r="S47" s="17">
        <f t="shared" si="4"/>
        <v>3.4245999999999999</v>
      </c>
      <c r="T47" s="12">
        <f>+U47/2-S47</f>
        <v>0</v>
      </c>
      <c r="U47" s="17">
        <f t="shared" si="5"/>
        <v>6.8491999999999997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4.9519000000000002</v>
      </c>
      <c r="I48" s="23">
        <f>J48/2-H48</f>
        <v>0</v>
      </c>
      <c r="J48" s="17">
        <f t="shared" si="0"/>
        <v>9.9038000000000004</v>
      </c>
      <c r="K48" s="12"/>
      <c r="L48" s="12"/>
      <c r="M48" s="12" t="str">
        <f t="shared" si="1"/>
        <v>Mg4'</v>
      </c>
      <c r="N48" s="15" t="str">
        <f t="shared" si="2"/>
        <v>下端筋</v>
      </c>
      <c r="O48" s="12"/>
      <c r="P48" s="12"/>
      <c r="Q48" s="12"/>
      <c r="R48" s="16" t="str">
        <f t="shared" si="3"/>
        <v>Mg4'=L ^ 2 * (g / 26 + p / 13) /2=</v>
      </c>
      <c r="S48" s="17">
        <f t="shared" si="4"/>
        <v>3.0461999999999998</v>
      </c>
      <c r="T48" s="12">
        <f>+U48/2-S48</f>
        <v>-4.9999999999883471E-5</v>
      </c>
      <c r="U48" s="17">
        <f t="shared" si="5"/>
        <v>6.0922999999999998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23"/>
      <c r="J49" s="17">
        <f t="shared" si="0"/>
        <v>0</v>
      </c>
      <c r="K49" s="12"/>
      <c r="L49" s="12"/>
      <c r="M49" s="12" t="str">
        <f t="shared" si="1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3.7930999999999999</v>
      </c>
      <c r="I50" s="23">
        <f>J50*3/4-H50</f>
        <v>2.4999999999941735E-5</v>
      </c>
      <c r="J50" s="17">
        <f t="shared" si="0"/>
        <v>5.0575000000000001</v>
      </c>
      <c r="K50" s="12"/>
      <c r="L50" s="12"/>
      <c r="M50" s="12" t="str">
        <f t="shared" si="1"/>
        <v>Mf1'</v>
      </c>
      <c r="N50" s="15" t="str">
        <f t="shared" si="2"/>
        <v>上端筋</v>
      </c>
      <c r="O50" s="12"/>
      <c r="P50" s="12"/>
      <c r="Q50" s="12"/>
      <c r="R50" s="16" t="str">
        <f t="shared" si="3"/>
        <v>Mf1'=L ^ 2 / 36 * (g + p) * 3/4=</v>
      </c>
      <c r="S50" s="17">
        <f t="shared" si="4"/>
        <v>2.3332999999999999</v>
      </c>
      <c r="T50" s="12">
        <f>+U50*3/4-S50</f>
        <v>2.4999999999941735E-5</v>
      </c>
      <c r="U50" s="17">
        <f t="shared" si="5"/>
        <v>3.1111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5.6897000000000002</v>
      </c>
      <c r="I51" s="23">
        <f>J51*3/4-H51</f>
        <v>2.4999999999053557E-5</v>
      </c>
      <c r="J51" s="17">
        <f t="shared" si="0"/>
        <v>7.5862999999999996</v>
      </c>
      <c r="K51" s="12"/>
      <c r="L51" s="12"/>
      <c r="M51" s="12" t="str">
        <f t="shared" si="1"/>
        <v>Mf3'</v>
      </c>
      <c r="N51" s="15" t="str">
        <f t="shared" si="2"/>
        <v>上端筋</v>
      </c>
      <c r="O51" s="12"/>
      <c r="P51" s="12"/>
      <c r="Q51" s="12"/>
      <c r="R51" s="16" t="str">
        <f t="shared" si="3"/>
        <v>Mf3'= L ^ 2 / 24 * (g + p) * 3/4=</v>
      </c>
      <c r="S51" s="17">
        <f t="shared" si="4"/>
        <v>3.5</v>
      </c>
      <c r="T51" s="12">
        <f>+U51*3/4-S51</f>
        <v>2.4999999999941735E-5</v>
      </c>
      <c r="U51" s="17">
        <f t="shared" si="5"/>
        <v>4.6666999999999996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4.5518000000000001</v>
      </c>
      <c r="I52" s="23">
        <f>J52*3/4-H52</f>
        <v>-4.9999999999883471E-5</v>
      </c>
      <c r="J52" s="17">
        <f t="shared" si="0"/>
        <v>6.069</v>
      </c>
      <c r="K52" s="12"/>
      <c r="L52" s="12"/>
      <c r="M52" s="12" t="str">
        <f t="shared" si="1"/>
        <v>Mf5'</v>
      </c>
      <c r="N52" s="15" t="str">
        <f t="shared" si="2"/>
        <v>上端筋</v>
      </c>
      <c r="O52" s="12"/>
      <c r="P52" s="12"/>
      <c r="Q52" s="12"/>
      <c r="R52" s="16" t="str">
        <f t="shared" si="3"/>
        <v>Mf5'= L ^ 2 / 30 * (g + p) * 3/4=</v>
      </c>
      <c r="S52" s="17">
        <f t="shared" si="4"/>
        <v>2.8</v>
      </c>
      <c r="T52" s="12">
        <f>+U52*3/4-S52</f>
        <v>-2.4999999999941735E-5</v>
      </c>
      <c r="U52" s="17">
        <f t="shared" si="5"/>
        <v>3.7332999999999998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6.6119000000000003</v>
      </c>
      <c r="I53" s="23">
        <f>J53*3/4-H53</f>
        <v>2.4999999999053557E-5</v>
      </c>
      <c r="J53" s="17">
        <f t="shared" si="0"/>
        <v>8.8158999999999992</v>
      </c>
      <c r="K53" s="12"/>
      <c r="L53" s="12"/>
      <c r="M53" s="12" t="str">
        <f t="shared" si="1"/>
        <v>Mf2'</v>
      </c>
      <c r="N53" s="15" t="str">
        <f t="shared" si="2"/>
        <v>下端筋</v>
      </c>
      <c r="O53" s="12"/>
      <c r="P53" s="12"/>
      <c r="Q53" s="12"/>
      <c r="R53" s="16" t="str">
        <f t="shared" si="3"/>
        <v>Mf2'=L ^2 * (g / 26 + p / 16) * 3/4=</v>
      </c>
      <c r="S53" s="17">
        <f t="shared" si="4"/>
        <v>4.0673000000000004</v>
      </c>
      <c r="T53" s="12">
        <f>+U53*3/4-S53</f>
        <v>2.4999999999941735E-5</v>
      </c>
      <c r="U53" s="17">
        <f t="shared" si="5"/>
        <v>5.4230999999999998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6.0350999999999999</v>
      </c>
      <c r="I54" s="23">
        <f>J54*3/4-H54</f>
        <v>0</v>
      </c>
      <c r="J54" s="17">
        <f t="shared" si="0"/>
        <v>8.0467999999999993</v>
      </c>
      <c r="K54" s="12"/>
      <c r="L54" s="12"/>
      <c r="M54" s="12" t="str">
        <f t="shared" si="1"/>
        <v>Mf4'</v>
      </c>
      <c r="N54" s="15" t="str">
        <f t="shared" si="2"/>
        <v>下端筋</v>
      </c>
      <c r="O54" s="12"/>
      <c r="P54" s="12"/>
      <c r="Q54" s="12"/>
      <c r="R54" s="16" t="str">
        <f t="shared" si="3"/>
        <v>Mf4'=L ^ 2 * (g / 32 + p / 16) * 3/4=</v>
      </c>
      <c r="S54" s="17">
        <f t="shared" si="4"/>
        <v>3.7124999999999999</v>
      </c>
      <c r="T54" s="12">
        <f>+U54*3/4-S54</f>
        <v>0</v>
      </c>
      <c r="U54" s="17">
        <f t="shared" si="5"/>
        <v>4.95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150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150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7.5862999999999996</v>
      </c>
      <c r="D61" s="15" t="str">
        <f>C44</f>
        <v>上端筋</v>
      </c>
      <c r="E61" s="12" t="s">
        <v>18</v>
      </c>
      <c r="F61" s="12">
        <f t="array" ref="F61">C$23-D$23-bar_1(E61,4)/2</f>
        <v>113</v>
      </c>
      <c r="G61" s="12">
        <f>F61*7/8</f>
        <v>98.875</v>
      </c>
      <c r="H61" s="18">
        <f>C61*1000*1000/(G$23*G61)</f>
        <v>393.46753541443803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4.6666999999999996</v>
      </c>
      <c r="O61" s="15" t="str">
        <f>N44</f>
        <v>上端筋</v>
      </c>
      <c r="P61" s="12" t="s">
        <v>18</v>
      </c>
      <c r="Q61" s="12">
        <f>N$23-O$23-bar_1(P61,4)/2</f>
        <v>113</v>
      </c>
      <c r="R61" s="12">
        <f>Q61*7/8</f>
        <v>98.875</v>
      </c>
      <c r="S61" s="18">
        <f>N61*1000*1000/(R$23*R61)</f>
        <v>242.04090894356381</v>
      </c>
      <c r="T61" s="19">
        <f>bar_1(U61,1)</f>
        <v>423.33333333333337</v>
      </c>
      <c r="U61" s="18" t="str">
        <f>use_bar(S61,P61,1)</f>
        <v>D13@ 300</v>
      </c>
    </row>
    <row r="62" spans="2:21" x14ac:dyDescent="0.45">
      <c r="B62" s="12" t="str">
        <f t="shared" ref="B62:B71" si="6">B45</f>
        <v>Mg3'</v>
      </c>
      <c r="C62" s="17">
        <f>H45</f>
        <v>11.3794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113</v>
      </c>
      <c r="G62" s="12">
        <f>F62*7/8</f>
        <v>98.875</v>
      </c>
      <c r="H62" s="18">
        <f>C62*1000*1000/(G$23*G62)</f>
        <v>590.19870984472755</v>
      </c>
      <c r="I62" s="19">
        <f>bar_1(J62,1)</f>
        <v>635</v>
      </c>
      <c r="J62" s="18" t="str">
        <f>use_bar(H62,E62,1)</f>
        <v>D13@ 200</v>
      </c>
      <c r="K62" s="12"/>
      <c r="L62" s="12"/>
      <c r="M62" s="12" t="s">
        <v>9</v>
      </c>
      <c r="N62" s="17">
        <f>S45</f>
        <v>7</v>
      </c>
      <c r="O62" s="15" t="str">
        <f>N45</f>
        <v>上端筋</v>
      </c>
      <c r="P62" s="12" t="str">
        <f>P61</f>
        <v>D13</v>
      </c>
      <c r="Q62" s="12">
        <f t="array" ref="Q62">N$23-O$23-bar_1(P62,4)/2</f>
        <v>113</v>
      </c>
      <c r="R62" s="12">
        <f>Q62*7/8</f>
        <v>98.875</v>
      </c>
      <c r="S62" s="18">
        <f>N62*1000*1000/(R$23*R62)</f>
        <v>363.05877013841615</v>
      </c>
      <c r="T62" s="19">
        <f>bar_1(U62,1)</f>
        <v>423.33333333333337</v>
      </c>
      <c r="U62" s="18" t="str">
        <f>use_bar(S62,P62,1)</f>
        <v>D13@ 300</v>
      </c>
    </row>
    <row r="63" spans="2:21" x14ac:dyDescent="0.45">
      <c r="B63" s="12" t="str">
        <f t="shared" si="6"/>
        <v>Mg5'</v>
      </c>
      <c r="C63" s="17">
        <f>H46</f>
        <v>9.1035000000000004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113</v>
      </c>
      <c r="G63" s="12">
        <f>F63*7/8</f>
        <v>98.875</v>
      </c>
      <c r="H63" s="18">
        <f>C63*1000*1000/(G$23*G63)</f>
        <v>472.15793056501019</v>
      </c>
      <c r="I63" s="19">
        <f>bar_1(J63,1)</f>
        <v>508</v>
      </c>
      <c r="J63" s="18" t="str">
        <f>use_bar(H63,E63,1)</f>
        <v>D13@ 250</v>
      </c>
      <c r="K63" s="12"/>
      <c r="L63" s="12"/>
      <c r="M63" s="12" t="s">
        <v>10</v>
      </c>
      <c r="N63" s="17">
        <f>S46</f>
        <v>5.6</v>
      </c>
      <c r="O63" s="15" t="str">
        <f>N46</f>
        <v>上端筋</v>
      </c>
      <c r="P63" s="12" t="str">
        <f>P62</f>
        <v>D13</v>
      </c>
      <c r="Q63" s="12">
        <f t="array" ref="Q63">N$23-O$23-bar_1(P63,4)/2</f>
        <v>113</v>
      </c>
      <c r="R63" s="12">
        <f>Q63*7/8</f>
        <v>98.875</v>
      </c>
      <c r="S63" s="18">
        <f>N63*1000*1000/(R$23*R63)</f>
        <v>290.44701611073293</v>
      </c>
      <c r="T63" s="19">
        <f>bar_1(U63,1)</f>
        <v>423.33333333333337</v>
      </c>
      <c r="U63" s="18" t="str">
        <f>use_bar(S63,P63,1)</f>
        <v>D13@ 300</v>
      </c>
    </row>
    <row r="64" spans="2:21" x14ac:dyDescent="0.45">
      <c r="B64" s="12" t="str">
        <f t="shared" si="6"/>
        <v>Mg2'</v>
      </c>
      <c r="C64" s="17">
        <f>H47</f>
        <v>5.5670999999999999</v>
      </c>
      <c r="D64" s="15" t="str">
        <f>C47</f>
        <v>下端筋</v>
      </c>
      <c r="E64" s="12" t="s">
        <v>18</v>
      </c>
      <c r="F64" s="12">
        <f t="array" ref="F64">C$23-E$23-bar_1(E64,4)/2</f>
        <v>93</v>
      </c>
      <c r="G64" s="12">
        <f>F64*7/8</f>
        <v>81.375</v>
      </c>
      <c r="H64" s="18">
        <f>C64*1000*1000/(G$23*G64)</f>
        <v>350.83540115798178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3.4245999999999999</v>
      </c>
      <c r="O64" s="15" t="str">
        <f>N47</f>
        <v>下端筋</v>
      </c>
      <c r="P64" s="12" t="s">
        <v>18</v>
      </c>
      <c r="Q64" s="12">
        <f t="array" ref="Q64">N$23-P$23-bar_1(P64,4)/2</f>
        <v>93</v>
      </c>
      <c r="R64" s="12">
        <f>Q64*7/8</f>
        <v>81.375</v>
      </c>
      <c r="S64" s="18">
        <f>N64*1000*1000/(R$23*R64)</f>
        <v>215.81629839694355</v>
      </c>
      <c r="T64" s="19">
        <f>bar_1(U64,1)</f>
        <v>423.33333333333337</v>
      </c>
      <c r="U64" s="18" t="str">
        <f>use_bar(S64,P64,1)</f>
        <v>D13@ 300</v>
      </c>
    </row>
    <row r="65" spans="2:21" x14ac:dyDescent="0.45">
      <c r="B65" s="12" t="str">
        <f t="shared" si="6"/>
        <v>Mg4'</v>
      </c>
      <c r="C65" s="17">
        <f>H48</f>
        <v>4.9519000000000002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93</v>
      </c>
      <c r="G65" s="12">
        <f>F65*7/8</f>
        <v>81.375</v>
      </c>
      <c r="H65" s="18">
        <f>C65*1000*1000/(G$23*G65)</f>
        <v>312.06585529166182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3.0461999999999998</v>
      </c>
      <c r="O65" s="15" t="str">
        <f>N48</f>
        <v>下端筋</v>
      </c>
      <c r="P65" s="12" t="str">
        <f>P64</f>
        <v>D13</v>
      </c>
      <c r="Q65" s="12">
        <f t="array" ref="Q65">N$23-P$23-bar_1(P65,4)/2</f>
        <v>93</v>
      </c>
      <c r="R65" s="12">
        <f>Q65*7/8</f>
        <v>81.375</v>
      </c>
      <c r="S65" s="18">
        <f>N65*1000*1000/(R$23*R65)</f>
        <v>191.9697506794281</v>
      </c>
      <c r="T65" s="19">
        <f>bar_1(U65,1)</f>
        <v>423.33333333333337</v>
      </c>
      <c r="U65" s="18" t="str">
        <f>use_bar(S65,P65,1)</f>
        <v>D13@ 300</v>
      </c>
    </row>
    <row r="66" spans="2:21" x14ac:dyDescent="0.45">
      <c r="B66" s="12" t="str">
        <f t="shared" si="6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6"/>
        <v>Mf1'</v>
      </c>
      <c r="C67" s="17">
        <f>H50</f>
        <v>3.7930999999999999</v>
      </c>
      <c r="D67" s="15" t="str">
        <f>C50</f>
        <v>上端筋</v>
      </c>
      <c r="E67" s="12" t="s">
        <v>18</v>
      </c>
      <c r="F67" s="12">
        <f t="array" ref="F67">C$23-D$23-bar_1(E67,4)/2</f>
        <v>113</v>
      </c>
      <c r="G67" s="12">
        <f>F67*7/8</f>
        <v>98.875</v>
      </c>
      <c r="H67" s="18">
        <f>C67*1000*1000/(G$23*G67)</f>
        <v>196.73117443028949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2.3332999999999999</v>
      </c>
      <c r="O67" s="15" t="str">
        <f>N50</f>
        <v>上端筋</v>
      </c>
      <c r="P67" s="12" t="s">
        <v>18</v>
      </c>
      <c r="Q67" s="12">
        <f t="array" ref="Q67">N$23-O$23-bar_1(P67,4)/2</f>
        <v>113</v>
      </c>
      <c r="R67" s="12">
        <f>Q67*7/8</f>
        <v>98.875</v>
      </c>
      <c r="S67" s="18">
        <f>N67*1000*1000/(R$23*R67)</f>
        <v>121.01786119485232</v>
      </c>
      <c r="T67" s="19">
        <f>bar_1(U67,1)</f>
        <v>423.33333333333337</v>
      </c>
      <c r="U67" s="18" t="str">
        <f>use_bar(S67,P67,1)</f>
        <v>D13@ 300</v>
      </c>
    </row>
    <row r="68" spans="2:21" x14ac:dyDescent="0.45">
      <c r="B68" s="12" t="str">
        <f t="shared" si="6"/>
        <v>Mf3'</v>
      </c>
      <c r="C68" s="17">
        <f>H51</f>
        <v>5.6897000000000002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113</v>
      </c>
      <c r="G68" s="12">
        <f>F68*7/8</f>
        <v>98.875</v>
      </c>
      <c r="H68" s="18">
        <f>C68*1000*1000/(G$23*G68)</f>
        <v>295.09935492236377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3.5</v>
      </c>
      <c r="O68" s="15" t="str">
        <f>N51</f>
        <v>上端筋</v>
      </c>
      <c r="P68" s="12" t="str">
        <f>P67</f>
        <v>D13</v>
      </c>
      <c r="Q68" s="12">
        <f t="array" ref="Q68">N$23-O$23-bar_1(P68,4)/2</f>
        <v>113</v>
      </c>
      <c r="R68" s="12">
        <f>Q68*7/8</f>
        <v>98.875</v>
      </c>
      <c r="S68" s="18">
        <f>N68*1000*1000/(R$23*R68)</f>
        <v>181.52938506920808</v>
      </c>
      <c r="T68" s="19">
        <f>bar_1(U68,1)</f>
        <v>423.33333333333337</v>
      </c>
      <c r="U68" s="18" t="str">
        <f>use_bar(S68,P68,1)</f>
        <v>D13@ 300</v>
      </c>
    </row>
    <row r="69" spans="2:21" x14ac:dyDescent="0.45">
      <c r="B69" s="12" t="str">
        <f t="shared" si="6"/>
        <v>Mf5'</v>
      </c>
      <c r="C69" s="17">
        <f>H52</f>
        <v>4.5518000000000001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113</v>
      </c>
      <c r="G69" s="12">
        <f>F69*7/8</f>
        <v>98.875</v>
      </c>
      <c r="H69" s="18">
        <f>C69*1000*1000/(G$23*G69)</f>
        <v>236.08155855943465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2.8</v>
      </c>
      <c r="O69" s="15" t="str">
        <f>N52</f>
        <v>上端筋</v>
      </c>
      <c r="P69" s="12" t="str">
        <f>P68</f>
        <v>D13</v>
      </c>
      <c r="Q69" s="12">
        <f t="array" ref="Q69">N$23-O$23-bar_1(P69,4)/2</f>
        <v>113</v>
      </c>
      <c r="R69" s="12">
        <f>Q69*7/8</f>
        <v>98.875</v>
      </c>
      <c r="S69" s="18">
        <f>N69*1000*1000/(R$23*R69)</f>
        <v>145.22350805536647</v>
      </c>
      <c r="T69" s="19">
        <f>bar_1(U69,1)</f>
        <v>423.33333333333337</v>
      </c>
      <c r="U69" s="18" t="str">
        <f>use_bar(S69,P69,1)</f>
        <v>D13@ 300</v>
      </c>
    </row>
    <row r="70" spans="2:21" x14ac:dyDescent="0.45">
      <c r="B70" s="12" t="str">
        <f t="shared" si="6"/>
        <v>Mf2'</v>
      </c>
      <c r="C70" s="17">
        <f>H53</f>
        <v>6.6119000000000003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93</v>
      </c>
      <c r="G70" s="12">
        <f>F70*7/8</f>
        <v>81.375</v>
      </c>
      <c r="H70" s="18">
        <f>C70*1000*1000/(G$23*G70)</f>
        <v>416.67808893615353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4.0673000000000004</v>
      </c>
      <c r="O70" s="15" t="str">
        <f>N53</f>
        <v>下端筋</v>
      </c>
      <c r="P70" s="12" t="str">
        <f>P69</f>
        <v>D13</v>
      </c>
      <c r="Q70" s="12">
        <f t="array" ref="Q70">N$23-P$23-bar_1(P70,4)/2</f>
        <v>93</v>
      </c>
      <c r="R70" s="12">
        <f>Q70*7/8</f>
        <v>81.375</v>
      </c>
      <c r="S70" s="18">
        <f>N70*1000*1000/(R$23*R70)</f>
        <v>256.31887825436212</v>
      </c>
      <c r="T70" s="19">
        <f>bar_1(U70,1)</f>
        <v>423.33333333333337</v>
      </c>
      <c r="U70" s="18" t="str">
        <f>use_bar(S70,P70,1)</f>
        <v>D13@ 300</v>
      </c>
    </row>
    <row r="71" spans="2:21" x14ac:dyDescent="0.45">
      <c r="B71" s="12" t="str">
        <f t="shared" si="6"/>
        <v>Mf4'</v>
      </c>
      <c r="C71" s="17">
        <f>H54</f>
        <v>6.0350999999999999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93</v>
      </c>
      <c r="G71" s="12">
        <f>F71*7/8</f>
        <v>81.375</v>
      </c>
      <c r="H71" s="18">
        <f>C71*1000*1000/(G$23*G71)</f>
        <v>380.32848871558548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3.7124999999999999</v>
      </c>
      <c r="O71" s="15" t="str">
        <f>N54</f>
        <v>下端筋</v>
      </c>
      <c r="P71" s="12" t="str">
        <f>P70</f>
        <v>D13</v>
      </c>
      <c r="Q71" s="12">
        <f t="array" ref="Q71">N$23-P$23-bar_1(P71,4)/2</f>
        <v>93</v>
      </c>
      <c r="R71" s="12">
        <f>Q71*7/8</f>
        <v>81.375</v>
      </c>
      <c r="S71" s="18">
        <f>N71*1000*1000/(R$23*R71)</f>
        <v>233.95958879829848</v>
      </c>
      <c r="T71" s="19">
        <f>bar_1(U71,1)</f>
        <v>423.33333333333337</v>
      </c>
      <c r="U71" s="18" t="str">
        <f>use_bar(S71,P71,1)</f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8E22-F937-4472-89C8-B1D0D632A571}">
  <sheetPr codeName="Sheet5"/>
  <dimension ref="B3:U71"/>
  <sheetViews>
    <sheetView topLeftCell="A34" workbookViewId="0">
      <selection activeCell="P31" sqref="P31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19" x14ac:dyDescent="0.45">
      <c r="C3" s="2" t="s">
        <v>0</v>
      </c>
      <c r="E3">
        <v>500</v>
      </c>
    </row>
    <row r="4" spans="2:19" x14ac:dyDescent="0.45">
      <c r="C4" s="2" t="s">
        <v>3</v>
      </c>
      <c r="D4">
        <v>250</v>
      </c>
      <c r="E4">
        <f>D4*24000/1000</f>
        <v>6000</v>
      </c>
    </row>
    <row r="5" spans="2:19" x14ac:dyDescent="0.45">
      <c r="C5" s="2"/>
      <c r="D5" s="3" t="s">
        <v>2</v>
      </c>
      <c r="E5">
        <f>SUM(E3:E4)</f>
        <v>6500</v>
      </c>
    </row>
    <row r="6" spans="2:19" x14ac:dyDescent="0.45">
      <c r="B6" t="s">
        <v>26</v>
      </c>
      <c r="C6" s="2"/>
      <c r="D6" s="3"/>
      <c r="M6" t="s">
        <v>27</v>
      </c>
    </row>
    <row r="7" spans="2:19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5">
      <c r="B8" s="20">
        <v>5</v>
      </c>
      <c r="C8" s="20"/>
      <c r="D8" s="20">
        <f>E5</f>
        <v>6500</v>
      </c>
      <c r="E8" s="20"/>
      <c r="F8" s="20">
        <v>3950</v>
      </c>
      <c r="G8" s="20"/>
      <c r="M8" s="20">
        <v>5</v>
      </c>
      <c r="N8" s="20"/>
      <c r="O8" s="20">
        <f>D8</f>
        <v>6500</v>
      </c>
      <c r="P8" s="20"/>
      <c r="Q8" s="20">
        <f>F8</f>
        <v>3950</v>
      </c>
      <c r="R8" s="20"/>
    </row>
    <row r="9" spans="2:19" x14ac:dyDescent="0.45">
      <c r="B9" t="s">
        <v>13</v>
      </c>
      <c r="M9" t="s">
        <v>13</v>
      </c>
    </row>
    <row r="10" spans="2:19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21.770800000000001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21.770800000000001</v>
      </c>
    </row>
    <row r="11" spans="2:19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32.656300000000002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32.656300000000002</v>
      </c>
    </row>
    <row r="12" spans="2:19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26.125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26.125</v>
      </c>
    </row>
    <row r="13" spans="2:19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15.7212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15.7212</v>
      </c>
    </row>
    <row r="14" spans="2:19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13.8462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13.8462</v>
      </c>
    </row>
    <row r="15" spans="2:19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7.2568999999999999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7.2568999999999999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10.885400000000001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10.885400000000001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8.7082999999999995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8.7082999999999995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12.421900000000001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12.421900000000001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11.25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11.25</v>
      </c>
    </row>
    <row r="22" spans="2:21" x14ac:dyDescent="0.45">
      <c r="B22" t="s">
        <v>23</v>
      </c>
      <c r="C22" s="20" t="s">
        <v>19</v>
      </c>
      <c r="D22" s="20" t="s">
        <v>20</v>
      </c>
      <c r="E22" s="20" t="s">
        <v>21</v>
      </c>
      <c r="G22" s="20" t="s">
        <v>25</v>
      </c>
      <c r="M22" t="s">
        <v>23</v>
      </c>
      <c r="N22" s="20" t="s">
        <v>19</v>
      </c>
      <c r="O22" s="20" t="s">
        <v>20</v>
      </c>
      <c r="P22" s="20" t="s">
        <v>21</v>
      </c>
      <c r="R22" s="20" t="s">
        <v>25</v>
      </c>
    </row>
    <row r="23" spans="2:21" x14ac:dyDescent="0.45">
      <c r="B23" t="s">
        <v>24</v>
      </c>
      <c r="C23" s="20">
        <f>D4</f>
        <v>250</v>
      </c>
      <c r="D23" s="20">
        <v>30</v>
      </c>
      <c r="E23" s="20">
        <v>50</v>
      </c>
      <c r="G23">
        <v>195</v>
      </c>
      <c r="M23" t="s">
        <v>24</v>
      </c>
      <c r="N23" s="20">
        <f>C23</f>
        <v>250</v>
      </c>
      <c r="O23" s="20">
        <v>30</v>
      </c>
      <c r="P23" s="20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21.770800000000001</v>
      </c>
      <c r="D27" s="1" t="str">
        <f>C10</f>
        <v>上端筋</v>
      </c>
      <c r="E27" t="s">
        <v>18</v>
      </c>
      <c r="F27">
        <f>C$23-D$23-bar_1(E27,4)/2</f>
        <v>213</v>
      </c>
      <c r="G27">
        <f>F27*7/8</f>
        <v>186.375</v>
      </c>
      <c r="H27" s="9">
        <f>C27*1000*1000/(G$23*G27)</f>
        <v>599.03489311940029</v>
      </c>
      <c r="I27" s="9">
        <f t="array" ref="I27">bar_1(J27,1)</f>
        <v>635</v>
      </c>
      <c r="J27" s="9" t="str">
        <f>use_bar(H27,E27,1)</f>
        <v>D13@ 200</v>
      </c>
      <c r="M27" t="s">
        <v>7</v>
      </c>
      <c r="N27" s="6">
        <f>S10</f>
        <v>21.770800000000001</v>
      </c>
      <c r="O27" s="1" t="str">
        <f>N10</f>
        <v>上端筋</v>
      </c>
      <c r="P27" t="s">
        <v>18</v>
      </c>
      <c r="Q27">
        <f>N$23-O$23-bar_1(P27,4)*1.5</f>
        <v>199</v>
      </c>
      <c r="R27">
        <f>Q27*7/8</f>
        <v>174.125</v>
      </c>
      <c r="S27" s="9">
        <f>N27*1000*1000/(R$23*R27)</f>
        <v>641.17805142930786</v>
      </c>
      <c r="T27" s="8">
        <f>bar_1(U27,1)</f>
        <v>846.66666666666674</v>
      </c>
      <c r="U27" s="9" t="str">
        <f>use_bar(S27,P27,1)</f>
        <v>D13@ 150</v>
      </c>
    </row>
    <row r="28" spans="2:21" x14ac:dyDescent="0.45">
      <c r="B28" t="s">
        <v>9</v>
      </c>
      <c r="C28" s="6">
        <f>H11</f>
        <v>32.656300000000002</v>
      </c>
      <c r="D28" s="1" t="str">
        <f>C11</f>
        <v>上端筋</v>
      </c>
      <c r="E28" t="s">
        <v>18</v>
      </c>
      <c r="F28">
        <f>C$23-D$23-bar_1(E28,4)/2</f>
        <v>213</v>
      </c>
      <c r="G28">
        <f>F28*7/8</f>
        <v>186.375</v>
      </c>
      <c r="H28" s="9">
        <f>C28*1000*1000/(G$23*G28)</f>
        <v>898.55509123114768</v>
      </c>
      <c r="I28" s="9">
        <f t="array" ref="I28">bar_1(J28,1)</f>
        <v>1270</v>
      </c>
      <c r="J28" s="9" t="str">
        <f>use_bar(H28,E28,1)</f>
        <v>D13@ 100</v>
      </c>
      <c r="M28" t="s">
        <v>9</v>
      </c>
      <c r="N28" s="6">
        <f>S11</f>
        <v>32.656300000000002</v>
      </c>
      <c r="O28" s="1" t="str">
        <f>N11</f>
        <v>上端筋</v>
      </c>
      <c r="P28" t="str">
        <f>P27</f>
        <v>D13</v>
      </c>
      <c r="Q28">
        <f>N$23-O$23-bar_1(P28,4)*1.5</f>
        <v>199</v>
      </c>
      <c r="R28">
        <f>Q28*7/8</f>
        <v>174.125</v>
      </c>
      <c r="S28" s="9">
        <f>N28*1000*1000/(R$23*R28)</f>
        <v>961.7700222725349</v>
      </c>
      <c r="T28" s="8">
        <f>bar_1(U28,1)</f>
        <v>1270</v>
      </c>
      <c r="U28" s="9" t="str">
        <f>use_bar(S28,P28,1)</f>
        <v>D13@ 100</v>
      </c>
    </row>
    <row r="29" spans="2:21" x14ac:dyDescent="0.45">
      <c r="B29" t="s">
        <v>10</v>
      </c>
      <c r="C29" s="6">
        <f>H12</f>
        <v>26.125</v>
      </c>
      <c r="D29" s="1" t="str">
        <f>C12</f>
        <v>上端筋</v>
      </c>
      <c r="E29" t="str">
        <f>E28</f>
        <v>D13</v>
      </c>
      <c r="F29">
        <f t="array" ref="F29">C$23-D$23-bar_1(E29,4)/2</f>
        <v>213</v>
      </c>
      <c r="G29">
        <f>F29*7/8</f>
        <v>186.375</v>
      </c>
      <c r="H29" s="9">
        <f>C29*1000*1000/(G$23*G29)</f>
        <v>718.84297236409907</v>
      </c>
      <c r="I29" s="9">
        <f t="array" ref="I29">bar_1(J29,1)</f>
        <v>846.66666666666674</v>
      </c>
      <c r="J29" s="9" t="str">
        <f>use_bar(H29,E29,1)</f>
        <v>D13@ 150</v>
      </c>
      <c r="M29" t="s">
        <v>10</v>
      </c>
      <c r="N29" s="6">
        <f>S12</f>
        <v>26.125</v>
      </c>
      <c r="O29" s="1" t="str">
        <f>N12</f>
        <v>上端筋</v>
      </c>
      <c r="P29" t="str">
        <f>P28</f>
        <v>D13</v>
      </c>
      <c r="Q29">
        <f>N$23-O$23-bar_1(P29,4)*1.5</f>
        <v>199</v>
      </c>
      <c r="R29">
        <f>Q29*7/8</f>
        <v>174.125</v>
      </c>
      <c r="S29" s="9">
        <f>N29*1000*1000/(R$23*R29)</f>
        <v>769.41483976659856</v>
      </c>
      <c r="T29" s="8">
        <f>bar_1(U29,1)</f>
        <v>846.66666666666674</v>
      </c>
      <c r="U29" s="9" t="str">
        <f>use_bar(S29,P29,1)</f>
        <v>D13@ 150</v>
      </c>
    </row>
    <row r="30" spans="2:21" x14ac:dyDescent="0.45">
      <c r="B30" t="s">
        <v>8</v>
      </c>
      <c r="C30" s="6">
        <f>H13</f>
        <v>15.7212</v>
      </c>
      <c r="D30" s="1" t="str">
        <f>C13</f>
        <v>下端筋</v>
      </c>
      <c r="E30" t="s">
        <v>18</v>
      </c>
      <c r="F30">
        <f t="array" ref="F30">C$23-E$23-bar_1(E30,4)/2</f>
        <v>193</v>
      </c>
      <c r="G30">
        <f>F30*7/8</f>
        <v>168.875</v>
      </c>
      <c r="H30" s="9">
        <f>C30*1000*1000/(G$23*G30)</f>
        <v>477.40363263679319</v>
      </c>
      <c r="I30" s="9">
        <f t="array" ref="I30">bar_1(J30,1)</f>
        <v>508</v>
      </c>
      <c r="J30" s="9" t="str">
        <f>use_bar(H30,E30,1)</f>
        <v>D13@ 250</v>
      </c>
      <c r="M30" t="s">
        <v>8</v>
      </c>
      <c r="N30" s="6">
        <f>S13</f>
        <v>15.7212</v>
      </c>
      <c r="O30" s="1" t="str">
        <f>N13</f>
        <v>下端筋</v>
      </c>
      <c r="P30" t="s">
        <v>18</v>
      </c>
      <c r="Q30">
        <f>N$23-P$23-bar_1(P30,4)*1.5</f>
        <v>179</v>
      </c>
      <c r="R30">
        <f>Q30*7/8</f>
        <v>156.625</v>
      </c>
      <c r="S30" s="9">
        <f>N30*1000*1000/(R$23*R30)</f>
        <v>514.74246423967088</v>
      </c>
      <c r="T30" s="8">
        <f>bar_1(U30,1)</f>
        <v>635</v>
      </c>
      <c r="U30" s="9" t="str">
        <f>use_bar(S30,P30,1)</f>
        <v>D13@ 200</v>
      </c>
    </row>
    <row r="31" spans="2:21" x14ac:dyDescent="0.45">
      <c r="B31" t="s">
        <v>14</v>
      </c>
      <c r="C31" s="6">
        <f>H14</f>
        <v>13.8462</v>
      </c>
      <c r="D31" s="1" t="str">
        <f>C14</f>
        <v>下端筋</v>
      </c>
      <c r="E31" t="str">
        <f>E30</f>
        <v>D13</v>
      </c>
      <c r="F31">
        <f t="array" ref="F31">C$23-E$23-bar_1(E31,4)/2</f>
        <v>193</v>
      </c>
      <c r="G31">
        <f>F31*7/8</f>
        <v>168.875</v>
      </c>
      <c r="H31" s="9">
        <f>C31*1000*1000/(G$23*G31)</f>
        <v>420.46575186471551</v>
      </c>
      <c r="I31" s="9">
        <f>bar_1(J31,1)</f>
        <v>423.33333333333337</v>
      </c>
      <c r="J31" s="9" t="str">
        <f>use_bar(H31,E31,1)</f>
        <v>D13@ 300</v>
      </c>
      <c r="M31" t="s">
        <v>14</v>
      </c>
      <c r="N31" s="6">
        <f>S14</f>
        <v>13.8462</v>
      </c>
      <c r="O31" s="1" t="str">
        <f>N14</f>
        <v>下端筋</v>
      </c>
      <c r="P31" t="str">
        <f>P30</f>
        <v>D13</v>
      </c>
      <c r="Q31">
        <f>N$23-P$23-bar_1(P31,4)*1.5</f>
        <v>179</v>
      </c>
      <c r="R31">
        <f>Q31*7/8</f>
        <v>156.625</v>
      </c>
      <c r="S31" s="9">
        <f>N31*1000*1000/(R$23*R31)</f>
        <v>453.35134139603406</v>
      </c>
      <c r="T31" s="8">
        <f>bar_1(U31,1)</f>
        <v>508</v>
      </c>
      <c r="U31" s="9" t="str">
        <f>use_bar(S31,P31,1)</f>
        <v>D13@ 250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>H16</f>
        <v>7.2568999999999999</v>
      </c>
      <c r="D33" s="1" t="str">
        <f>C16</f>
        <v>上端筋</v>
      </c>
      <c r="E33" t="s">
        <v>18</v>
      </c>
      <c r="F33">
        <f t="array" ref="F33">C$23-D$23-bar_1(E33,4)/2</f>
        <v>213</v>
      </c>
      <c r="G33">
        <f>F33*7/8</f>
        <v>186.375</v>
      </c>
      <c r="H33" s="9">
        <f>C33*1000*1000/(G$23*G33)</f>
        <v>199.67738052245093</v>
      </c>
      <c r="I33" s="9">
        <f>bar_1(J33,1)</f>
        <v>423.33333333333337</v>
      </c>
      <c r="J33" s="9" t="str">
        <f>use_bar(H33,E33,1)</f>
        <v>D13@ 300</v>
      </c>
      <c r="M33" t="s">
        <v>4</v>
      </c>
      <c r="N33" s="6">
        <f>S16</f>
        <v>7.2568999999999999</v>
      </c>
      <c r="O33" s="1" t="str">
        <f>N16</f>
        <v>上端筋</v>
      </c>
      <c r="P33" t="s">
        <v>18</v>
      </c>
      <c r="Q33">
        <f>N$23-O$23-bar_1(P33,4)*1.5</f>
        <v>199</v>
      </c>
      <c r="R33">
        <f>Q33*7/8</f>
        <v>174.125</v>
      </c>
      <c r="S33" s="9">
        <f>N33*1000*1000/(R$23*R33)</f>
        <v>213.72503543357814</v>
      </c>
      <c r="T33" s="8">
        <f>bar_1(U33,1)</f>
        <v>423.33333333333337</v>
      </c>
      <c r="U33" s="9" t="str">
        <f>use_bar(S33,P33,1)</f>
        <v>D13@ 300</v>
      </c>
    </row>
    <row r="34" spans="2:21" x14ac:dyDescent="0.45">
      <c r="B34" t="s">
        <v>5</v>
      </c>
      <c r="C34" s="6">
        <f>H17</f>
        <v>10.885400000000001</v>
      </c>
      <c r="D34" s="1" t="str">
        <f>C17</f>
        <v>上端筋</v>
      </c>
      <c r="E34" t="str">
        <f>E33</f>
        <v>D13</v>
      </c>
      <c r="F34">
        <f t="array" ref="F34">C$23-D$23-bar_1(E34,4)/2</f>
        <v>213</v>
      </c>
      <c r="G34">
        <f>F34*7/8</f>
        <v>186.375</v>
      </c>
      <c r="H34" s="9">
        <f>C34*1000*1000/(G$23*G34)</f>
        <v>299.51744655970015</v>
      </c>
      <c r="I34" s="9">
        <f>bar_1(J34,1)</f>
        <v>423.33333333333337</v>
      </c>
      <c r="J34" s="9" t="str">
        <f>use_bar(H34,E34,1)</f>
        <v>D13@ 300</v>
      </c>
      <c r="M34" t="s">
        <v>5</v>
      </c>
      <c r="N34" s="6">
        <f>S17</f>
        <v>10.885400000000001</v>
      </c>
      <c r="O34" s="1" t="str">
        <f>N17</f>
        <v>上端筋</v>
      </c>
      <c r="P34" t="str">
        <f>P33</f>
        <v>D13</v>
      </c>
      <c r="Q34">
        <f>N$23-O$23-bar_1(P34,4)*1.5</f>
        <v>199</v>
      </c>
      <c r="R34">
        <f>Q34*7/8</f>
        <v>174.125</v>
      </c>
      <c r="S34" s="9">
        <f>N34*1000*1000/(R$23*R34)</f>
        <v>320.58902571465393</v>
      </c>
      <c r="T34" s="8">
        <f>bar_1(U34,1)</f>
        <v>423.33333333333337</v>
      </c>
      <c r="U34" s="9" t="str">
        <f>use_bar(S34,P34,1)</f>
        <v>D13@ 300</v>
      </c>
    </row>
    <row r="35" spans="2:21" x14ac:dyDescent="0.45">
      <c r="B35" t="s">
        <v>6</v>
      </c>
      <c r="C35" s="6">
        <f>H18</f>
        <v>8.7082999999999995</v>
      </c>
      <c r="D35" s="1" t="str">
        <f>C18</f>
        <v>上端筋</v>
      </c>
      <c r="E35" t="str">
        <f>E34</f>
        <v>D13</v>
      </c>
      <c r="F35">
        <f t="array" ref="F35">C$23-D$23-bar_1(E35,4)/2</f>
        <v>213</v>
      </c>
      <c r="G35">
        <f>F35*7/8</f>
        <v>186.375</v>
      </c>
      <c r="H35" s="9">
        <f>C35*1000*1000/(G$23*G35)</f>
        <v>239.61340693735059</v>
      </c>
      <c r="I35" s="9">
        <f>bar_1(J35,1)</f>
        <v>423.33333333333337</v>
      </c>
      <c r="J35" s="9" t="str">
        <f>use_bar(H35,E35,1)</f>
        <v>D13@ 300</v>
      </c>
      <c r="M35" t="s">
        <v>6</v>
      </c>
      <c r="N35" s="6">
        <f>S18</f>
        <v>8.7082999999999995</v>
      </c>
      <c r="O35" s="1" t="str">
        <f>N18</f>
        <v>上端筋</v>
      </c>
      <c r="P35" t="str">
        <f>P34</f>
        <v>D13</v>
      </c>
      <c r="Q35">
        <f>N$23-O$23-bar_1(P35,4)*1.5</f>
        <v>199</v>
      </c>
      <c r="R35">
        <f>Q35*7/8</f>
        <v>174.125</v>
      </c>
      <c r="S35" s="9">
        <f>N35*1000*1000/(R$23*R35)</f>
        <v>256.47063154600841</v>
      </c>
      <c r="T35" s="8">
        <f>bar_1(U35,1)</f>
        <v>423.33333333333337</v>
      </c>
      <c r="U35" s="9" t="str">
        <f>use_bar(S35,P35,1)</f>
        <v>D13@ 300</v>
      </c>
    </row>
    <row r="36" spans="2:21" x14ac:dyDescent="0.45">
      <c r="B36" t="s">
        <v>16</v>
      </c>
      <c r="C36" s="6">
        <f>H19</f>
        <v>12.421900000000001</v>
      </c>
      <c r="D36" s="1" t="str">
        <f>C19</f>
        <v>下端筋</v>
      </c>
      <c r="E36" t="str">
        <f>E35</f>
        <v>D13</v>
      </c>
      <c r="F36">
        <f t="array" ref="F36">C$23-E$23-bar_1(E36,4)/2</f>
        <v>193</v>
      </c>
      <c r="G36">
        <f>F36*7/8</f>
        <v>168.875</v>
      </c>
      <c r="H36" s="9">
        <f>C36*1000*1000/(G$23*G36)</f>
        <v>377.21421928675818</v>
      </c>
      <c r="I36" s="9">
        <f>bar_1(J36,1)</f>
        <v>423.33333333333337</v>
      </c>
      <c r="J36" s="9" t="str">
        <f>use_bar(H36,E36,1)</f>
        <v>D13@ 300</v>
      </c>
      <c r="M36" t="s">
        <v>16</v>
      </c>
      <c r="N36" s="6">
        <f>S19</f>
        <v>12.421900000000001</v>
      </c>
      <c r="O36" s="1" t="str">
        <f>N19</f>
        <v>下端筋</v>
      </c>
      <c r="P36" t="str">
        <f>P35</f>
        <v>D13</v>
      </c>
      <c r="Q36">
        <f>N$23-P$23-bar_1(P36,4)*1.5</f>
        <v>179</v>
      </c>
      <c r="R36">
        <f>Q36*7/8</f>
        <v>156.625</v>
      </c>
      <c r="S36" s="9">
        <f>N36*1000*1000/(R$23*R36)</f>
        <v>406.7170073873985</v>
      </c>
      <c r="T36" s="8">
        <f>bar_1(U36,1)</f>
        <v>423.33333333333337</v>
      </c>
      <c r="U36" s="9" t="str">
        <f>use_bar(S36,P36,1)</f>
        <v>D13@ 300</v>
      </c>
    </row>
    <row r="37" spans="2:21" x14ac:dyDescent="0.45">
      <c r="B37" t="s">
        <v>17</v>
      </c>
      <c r="C37" s="6">
        <f>H20</f>
        <v>11.25</v>
      </c>
      <c r="D37" s="1" t="str">
        <f>C20</f>
        <v>下端筋</v>
      </c>
      <c r="E37" t="str">
        <f>E36</f>
        <v>D13</v>
      </c>
      <c r="F37">
        <f t="array" ref="F37">C$23-E$23-bar_1(E37,4)/2</f>
        <v>193</v>
      </c>
      <c r="G37">
        <f>F37*7/8</f>
        <v>168.875</v>
      </c>
      <c r="H37" s="9">
        <f>C37*1000*1000/(G$23*G37)</f>
        <v>341.627284632466</v>
      </c>
      <c r="I37" s="9">
        <f>bar_1(J37,1)</f>
        <v>423.33333333333337</v>
      </c>
      <c r="J37" s="9" t="str">
        <f>use_bar(H37,E37,1)</f>
        <v>D13@ 300</v>
      </c>
      <c r="M37" t="s">
        <v>17</v>
      </c>
      <c r="N37" s="6">
        <f>S20</f>
        <v>11.25</v>
      </c>
      <c r="O37" s="1" t="str">
        <f>N20</f>
        <v>下端筋</v>
      </c>
      <c r="P37" t="str">
        <f>P36</f>
        <v>D13</v>
      </c>
      <c r="Q37">
        <f>N$23-P$23-bar_1(P37,4)*1.5</f>
        <v>179</v>
      </c>
      <c r="R37">
        <f>Q37*7/8</f>
        <v>156.625</v>
      </c>
      <c r="S37" s="9">
        <f>N37*1000*1000/(R$23*R37)</f>
        <v>368.34673706182087</v>
      </c>
      <c r="T37" s="8">
        <f>bar_1(U37,1)</f>
        <v>423.33333333333337</v>
      </c>
      <c r="U37" s="9" t="str">
        <f>use_bar(S37,P37,1)</f>
        <v>D13@ 300</v>
      </c>
    </row>
    <row r="40" spans="2:21" x14ac:dyDescent="0.45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v>4</v>
      </c>
      <c r="C42" s="14"/>
      <c r="D42" s="14">
        <f>+D8</f>
        <v>6500</v>
      </c>
      <c r="E42" s="14"/>
      <c r="F42" s="14">
        <f>F8</f>
        <v>3950</v>
      </c>
      <c r="G42" s="14"/>
      <c r="H42" s="12"/>
      <c r="I42" s="12"/>
      <c r="J42" s="12"/>
      <c r="K42" s="12"/>
      <c r="L42" s="12"/>
      <c r="M42" s="14">
        <f>+M8</f>
        <v>5</v>
      </c>
      <c r="N42" s="14"/>
      <c r="O42" s="14">
        <f>+O8</f>
        <v>6500</v>
      </c>
      <c r="P42" s="14"/>
      <c r="Q42" s="14">
        <v>9000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10.885400000000001</v>
      </c>
      <c r="I44" s="12">
        <f>J44/2-H44</f>
        <v>0</v>
      </c>
      <c r="J44" s="17">
        <f t="shared" ref="J44:J54" si="0">+H10</f>
        <v>21.770800000000001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10.885400000000001</v>
      </c>
      <c r="T44" s="12">
        <f>+U44/2-S44</f>
        <v>0</v>
      </c>
      <c r="U44" s="17">
        <f>S10</f>
        <v>21.770800000000001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16.328099999999999</v>
      </c>
      <c r="I45" s="12">
        <f>J45/2-H45</f>
        <v>5.0000000001659828E-5</v>
      </c>
      <c r="J45" s="17">
        <f t="shared" si="0"/>
        <v>32.656300000000002</v>
      </c>
      <c r="K45" s="12"/>
      <c r="L45" s="12"/>
      <c r="M45" s="12" t="str">
        <f t="shared" ref="M45:M54" si="1">B45</f>
        <v>Mg3'</v>
      </c>
      <c r="N45" s="15" t="str">
        <f t="shared" ref="N45:N54" si="2">flat_slab_side(M$8,O$8/10000,Q$8/1000,M45,3)</f>
        <v>上端筋</v>
      </c>
      <c r="O45" s="12"/>
      <c r="P45" s="12"/>
      <c r="Q45" s="12"/>
      <c r="R45" s="16" t="str">
        <f t="shared" ref="R45:R54" si="3">flat_slab_side(M$8,O$8/10000,Q$8/1000,M45,2)</f>
        <v>Mg3'=L ^ 2 / 8 * (g + p) /2=</v>
      </c>
      <c r="S45" s="17">
        <f t="shared" ref="S45:S54" si="4">ROUND(flat_slab_side(M$8,O$8/1000,Q$8/1000,M45,1),4)</f>
        <v>16.328099999999999</v>
      </c>
      <c r="T45" s="12">
        <f>+U45/2-S45</f>
        <v>5.0000000001659828E-5</v>
      </c>
      <c r="U45" s="17">
        <f t="shared" ref="U45:U54" si="5">S11</f>
        <v>32.656300000000002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13.0625</v>
      </c>
      <c r="I46" s="12">
        <f>J46/2-H46</f>
        <v>0</v>
      </c>
      <c r="J46" s="17">
        <f t="shared" si="0"/>
        <v>26.125</v>
      </c>
      <c r="K46" s="12"/>
      <c r="L46" s="12"/>
      <c r="M46" s="12" t="str">
        <f t="shared" si="1"/>
        <v>Mg5'</v>
      </c>
      <c r="N46" s="15" t="str">
        <f t="shared" si="2"/>
        <v>上端筋</v>
      </c>
      <c r="O46" s="12"/>
      <c r="P46" s="12"/>
      <c r="Q46" s="12"/>
      <c r="R46" s="16" t="str">
        <f t="shared" si="3"/>
        <v>Mg5'=L ^ 2 / 10 * (g + p) /2=</v>
      </c>
      <c r="S46" s="17">
        <f t="shared" si="4"/>
        <v>13.0625</v>
      </c>
      <c r="T46" s="12">
        <f>+U46/2-S46</f>
        <v>0</v>
      </c>
      <c r="U46" s="17">
        <f t="shared" si="5"/>
        <v>26.125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7.8605999999999998</v>
      </c>
      <c r="I47" s="12">
        <f>J47/2-H47</f>
        <v>0</v>
      </c>
      <c r="J47" s="17">
        <f t="shared" si="0"/>
        <v>15.7212</v>
      </c>
      <c r="K47" s="12"/>
      <c r="L47" s="12"/>
      <c r="M47" s="12" t="str">
        <f t="shared" si="1"/>
        <v>Mg2'</v>
      </c>
      <c r="N47" s="15" t="str">
        <f t="shared" si="2"/>
        <v>下端筋</v>
      </c>
      <c r="O47" s="12"/>
      <c r="P47" s="12"/>
      <c r="Q47" s="12"/>
      <c r="R47" s="16" t="str">
        <f t="shared" si="3"/>
        <v>Mg2'=L ^ 2 * (g / 20 + p / 13) /2=</v>
      </c>
      <c r="S47" s="17">
        <f t="shared" si="4"/>
        <v>7.8605999999999998</v>
      </c>
      <c r="T47" s="12">
        <f>+U47/2-S47</f>
        <v>0</v>
      </c>
      <c r="U47" s="17">
        <f t="shared" si="5"/>
        <v>15.7212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6.9230999999999998</v>
      </c>
      <c r="I48" s="12">
        <f>J48/2-H48</f>
        <v>0</v>
      </c>
      <c r="J48" s="17">
        <f t="shared" si="0"/>
        <v>13.8462</v>
      </c>
      <c r="K48" s="12"/>
      <c r="L48" s="12"/>
      <c r="M48" s="12" t="str">
        <f t="shared" si="1"/>
        <v>Mg4'</v>
      </c>
      <c r="N48" s="15" t="str">
        <f t="shared" si="2"/>
        <v>下端筋</v>
      </c>
      <c r="O48" s="12"/>
      <c r="P48" s="12"/>
      <c r="Q48" s="12"/>
      <c r="R48" s="16" t="str">
        <f t="shared" si="3"/>
        <v>Mg4'=L ^ 2 * (g / 26 + p / 13) /2=</v>
      </c>
      <c r="S48" s="17">
        <f t="shared" si="4"/>
        <v>6.9230999999999998</v>
      </c>
      <c r="T48" s="12">
        <f>+U48/2-S48</f>
        <v>0</v>
      </c>
      <c r="U48" s="17">
        <f t="shared" si="5"/>
        <v>13.8462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12"/>
      <c r="J49" s="17">
        <f t="shared" si="0"/>
        <v>0</v>
      </c>
      <c r="K49" s="12"/>
      <c r="L49" s="12"/>
      <c r="M49" s="12" t="str">
        <f t="shared" si="1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5.4427000000000003</v>
      </c>
      <c r="I50" s="12">
        <f>J50*3/4-H50</f>
        <v>-2.5000000000829914E-5</v>
      </c>
      <c r="J50" s="17">
        <f t="shared" si="0"/>
        <v>7.2568999999999999</v>
      </c>
      <c r="K50" s="12"/>
      <c r="L50" s="12"/>
      <c r="M50" s="12" t="str">
        <f t="shared" si="1"/>
        <v>Mf1'</v>
      </c>
      <c r="N50" s="15" t="str">
        <f t="shared" si="2"/>
        <v>上端筋</v>
      </c>
      <c r="O50" s="12"/>
      <c r="P50" s="12"/>
      <c r="Q50" s="12"/>
      <c r="R50" s="16" t="str">
        <f t="shared" si="3"/>
        <v>Mf1'=L ^ 2 / 36 * (g + p) * 3/4=</v>
      </c>
      <c r="S50" s="17">
        <f t="shared" si="4"/>
        <v>5.4427000000000003</v>
      </c>
      <c r="T50" s="12">
        <f>+U50*3/4-S50</f>
        <v>-2.5000000000829914E-5</v>
      </c>
      <c r="U50" s="17">
        <f t="shared" si="5"/>
        <v>7.2568999999999999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8.1640999999999995</v>
      </c>
      <c r="I51" s="12">
        <f>J51*3/4-H51</f>
        <v>-4.9999999999883471E-5</v>
      </c>
      <c r="J51" s="17">
        <f t="shared" si="0"/>
        <v>10.885400000000001</v>
      </c>
      <c r="K51" s="12"/>
      <c r="L51" s="12"/>
      <c r="M51" s="12" t="str">
        <f t="shared" si="1"/>
        <v>Mf3'</v>
      </c>
      <c r="N51" s="15" t="str">
        <f t="shared" si="2"/>
        <v>上端筋</v>
      </c>
      <c r="O51" s="12"/>
      <c r="P51" s="12"/>
      <c r="Q51" s="12"/>
      <c r="R51" s="16" t="str">
        <f t="shared" si="3"/>
        <v>Mf3'= L ^ 2 / 24 * (g + p) * 3/4=</v>
      </c>
      <c r="S51" s="17">
        <f t="shared" si="4"/>
        <v>8.1640999999999995</v>
      </c>
      <c r="T51" s="12">
        <f>+U51*3/4-S51</f>
        <v>-4.9999999999883471E-5</v>
      </c>
      <c r="U51" s="17">
        <f t="shared" si="5"/>
        <v>10.885400000000001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6.5312999999999999</v>
      </c>
      <c r="I52" s="12">
        <f>J52*3/4-H52</f>
        <v>-7.5000000000713385E-5</v>
      </c>
      <c r="J52" s="17">
        <f t="shared" si="0"/>
        <v>8.7082999999999995</v>
      </c>
      <c r="K52" s="12"/>
      <c r="L52" s="12"/>
      <c r="M52" s="12" t="str">
        <f t="shared" si="1"/>
        <v>Mf5'</v>
      </c>
      <c r="N52" s="15" t="str">
        <f t="shared" si="2"/>
        <v>上端筋</v>
      </c>
      <c r="O52" s="12"/>
      <c r="P52" s="12"/>
      <c r="Q52" s="12"/>
      <c r="R52" s="16" t="str">
        <f t="shared" si="3"/>
        <v>Mf5'= L ^ 2 / 30 * (g + p) * 3/4=</v>
      </c>
      <c r="S52" s="17">
        <f t="shared" si="4"/>
        <v>6.5312999999999999</v>
      </c>
      <c r="T52" s="12">
        <f>+U52*3/4-S52</f>
        <v>-7.5000000000713385E-5</v>
      </c>
      <c r="U52" s="17">
        <f t="shared" si="5"/>
        <v>8.7082999999999995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9.3163999999999998</v>
      </c>
      <c r="I53" s="12">
        <f>J53*3/4-H53</f>
        <v>2.5000000000829914E-5</v>
      </c>
      <c r="J53" s="17">
        <f t="shared" si="0"/>
        <v>12.421900000000001</v>
      </c>
      <c r="K53" s="12"/>
      <c r="L53" s="12"/>
      <c r="M53" s="12" t="str">
        <f t="shared" si="1"/>
        <v>Mf2'</v>
      </c>
      <c r="N53" s="15" t="str">
        <f t="shared" si="2"/>
        <v>下端筋</v>
      </c>
      <c r="O53" s="12"/>
      <c r="P53" s="12"/>
      <c r="Q53" s="12"/>
      <c r="R53" s="16" t="str">
        <f t="shared" si="3"/>
        <v>Mf2'=L ^2 * (g / 26 + p / 16) * 3/4=</v>
      </c>
      <c r="S53" s="17">
        <f t="shared" si="4"/>
        <v>9.3163999999999998</v>
      </c>
      <c r="T53" s="12">
        <f>+U53*3/4-S53</f>
        <v>2.5000000000829914E-5</v>
      </c>
      <c r="U53" s="17">
        <f t="shared" si="5"/>
        <v>12.421900000000001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8.4375</v>
      </c>
      <c r="I54" s="12">
        <f>J54*3/4-H54</f>
        <v>0</v>
      </c>
      <c r="J54" s="17">
        <f t="shared" si="0"/>
        <v>11.25</v>
      </c>
      <c r="K54" s="12"/>
      <c r="L54" s="12"/>
      <c r="M54" s="12" t="str">
        <f t="shared" si="1"/>
        <v>Mf4'</v>
      </c>
      <c r="N54" s="15" t="str">
        <f t="shared" si="2"/>
        <v>下端筋</v>
      </c>
      <c r="O54" s="12"/>
      <c r="P54" s="12"/>
      <c r="Q54" s="12"/>
      <c r="R54" s="16" t="str">
        <f t="shared" si="3"/>
        <v>Mf4'=L ^ 2 * (g / 32 + p / 16) * 3/4=</v>
      </c>
      <c r="S54" s="17">
        <f t="shared" si="4"/>
        <v>8.4375</v>
      </c>
      <c r="T54" s="12">
        <f>+U54*3/4-S54</f>
        <v>0</v>
      </c>
      <c r="U54" s="17">
        <f t="shared" si="5"/>
        <v>11.25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250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10.885400000000001</v>
      </c>
      <c r="D61" s="15" t="str">
        <f>C44</f>
        <v>上端筋</v>
      </c>
      <c r="E61" s="12" t="s">
        <v>18</v>
      </c>
      <c r="F61" s="12">
        <f t="array" ref="F61">C$23-D$23-bar_1(E61,4)/2</f>
        <v>213</v>
      </c>
      <c r="G61" s="12">
        <f>F61*7/8</f>
        <v>186.375</v>
      </c>
      <c r="H61" s="18">
        <f>C61*1000*1000/(G$23*G61)</f>
        <v>299.51744655970015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10.885400000000001</v>
      </c>
      <c r="O61" s="15" t="str">
        <f>N44</f>
        <v>上端筋</v>
      </c>
      <c r="P61" s="12" t="s">
        <v>18</v>
      </c>
      <c r="Q61" s="12">
        <f t="array" ref="Q61">N$23-O$23-bar_1(P61,4)/2</f>
        <v>213</v>
      </c>
      <c r="R61" s="12">
        <f>Q61*7/8</f>
        <v>186.375</v>
      </c>
      <c r="S61" s="18">
        <f>N61*1000*1000/(R$23*R61)</f>
        <v>299.51744655970015</v>
      </c>
      <c r="T61" s="19">
        <f>bar_1(U61,1)</f>
        <v>423.33333333333337</v>
      </c>
      <c r="U61" s="18" t="str">
        <f>use_bar(S61,P61,1)</f>
        <v>D13@ 300</v>
      </c>
    </row>
    <row r="62" spans="2:21" x14ac:dyDescent="0.45">
      <c r="B62" s="12" t="str">
        <f t="shared" ref="B62:B71" si="6">B45</f>
        <v>Mg3'</v>
      </c>
      <c r="C62" s="17">
        <f>H45</f>
        <v>16.328099999999999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213</v>
      </c>
      <c r="G62" s="12">
        <f>F62*7/8</f>
        <v>186.375</v>
      </c>
      <c r="H62" s="18">
        <f>C62*1000*1000/(G$23*G62)</f>
        <v>449.27616983955005</v>
      </c>
      <c r="I62" s="19">
        <f>bar_1(J62,1)</f>
        <v>508</v>
      </c>
      <c r="J62" s="18" t="str">
        <f>use_bar(H62,E62,1)</f>
        <v>D13@ 250</v>
      </c>
      <c r="K62" s="12"/>
      <c r="L62" s="12"/>
      <c r="M62" s="12" t="s">
        <v>9</v>
      </c>
      <c r="N62" s="17">
        <f>S45</f>
        <v>16.328099999999999</v>
      </c>
      <c r="O62" s="15" t="str">
        <f>N45</f>
        <v>上端筋</v>
      </c>
      <c r="P62" s="12" t="str">
        <f>P61</f>
        <v>D13</v>
      </c>
      <c r="Q62" s="12">
        <f t="array" ref="Q62">N$23-O$23-bar_1(P62,4)/2</f>
        <v>213</v>
      </c>
      <c r="R62" s="12">
        <f>Q62*7/8</f>
        <v>186.375</v>
      </c>
      <c r="S62" s="18">
        <f>N62*1000*1000/(R$23*R62)</f>
        <v>449.27616983955005</v>
      </c>
      <c r="T62" s="19">
        <f>bar_1(U62,1)</f>
        <v>508</v>
      </c>
      <c r="U62" s="18" t="str">
        <f>use_bar(S62,P62,1)</f>
        <v>D13@ 250</v>
      </c>
    </row>
    <row r="63" spans="2:21" x14ac:dyDescent="0.45">
      <c r="B63" s="12" t="str">
        <f t="shared" si="6"/>
        <v>Mg5'</v>
      </c>
      <c r="C63" s="17">
        <f>H46</f>
        <v>13.0625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213</v>
      </c>
      <c r="G63" s="12">
        <f>F63*7/8</f>
        <v>186.375</v>
      </c>
      <c r="H63" s="18">
        <f>C63*1000*1000/(G$23*G63)</f>
        <v>359.42148618204953</v>
      </c>
      <c r="I63" s="19">
        <f>bar_1(J63,1)</f>
        <v>423.33333333333337</v>
      </c>
      <c r="J63" s="18" t="str">
        <f>use_bar(H63,E63,1)</f>
        <v>D13@ 300</v>
      </c>
      <c r="K63" s="12"/>
      <c r="L63" s="12"/>
      <c r="M63" s="12" t="s">
        <v>10</v>
      </c>
      <c r="N63" s="17">
        <f>S46</f>
        <v>13.0625</v>
      </c>
      <c r="O63" s="15" t="str">
        <f>N46</f>
        <v>上端筋</v>
      </c>
      <c r="P63" s="12" t="str">
        <f>P62</f>
        <v>D13</v>
      </c>
      <c r="Q63" s="12">
        <f t="array" ref="Q63">N$23-O$23-bar_1(P63,4)/2</f>
        <v>213</v>
      </c>
      <c r="R63" s="12">
        <f>Q63*7/8</f>
        <v>186.375</v>
      </c>
      <c r="S63" s="18">
        <f>N63*1000*1000/(R$23*R63)</f>
        <v>359.42148618204953</v>
      </c>
      <c r="T63" s="19">
        <f>bar_1(U63,1)</f>
        <v>423.33333333333337</v>
      </c>
      <c r="U63" s="18" t="str">
        <f>use_bar(S63,P63,1)</f>
        <v>D13@ 300</v>
      </c>
    </row>
    <row r="64" spans="2:21" x14ac:dyDescent="0.45">
      <c r="B64" s="12" t="str">
        <f t="shared" si="6"/>
        <v>Mg2'</v>
      </c>
      <c r="C64" s="17">
        <f>H47</f>
        <v>7.8605999999999998</v>
      </c>
      <c r="D64" s="15" t="str">
        <f>C47</f>
        <v>下端筋</v>
      </c>
      <c r="E64" s="12" t="s">
        <v>18</v>
      </c>
      <c r="F64" s="12">
        <f t="array" ref="F64">C$23-E$23-bar_1(E64,4)/2</f>
        <v>193</v>
      </c>
      <c r="G64" s="12">
        <f>F64*7/8</f>
        <v>168.875</v>
      </c>
      <c r="H64" s="18">
        <f>C64*1000*1000/(G$23*G64)</f>
        <v>238.7018163183966</v>
      </c>
      <c r="I64" s="19">
        <f>bar_1(J64,1)</f>
        <v>423.33333333333337</v>
      </c>
      <c r="J64" s="18" t="str">
        <f>use_bar(H64,E64,1)</f>
        <v>D13@ 300</v>
      </c>
      <c r="K64" s="12"/>
      <c r="L64" s="12"/>
      <c r="M64" s="12" t="s">
        <v>8</v>
      </c>
      <c r="N64" s="17">
        <f>S47</f>
        <v>7.8605999999999998</v>
      </c>
      <c r="O64" s="15" t="str">
        <f>N47</f>
        <v>下端筋</v>
      </c>
      <c r="P64" s="12" t="s">
        <v>18</v>
      </c>
      <c r="Q64" s="12">
        <f t="array" ref="Q64">N$23-P$23-bar_1(P64,4)/2</f>
        <v>193</v>
      </c>
      <c r="R64" s="12">
        <f>Q64*7/8</f>
        <v>168.875</v>
      </c>
      <c r="S64" s="18">
        <f>N64*1000*1000/(R$23*R64)</f>
        <v>238.7018163183966</v>
      </c>
      <c r="T64" s="19">
        <f>bar_1(U64,1)</f>
        <v>423.33333333333337</v>
      </c>
      <c r="U64" s="18" t="str">
        <f>use_bar(S64,P64,1)</f>
        <v>D13@ 300</v>
      </c>
    </row>
    <row r="65" spans="2:21" x14ac:dyDescent="0.45">
      <c r="B65" s="12" t="str">
        <f t="shared" si="6"/>
        <v>Mg4'</v>
      </c>
      <c r="C65" s="17">
        <f>H48</f>
        <v>6.9230999999999998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193</v>
      </c>
      <c r="G65" s="12">
        <f>F65*7/8</f>
        <v>168.875</v>
      </c>
      <c r="H65" s="18">
        <f>C65*1000*1000/(G$23*G65)</f>
        <v>210.23287593235776</v>
      </c>
      <c r="I65" s="19">
        <f>bar_1(J65,1)</f>
        <v>423.33333333333337</v>
      </c>
      <c r="J65" s="18" t="str">
        <f>use_bar(H65,E65,1)</f>
        <v>D13@ 300</v>
      </c>
      <c r="K65" s="12"/>
      <c r="L65" s="12"/>
      <c r="M65" s="12" t="s">
        <v>14</v>
      </c>
      <c r="N65" s="17">
        <f>S48</f>
        <v>6.9230999999999998</v>
      </c>
      <c r="O65" s="15" t="str">
        <f>N48</f>
        <v>下端筋</v>
      </c>
      <c r="P65" s="12" t="str">
        <f>P64</f>
        <v>D13</v>
      </c>
      <c r="Q65" s="12">
        <f t="array" ref="Q65">N$23-P$23-bar_1(P65,4)/2</f>
        <v>193</v>
      </c>
      <c r="R65" s="12">
        <f>Q65*7/8</f>
        <v>168.875</v>
      </c>
      <c r="S65" s="18">
        <f>N65*1000*1000/(R$23*R65)</f>
        <v>210.23287593235776</v>
      </c>
      <c r="T65" s="19">
        <f>bar_1(U65,1)</f>
        <v>423.33333333333337</v>
      </c>
      <c r="U65" s="18" t="str">
        <f>use_bar(S65,P65,1)</f>
        <v>D13@ 300</v>
      </c>
    </row>
    <row r="66" spans="2:21" x14ac:dyDescent="0.45">
      <c r="B66" s="12" t="str">
        <f t="shared" si="6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6"/>
        <v>Mf1'</v>
      </c>
      <c r="C67" s="17">
        <f>H50</f>
        <v>5.4427000000000003</v>
      </c>
      <c r="D67" s="15" t="str">
        <f>C50</f>
        <v>上端筋</v>
      </c>
      <c r="E67" s="12" t="s">
        <v>18</v>
      </c>
      <c r="F67" s="12">
        <f t="array" ref="F67">C$23-D$23-bar_1(E67,4)/2</f>
        <v>213</v>
      </c>
      <c r="G67" s="12">
        <f>F67*7/8</f>
        <v>186.375</v>
      </c>
      <c r="H67" s="18">
        <f>C67*1000*1000/(G$23*G67)</f>
        <v>149.75872327985007</v>
      </c>
      <c r="I67" s="19">
        <f>bar_1(J67,1)</f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5.4427000000000003</v>
      </c>
      <c r="O67" s="15" t="str">
        <f>N50</f>
        <v>上端筋</v>
      </c>
      <c r="P67" s="12" t="s">
        <v>18</v>
      </c>
      <c r="Q67" s="12">
        <f t="array" ref="Q67">N$23-O$23-bar_1(P67,4)/2</f>
        <v>213</v>
      </c>
      <c r="R67" s="12">
        <f>Q67*7/8</f>
        <v>186.375</v>
      </c>
      <c r="S67" s="18">
        <f>N67*1000*1000/(R$23*R67)</f>
        <v>149.75872327985007</v>
      </c>
      <c r="T67" s="19">
        <f>bar_1(U67,1)</f>
        <v>423.33333333333337</v>
      </c>
      <c r="U67" s="18" t="str">
        <f>use_bar(S67,P67,1)</f>
        <v>D13@ 300</v>
      </c>
    </row>
    <row r="68" spans="2:21" x14ac:dyDescent="0.45">
      <c r="B68" s="12" t="str">
        <f t="shared" si="6"/>
        <v>Mf3'</v>
      </c>
      <c r="C68" s="17">
        <f>H51</f>
        <v>8.1640999999999995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213</v>
      </c>
      <c r="G68" s="12">
        <f>F68*7/8</f>
        <v>186.375</v>
      </c>
      <c r="H68" s="18">
        <f>C68*1000*1000/(G$23*G68)</f>
        <v>224.6394606957987</v>
      </c>
      <c r="I68" s="19">
        <f>bar_1(J68,1)</f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8.1640999999999995</v>
      </c>
      <c r="O68" s="15" t="str">
        <f>N51</f>
        <v>上端筋</v>
      </c>
      <c r="P68" s="12" t="str">
        <f>P67</f>
        <v>D13</v>
      </c>
      <c r="Q68" s="12">
        <f t="array" ref="Q68">N$23-O$23-bar_1(P68,4)/2</f>
        <v>213</v>
      </c>
      <c r="R68" s="12">
        <f>Q68*7/8</f>
        <v>186.375</v>
      </c>
      <c r="S68" s="18">
        <f>N68*1000*1000/(R$23*R68)</f>
        <v>224.6394606957987</v>
      </c>
      <c r="T68" s="19">
        <f>bar_1(U68,1)</f>
        <v>423.33333333333337</v>
      </c>
      <c r="U68" s="18" t="str">
        <f>use_bar(S68,P68,1)</f>
        <v>D13@ 300</v>
      </c>
    </row>
    <row r="69" spans="2:21" x14ac:dyDescent="0.45">
      <c r="B69" s="12" t="str">
        <f t="shared" si="6"/>
        <v>Mf5'</v>
      </c>
      <c r="C69" s="17">
        <f>H52</f>
        <v>6.5312999999999999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213</v>
      </c>
      <c r="G69" s="12">
        <f>F69*7/8</f>
        <v>186.375</v>
      </c>
      <c r="H69" s="18">
        <f>C69*1000*1000/(G$23*G69)</f>
        <v>179.71211886704845</v>
      </c>
      <c r="I69" s="19">
        <f>bar_1(J69,1)</f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6.5312999999999999</v>
      </c>
      <c r="O69" s="15" t="str">
        <f>N52</f>
        <v>上端筋</v>
      </c>
      <c r="P69" s="12" t="str">
        <f>P68</f>
        <v>D13</v>
      </c>
      <c r="Q69" s="12">
        <f t="array" ref="Q69">N$23-O$23-bar_1(P69,4)/2</f>
        <v>213</v>
      </c>
      <c r="R69" s="12">
        <f>Q69*7/8</f>
        <v>186.375</v>
      </c>
      <c r="S69" s="18">
        <f>N69*1000*1000/(R$23*R69)</f>
        <v>179.71211886704845</v>
      </c>
      <c r="T69" s="19">
        <f>bar_1(U69,1)</f>
        <v>423.33333333333337</v>
      </c>
      <c r="U69" s="18" t="str">
        <f>use_bar(S69,P69,1)</f>
        <v>D13@ 300</v>
      </c>
    </row>
    <row r="70" spans="2:21" x14ac:dyDescent="0.45">
      <c r="B70" s="12" t="str">
        <f t="shared" si="6"/>
        <v>Mf2'</v>
      </c>
      <c r="C70" s="17">
        <f>H53</f>
        <v>9.3163999999999998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193</v>
      </c>
      <c r="G70" s="12">
        <f>F70*7/8</f>
        <v>168.875</v>
      </c>
      <c r="H70" s="18">
        <f>C70*1000*1000/(G$23*G70)</f>
        <v>282.90990529332498</v>
      </c>
      <c r="I70" s="19">
        <f>bar_1(J70,1)</f>
        <v>423.33333333333337</v>
      </c>
      <c r="J70" s="18" t="str">
        <f>use_bar(H70,E70,1)</f>
        <v>D13@ 300</v>
      </c>
      <c r="K70" s="12"/>
      <c r="L70" s="12"/>
      <c r="M70" s="12" t="s">
        <v>16</v>
      </c>
      <c r="N70" s="17">
        <f>S53</f>
        <v>9.3163999999999998</v>
      </c>
      <c r="O70" s="15" t="str">
        <f>N53</f>
        <v>下端筋</v>
      </c>
      <c r="P70" s="12" t="str">
        <f>P69</f>
        <v>D13</v>
      </c>
      <c r="Q70" s="12">
        <f t="array" ref="Q70">N$23-P$23-bar_1(P70,4)/2</f>
        <v>193</v>
      </c>
      <c r="R70" s="12">
        <f>Q70*7/8</f>
        <v>168.875</v>
      </c>
      <c r="S70" s="18">
        <f>N70*1000*1000/(R$23*R70)</f>
        <v>282.90990529332498</v>
      </c>
      <c r="T70" s="19">
        <f>bar_1(U70,1)</f>
        <v>423.33333333333337</v>
      </c>
      <c r="U70" s="18" t="str">
        <f>use_bar(S70,P70,1)</f>
        <v>D13@ 300</v>
      </c>
    </row>
    <row r="71" spans="2:21" x14ac:dyDescent="0.45">
      <c r="B71" s="12" t="str">
        <f t="shared" si="6"/>
        <v>Mf4'</v>
      </c>
      <c r="C71" s="17">
        <f>H54</f>
        <v>8.4375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193</v>
      </c>
      <c r="G71" s="12">
        <f>F71*7/8</f>
        <v>168.875</v>
      </c>
      <c r="H71" s="18">
        <f>C71*1000*1000/(G$23*G71)</f>
        <v>256.22046347434946</v>
      </c>
      <c r="I71" s="19">
        <f>bar_1(J71,1)</f>
        <v>423.33333333333337</v>
      </c>
      <c r="J71" s="18" t="str">
        <f>use_bar(H71,E71,1)</f>
        <v>D13@ 300</v>
      </c>
      <c r="K71" s="12"/>
      <c r="L71" s="12"/>
      <c r="M71" s="12" t="s">
        <v>17</v>
      </c>
      <c r="N71" s="17">
        <f>S54</f>
        <v>8.4375</v>
      </c>
      <c r="O71" s="15" t="str">
        <f>N54</f>
        <v>下端筋</v>
      </c>
      <c r="P71" s="12" t="str">
        <f>P70</f>
        <v>D13</v>
      </c>
      <c r="Q71" s="12">
        <f t="array" ref="Q71">N$23-P$23-bar_1(P71,4)/2</f>
        <v>193</v>
      </c>
      <c r="R71" s="12">
        <f>Q71*7/8</f>
        <v>168.875</v>
      </c>
      <c r="S71" s="18">
        <f>N71*1000*1000/(R$23*R71)</f>
        <v>256.22046347434946</v>
      </c>
      <c r="T71" s="19">
        <f>bar_1(U71,1)</f>
        <v>423.33333333333337</v>
      </c>
      <c r="U71" s="18" t="str">
        <f>use_bar(S71,P71,1)</f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659-6FCE-42A9-A2D4-642192DF7692}">
  <sheetPr codeName="Sheet1"/>
  <dimension ref="B3:Z71"/>
  <sheetViews>
    <sheetView workbookViewId="0">
      <selection activeCell="G10" sqref="G10"/>
    </sheetView>
  </sheetViews>
  <sheetFormatPr defaultRowHeight="18" x14ac:dyDescent="0.45"/>
  <cols>
    <col min="1" max="1" width="2.59765625" customWidth="1"/>
    <col min="2" max="11" width="8.09765625" customWidth="1"/>
    <col min="12" max="12" width="2.59765625" customWidth="1"/>
    <col min="13" max="23" width="8.09765625" customWidth="1"/>
  </cols>
  <sheetData>
    <row r="3" spans="2:26" x14ac:dyDescent="0.45">
      <c r="C3" s="2" t="s">
        <v>0</v>
      </c>
      <c r="E3">
        <v>50</v>
      </c>
    </row>
    <row r="4" spans="2:26" x14ac:dyDescent="0.45">
      <c r="C4" s="2" t="s">
        <v>3</v>
      </c>
      <c r="D4">
        <v>150</v>
      </c>
      <c r="E4">
        <f>D4*24000/1000</f>
        <v>3600</v>
      </c>
    </row>
    <row r="5" spans="2:26" x14ac:dyDescent="0.45">
      <c r="C5" s="2"/>
      <c r="D5" s="3" t="s">
        <v>2</v>
      </c>
      <c r="E5">
        <f>SUM(E3:E4)</f>
        <v>3650</v>
      </c>
    </row>
    <row r="6" spans="2:26" x14ac:dyDescent="0.45">
      <c r="B6" t="s">
        <v>26</v>
      </c>
      <c r="C6" s="2"/>
      <c r="D6" s="3"/>
      <c r="M6" t="s">
        <v>27</v>
      </c>
    </row>
    <row r="7" spans="2:26" x14ac:dyDescent="0.45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26" x14ac:dyDescent="0.45">
      <c r="B8" s="4">
        <v>4.13</v>
      </c>
      <c r="C8" s="4"/>
      <c r="D8" s="4">
        <f>E5</f>
        <v>3650</v>
      </c>
      <c r="E8" s="4"/>
      <c r="F8" s="4">
        <v>11000</v>
      </c>
      <c r="G8" s="4"/>
      <c r="M8" s="4">
        <v>3.14</v>
      </c>
      <c r="N8" s="4"/>
      <c r="O8" s="4">
        <f>D8</f>
        <v>3650</v>
      </c>
      <c r="P8" s="4"/>
      <c r="Q8" s="4">
        <f>F8</f>
        <v>11000</v>
      </c>
      <c r="R8" s="4"/>
    </row>
    <row r="9" spans="2:26" x14ac:dyDescent="0.45">
      <c r="B9" t="s">
        <v>13</v>
      </c>
      <c r="M9" t="s">
        <v>13</v>
      </c>
    </row>
    <row r="10" spans="2:26" x14ac:dyDescent="0.45">
      <c r="B10" t="s">
        <v>7</v>
      </c>
      <c r="C10" s="1" t="str">
        <f t="array" ref="C10">flat_slab(B$8,D$8/10000,F$8/1000,B10,3)</f>
        <v>上端筋</v>
      </c>
      <c r="G10" s="7" t="str">
        <f t="array" ref="G10">flat_slab(B$8,D$8/10000,F$8/1000,B10,2)</f>
        <v>Mg1=L ^ 2 / 12 * (g + p)=</v>
      </c>
      <c r="H10" s="6">
        <f>ROUND(flat_slab(B$8,D$8/1000,F$8/1000,B10,1),4)</f>
        <v>20.823599999999999</v>
      </c>
      <c r="M10" t="s">
        <v>7</v>
      </c>
      <c r="N10" s="1" t="str">
        <f t="array" ref="N10">flat_slab(M$8,O$8/10000,Q$8/1000,M10,3)</f>
        <v>上端筋</v>
      </c>
      <c r="R10" s="7" t="str">
        <f t="array" ref="R10">flat_slab(M$8,O$8/10000,Q$8/1000,M10,2)</f>
        <v>Mg1=L ^ 2 / 12 * (g + p)=</v>
      </c>
      <c r="S10" s="6">
        <f>ROUND(flat_slab(M$8,O$8/1000,Q$8/1000,M10,1),4)</f>
        <v>12.036899999999999</v>
      </c>
    </row>
    <row r="11" spans="2:26" x14ac:dyDescent="0.45">
      <c r="B11" t="s">
        <v>9</v>
      </c>
      <c r="C11" s="1" t="str">
        <f t="array" ref="C11">flat_slab(B$8,D$8/10000,F$8/1000,B11,3)</f>
        <v>上端筋</v>
      </c>
      <c r="G11" s="7" t="str">
        <f t="array" ref="G11">flat_slab(B$8,D$8/10000,F$8/1000,B11,2)</f>
        <v>Mg1=L ^ 2 / 8 * (g + p)=</v>
      </c>
      <c r="H11" s="6">
        <f t="array" ref="H11">ROUND(flat_slab(B$8,D$8/1000,F$8/1000,B11,1),4)</f>
        <v>31.235399999999998</v>
      </c>
      <c r="M11" t="s">
        <v>9</v>
      </c>
      <c r="N11" s="1" t="str">
        <f t="array" ref="N11">flat_slab(M$8,O$8/10000,Q$8/1000,M11,3)</f>
        <v>上端筋</v>
      </c>
      <c r="R11" s="7" t="str">
        <f t="array" ref="R11">flat_slab(M$8,O$8/10000,Q$8/1000,M11,2)</f>
        <v>Mg1=L ^ 2 / 8 * (g + p)=</v>
      </c>
      <c r="S11" s="6">
        <f t="array" ref="S11">ROUND(flat_slab(M$8,O$8/1000,Q$8/1000,M11,1),4)</f>
        <v>18.055399999999999</v>
      </c>
    </row>
    <row r="12" spans="2:26" x14ac:dyDescent="0.45">
      <c r="B12" t="s">
        <v>10</v>
      </c>
      <c r="C12" s="1" t="str">
        <f t="array" ref="C12">flat_slab(B$8,D$8/10000,F$8/1000,B12,3)</f>
        <v>上端筋</v>
      </c>
      <c r="G12" s="7" t="str">
        <f t="array" ref="G12">flat_slab(B$8,D$8/10000,F$8/1000,B12,2)</f>
        <v>Mg1=L ^ 2 / 10 * (g + p)=</v>
      </c>
      <c r="H12" s="6">
        <f t="array" ref="H12">ROUND(flat_slab(B$8,D$8/1000,F$8/1000,B12,1),4)</f>
        <v>24.988399999999999</v>
      </c>
      <c r="M12" t="s">
        <v>10</v>
      </c>
      <c r="N12" s="1" t="str">
        <f t="array" ref="N12">flat_slab(M$8,O$8/10000,Q$8/1000,M12,3)</f>
        <v>上端筋</v>
      </c>
      <c r="R12" s="7" t="str">
        <f t="array" ref="R12">flat_slab(M$8,O$8/10000,Q$8/1000,M12,2)</f>
        <v>Mg1=L ^ 2 / 10 * (g + p)=</v>
      </c>
      <c r="S12" s="6">
        <f t="array" ref="S12">ROUND(flat_slab(M$8,O$8/1000,Q$8/1000,M12,1),4)</f>
        <v>14.4443</v>
      </c>
    </row>
    <row r="13" spans="2:26" x14ac:dyDescent="0.45">
      <c r="B13" t="s">
        <v>8</v>
      </c>
      <c r="C13" s="1" t="str">
        <f t="array" ref="C13">flat_slab(B$8,D$8/10000,F$8/1000,B13,3)</f>
        <v>下端筋</v>
      </c>
      <c r="G13" s="7" t="str">
        <f t="array" ref="G13">flat_slab(B$8,D$8/10000,F$8/1000,B13,2)</f>
        <v>Mg1=L ^ 2 * (g / 20 + p / 13)=</v>
      </c>
      <c r="H13" s="6">
        <f t="array" ref="H13">ROUND(flat_slab(B$8,D$8/1000,F$8/1000,B13,1),4)</f>
        <v>17.5456</v>
      </c>
      <c r="M13" t="s">
        <v>8</v>
      </c>
      <c r="N13" s="1" t="str">
        <f t="array" ref="N13">flat_slab(M$8,O$8/10000,Q$8/1000,M13,3)</f>
        <v>下端筋</v>
      </c>
      <c r="R13" s="7" t="str">
        <f t="array" ref="R13">flat_slab(M$8,O$8/10000,Q$8/1000,M13,2)</f>
        <v>Mg1=L ^ 2 * (g / 20 + p / 13)=</v>
      </c>
      <c r="S13" s="6">
        <f t="array" ref="S13">ROUND(flat_slab(M$8,O$8/1000,Q$8/1000,M13,1),4)</f>
        <v>10.142099999999999</v>
      </c>
      <c r="W13">
        <v>17.100000000000001</v>
      </c>
      <c r="X13">
        <v>1.1000000000000001</v>
      </c>
      <c r="Y13">
        <v>0.5</v>
      </c>
      <c r="Z13">
        <f>W13*X13^2*Y13</f>
        <v>10.345500000000003</v>
      </c>
    </row>
    <row r="14" spans="2:26" x14ac:dyDescent="0.45">
      <c r="B14" t="s">
        <v>14</v>
      </c>
      <c r="C14" s="1" t="str">
        <f t="array" ref="C14">flat_slab(B$8,D$8/10000,F$8/1000,B14,3)</f>
        <v>下端筋</v>
      </c>
      <c r="G14" s="7" t="str">
        <f t="array" ref="G14">flat_slab(B$8,D$8/10000,F$8/1000,B14,2)</f>
        <v>Mg1=L ^ 2 * (g / 26 + p / 13)=</v>
      </c>
      <c r="H14" s="6">
        <f t="array" ref="H14">ROUND(flat_slab(B$8,D$8/1000,F$8/1000,B14,1),4)</f>
        <v>16.827300000000001</v>
      </c>
      <c r="M14" t="s">
        <v>14</v>
      </c>
      <c r="N14" s="1" t="str">
        <f t="array" ref="N14">flat_slab(M$8,O$8/10000,Q$8/1000,M14,3)</f>
        <v>下端筋</v>
      </c>
      <c r="R14" s="7" t="str">
        <f t="array" ref="R14">flat_slab(M$8,O$8/10000,Q$8/1000,M14,2)</f>
        <v>Mg1=L ^ 2 * (g / 26 + p / 13)=</v>
      </c>
      <c r="S14" s="6">
        <f t="array" ref="S14">ROUND(flat_slab(M$8,O$8/1000,Q$8/1000,M14,1),4)</f>
        <v>9.7269000000000005</v>
      </c>
    </row>
    <row r="15" spans="2:26" x14ac:dyDescent="0.45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26" x14ac:dyDescent="0.45">
      <c r="B16" t="s">
        <v>4</v>
      </c>
      <c r="C16" s="1" t="str">
        <f t="array" ref="C16">flat_slab(B$8,D$8/10000,F$8/1000,B16,3)</f>
        <v>上端筋</v>
      </c>
      <c r="G16" s="7" t="str">
        <f t="array" ref="G16">flat_slab(B$8,D$8/10000,F$8/1000,B16,2)</f>
        <v>Mf1=L ^ 2 / 36 * (g + p)=</v>
      </c>
      <c r="H16" s="6">
        <f t="array" ref="H16">ROUND(flat_slab(B$8,D$8/1000,F$8/1000,B16,1),4)</f>
        <v>6.9412000000000003</v>
      </c>
      <c r="M16" t="s">
        <v>4</v>
      </c>
      <c r="N16" s="1" t="str">
        <f t="array" ref="N16">flat_slab(M$8,O$8/10000,Q$8/1000,M16,3)</f>
        <v>上端筋</v>
      </c>
      <c r="R16" s="7" t="str">
        <f t="array" ref="R16">flat_slab(M$8,O$8/10000,Q$8/1000,M16,2)</f>
        <v>Mf1=L ^ 2 / 36 * (g + p)=</v>
      </c>
      <c r="S16" s="6">
        <f t="array" ref="S16">ROUND(flat_slab(M$8,O$8/1000,Q$8/1000,M16,1),4)</f>
        <v>4.0122999999999998</v>
      </c>
    </row>
    <row r="17" spans="2:21" x14ac:dyDescent="0.45">
      <c r="B17" t="s">
        <v>5</v>
      </c>
      <c r="C17" s="1" t="str">
        <f t="array" ref="C17">flat_slab(B$8,D$8/10000,F$8/1000,B17,3)</f>
        <v>上端筋</v>
      </c>
      <c r="G17" s="7" t="str">
        <f t="array" ref="G17">flat_slab(B$8,D$8/10000,F$8/1000,B17,2)</f>
        <v>Mf1=L ^ 2 / 24 * (g + p)=</v>
      </c>
      <c r="H17" s="6">
        <f t="array" ref="H17">ROUND(flat_slab(B$8,D$8/1000,F$8/1000,B17,1),4)</f>
        <v>10.411799999999999</v>
      </c>
      <c r="M17" t="s">
        <v>5</v>
      </c>
      <c r="N17" s="1" t="str">
        <f t="array" ref="N17">flat_slab(M$8,O$8/10000,Q$8/1000,M17,3)</f>
        <v>上端筋</v>
      </c>
      <c r="R17" s="7" t="str">
        <f t="array" ref="R17">flat_slab(M$8,O$8/10000,Q$8/1000,M17,2)</f>
        <v>Mf1=L ^ 2 / 24 * (g + p)=</v>
      </c>
      <c r="S17" s="6">
        <f t="array" ref="S17">ROUND(flat_slab(M$8,O$8/1000,Q$8/1000,M17,1),4)</f>
        <v>6.0185000000000004</v>
      </c>
    </row>
    <row r="18" spans="2:21" x14ac:dyDescent="0.45">
      <c r="B18" t="s">
        <v>6</v>
      </c>
      <c r="C18" s="1" t="str">
        <f t="array" ref="C18">flat_slab(B$8,D$8/10000,F$8/1000,B18,3)</f>
        <v>上端筋</v>
      </c>
      <c r="G18" s="7" t="str">
        <f t="array" ref="G18">flat_slab(B$8,D$8/10000,F$8/1000,B18,2)</f>
        <v>Mf1=L ^ 2 / 30 * (g + p)=</v>
      </c>
      <c r="H18" s="6">
        <f t="array" ref="H18">ROUND(flat_slab(B$8,D$8/1000,F$8/1000,B18,1),4)</f>
        <v>8.3294999999999995</v>
      </c>
      <c r="M18" t="s">
        <v>6</v>
      </c>
      <c r="N18" s="1" t="str">
        <f t="array" ref="N18">flat_slab(M$8,O$8/10000,Q$8/1000,M18,3)</f>
        <v>上端筋</v>
      </c>
      <c r="R18" s="7" t="str">
        <f t="array" ref="R18">flat_slab(M$8,O$8/10000,Q$8/1000,M18,2)</f>
        <v>Mf1=L ^ 2 / 30 * (g + p)=</v>
      </c>
      <c r="S18" s="6">
        <f t="array" ref="S18">ROUND(flat_slab(M$8,O$8/1000,Q$8/1000,M18,1),4)</f>
        <v>4.8148</v>
      </c>
    </row>
    <row r="19" spans="2:21" x14ac:dyDescent="0.45">
      <c r="B19" t="s">
        <v>16</v>
      </c>
      <c r="C19" s="1" t="str">
        <f t="array" ref="C19">flat_slab(B$8,D$8/10000,F$8/1000,B19,3)</f>
        <v>下端筋</v>
      </c>
      <c r="G19" s="7" t="str">
        <f t="array" ref="G19">flat_slab(B$8,D$8/10000,F$8/1000,B19,2)</f>
        <v>Mg1=L ^ 2 * (g / 26 + p / 16)=</v>
      </c>
      <c r="H19" s="6">
        <f t="array" ref="H19">ROUND(flat_slab(B$8,D$8/1000,F$8/1000,B19,1),4)</f>
        <v>14.1211</v>
      </c>
      <c r="M19" t="s">
        <v>16</v>
      </c>
      <c r="N19" s="1" t="str">
        <f t="array" ref="N19">flat_slab(M$8,O$8/10000,Q$8/1000,M19,3)</f>
        <v>下端筋</v>
      </c>
      <c r="R19" s="7" t="str">
        <f t="array" ref="R19">flat_slab(M$8,O$8/10000,Q$8/1000,M19,2)</f>
        <v>Mg1=L ^ 2 * (g / 26 + p / 16)=</v>
      </c>
      <c r="S19" s="6">
        <f t="array" ref="S19">ROUND(flat_slab(M$8,O$8/1000,Q$8/1000,M19,1),4)</f>
        <v>8.1625999999999994</v>
      </c>
    </row>
    <row r="20" spans="2:21" x14ac:dyDescent="0.45">
      <c r="B20" t="s">
        <v>17</v>
      </c>
      <c r="C20" s="1" t="str">
        <f t="array" ref="C20">flat_slab(B$8,D$8/10000,F$8/1000,B20,3)</f>
        <v>下端筋</v>
      </c>
      <c r="G20" s="7" t="str">
        <f t="array" ref="G20">flat_slab(B$8,D$8/10000,F$8/1000,B20,2)</f>
        <v>Mg1=L ^ 2 * (g / 32 + p / 16)=</v>
      </c>
      <c r="H20" s="6">
        <f t="array" ref="H20">ROUND(flat_slab(B$8,D$8/1000,F$8/1000,B20,1),4)</f>
        <v>13.6722</v>
      </c>
      <c r="M20" t="s">
        <v>17</v>
      </c>
      <c r="N20" s="1" t="str">
        <f t="array" ref="N20">flat_slab(M$8,O$8/10000,Q$8/1000,M20,3)</f>
        <v>下端筋</v>
      </c>
      <c r="R20" s="7" t="str">
        <f t="array" ref="R20">flat_slab(M$8,O$8/10000,Q$8/1000,M20,2)</f>
        <v>Mg1=L ^ 2 * (g / 32 + p / 16)=</v>
      </c>
      <c r="S20" s="6">
        <f t="array" ref="S20">ROUND(flat_slab(M$8,O$8/1000,Q$8/1000,M20,1),4)</f>
        <v>7.9031000000000002</v>
      </c>
    </row>
    <row r="22" spans="2:21" x14ac:dyDescent="0.45">
      <c r="B22" t="s">
        <v>23</v>
      </c>
      <c r="C22" s="4" t="s">
        <v>19</v>
      </c>
      <c r="D22" s="4" t="s">
        <v>20</v>
      </c>
      <c r="E22" s="4" t="s">
        <v>21</v>
      </c>
      <c r="G22" s="4" t="s">
        <v>25</v>
      </c>
      <c r="M22" t="s">
        <v>23</v>
      </c>
      <c r="N22" s="4" t="s">
        <v>19</v>
      </c>
      <c r="O22" s="4" t="s">
        <v>20</v>
      </c>
      <c r="P22" s="4" t="s">
        <v>21</v>
      </c>
      <c r="R22" s="4" t="s">
        <v>25</v>
      </c>
    </row>
    <row r="23" spans="2:21" x14ac:dyDescent="0.45">
      <c r="B23" t="s">
        <v>24</v>
      </c>
      <c r="C23" s="4">
        <f>D4</f>
        <v>150</v>
      </c>
      <c r="D23" s="4">
        <v>30</v>
      </c>
      <c r="E23" s="4">
        <v>50</v>
      </c>
      <c r="G23">
        <v>195</v>
      </c>
      <c r="M23" t="s">
        <v>24</v>
      </c>
      <c r="N23" s="4">
        <f>C23</f>
        <v>150</v>
      </c>
      <c r="O23" s="4">
        <v>30</v>
      </c>
      <c r="P23" s="4">
        <v>50</v>
      </c>
      <c r="R23">
        <v>195</v>
      </c>
    </row>
    <row r="25" spans="2:21" x14ac:dyDescent="0.45">
      <c r="B25" t="s">
        <v>13</v>
      </c>
      <c r="M25" t="s">
        <v>13</v>
      </c>
    </row>
    <row r="26" spans="2:21" x14ac:dyDescent="0.45">
      <c r="C26" t="s">
        <v>22</v>
      </c>
      <c r="N26" t="s">
        <v>22</v>
      </c>
    </row>
    <row r="27" spans="2:21" x14ac:dyDescent="0.45">
      <c r="B27" t="s">
        <v>7</v>
      </c>
      <c r="C27" s="6">
        <f>H10</f>
        <v>20.823599999999999</v>
      </c>
      <c r="D27" s="1" t="str">
        <f>C10</f>
        <v>上端筋</v>
      </c>
      <c r="E27" t="s">
        <v>18</v>
      </c>
      <c r="F27">
        <f>C$23-D$23-bar_1(E27,4)/2</f>
        <v>113</v>
      </c>
      <c r="G27">
        <f>F27*7/8</f>
        <v>98.875</v>
      </c>
      <c r="H27" s="9">
        <f>C27*1000*1000/(G$23*G27)</f>
        <v>1080.0272294077604</v>
      </c>
      <c r="I27" s="9">
        <f t="array" ref="I27">bar_1(J27,1)</f>
        <v>1270</v>
      </c>
      <c r="J27" s="9" t="str">
        <f>use_bar(H27,E27,1)</f>
        <v>D13@ 100</v>
      </c>
      <c r="M27" t="s">
        <v>7</v>
      </c>
      <c r="N27" s="6">
        <f>S10</f>
        <v>12.036899999999999</v>
      </c>
      <c r="O27" s="1" t="str">
        <f>N10</f>
        <v>上端筋</v>
      </c>
      <c r="P27" t="s">
        <v>18</v>
      </c>
      <c r="Q27">
        <f>N$23-O$23-bar_1(P27,4)*1.5</f>
        <v>99</v>
      </c>
      <c r="R27">
        <f>Q27*7/8</f>
        <v>86.625</v>
      </c>
      <c r="S27" s="9">
        <f>N27*1000*1000/(R$23*R27)</f>
        <v>712.58519258519254</v>
      </c>
      <c r="T27" s="8">
        <f>bar_1(U27,1)</f>
        <v>846.66666666666674</v>
      </c>
      <c r="U27" s="9" t="str">
        <f>use_bar(S27,P27,1)</f>
        <v>D13@ 150</v>
      </c>
    </row>
    <row r="28" spans="2:21" x14ac:dyDescent="0.45">
      <c r="B28" t="s">
        <v>9</v>
      </c>
      <c r="C28" s="6">
        <f t="shared" ref="C28:C37" si="0">H11</f>
        <v>31.235399999999998</v>
      </c>
      <c r="D28" s="1" t="str">
        <f t="shared" ref="D28:D37" si="1">C11</f>
        <v>上端筋</v>
      </c>
      <c r="E28" t="str">
        <f>E27</f>
        <v>D13</v>
      </c>
      <c r="F28">
        <f>C$23-D$23-bar_1(E28,4)/2</f>
        <v>113</v>
      </c>
      <c r="G28">
        <f t="shared" ref="G28:G37" si="2">F28*7/8</f>
        <v>98.875</v>
      </c>
      <c r="H28" s="9">
        <f>C28*1000*1000/(G$23*G28)</f>
        <v>1620.0408441116404</v>
      </c>
      <c r="I28" s="9">
        <f t="array" ref="I28">bar_1(J28,1)</f>
        <v>1693.3333333333335</v>
      </c>
      <c r="J28" s="9" t="str">
        <f t="shared" ref="J28:J37" si="3">use_bar(H28,E28,1)</f>
        <v>D13@ 75</v>
      </c>
      <c r="M28" t="s">
        <v>9</v>
      </c>
      <c r="N28" s="6">
        <f>S11</f>
        <v>18.055399999999999</v>
      </c>
      <c r="O28" s="1" t="str">
        <f>N11</f>
        <v>上端筋</v>
      </c>
      <c r="P28" t="str">
        <f>P27</f>
        <v>D13</v>
      </c>
      <c r="Q28">
        <f>N$23-O$23-bar_1(P28,4)*1.5</f>
        <v>99</v>
      </c>
      <c r="R28">
        <f>Q28*7/8</f>
        <v>86.625</v>
      </c>
      <c r="S28" s="9">
        <f>N28*1000*1000/(R$23*R28)</f>
        <v>1068.8807488807486</v>
      </c>
      <c r="T28" s="8">
        <f t="shared" ref="T28:T37" si="4">bar_1(U28,1)</f>
        <v>1270</v>
      </c>
      <c r="U28" s="9" t="str">
        <f t="shared" ref="U28:U37" si="5">use_bar(S28,P28,1)</f>
        <v>D13@ 100</v>
      </c>
    </row>
    <row r="29" spans="2:21" x14ac:dyDescent="0.45">
      <c r="B29" t="s">
        <v>10</v>
      </c>
      <c r="C29" s="6">
        <f t="shared" si="0"/>
        <v>24.988399999999999</v>
      </c>
      <c r="D29" s="1" t="str">
        <f t="shared" si="1"/>
        <v>上端筋</v>
      </c>
      <c r="E29" t="str">
        <f>E28</f>
        <v>D13</v>
      </c>
      <c r="F29">
        <f t="array" ref="F29">C$23-D$23-bar_1(E29,4)/2</f>
        <v>113</v>
      </c>
      <c r="G29">
        <f t="shared" si="2"/>
        <v>98.875</v>
      </c>
      <c r="H29" s="9">
        <f t="shared" ref="H29:H37" si="6">C29*1000*1000/(G$23*G29)</f>
        <v>1296.0368245323996</v>
      </c>
      <c r="I29" s="9">
        <f t="array" ref="I29">bar_1(J29,1)</f>
        <v>1693.3333333333335</v>
      </c>
      <c r="J29" s="9" t="str">
        <f t="shared" si="3"/>
        <v>D13@ 75</v>
      </c>
      <c r="M29" t="s">
        <v>10</v>
      </c>
      <c r="N29" s="6">
        <f>S12</f>
        <v>14.4443</v>
      </c>
      <c r="O29" s="1" t="str">
        <f>N12</f>
        <v>上端筋</v>
      </c>
      <c r="P29" t="str">
        <f>P28</f>
        <v>D13</v>
      </c>
      <c r="Q29">
        <f>N$23-O$23-bar_1(P29,4)*1.5</f>
        <v>99</v>
      </c>
      <c r="R29">
        <f>Q29*7/8</f>
        <v>86.625</v>
      </c>
      <c r="S29" s="9">
        <f>N29*1000*1000/(R$23*R29)</f>
        <v>855.10341510341516</v>
      </c>
      <c r="T29" s="8">
        <f t="shared" si="4"/>
        <v>1270</v>
      </c>
      <c r="U29" s="9" t="str">
        <f t="shared" si="5"/>
        <v>D13@ 100</v>
      </c>
    </row>
    <row r="30" spans="2:21" x14ac:dyDescent="0.45">
      <c r="B30" t="s">
        <v>8</v>
      </c>
      <c r="C30" s="6">
        <f t="shared" si="0"/>
        <v>17.5456</v>
      </c>
      <c r="D30" s="1" t="str">
        <f t="shared" si="1"/>
        <v>下端筋</v>
      </c>
      <c r="E30" t="s">
        <v>64</v>
      </c>
      <c r="F30">
        <f t="array" ref="F30">C$23-E$23-bar_1(E30,4)/2</f>
        <v>93</v>
      </c>
      <c r="G30">
        <f t="shared" si="2"/>
        <v>81.375</v>
      </c>
      <c r="H30" s="9">
        <f t="shared" si="6"/>
        <v>1105.7134979715624</v>
      </c>
      <c r="I30" s="9">
        <f t="array" ref="I30">bar_1(J30,1)</f>
        <v>1320</v>
      </c>
      <c r="J30" s="9" t="str">
        <f t="shared" si="3"/>
        <v>D10D13@ 75</v>
      </c>
      <c r="M30" t="s">
        <v>8</v>
      </c>
      <c r="N30" s="6">
        <f>S13</f>
        <v>10.142099999999999</v>
      </c>
      <c r="O30" s="1" t="str">
        <f>N13</f>
        <v>下端筋</v>
      </c>
      <c r="P30" t="s">
        <v>64</v>
      </c>
      <c r="Q30">
        <f>N$23-P$23-bar_1(P30,4)*1.5</f>
        <v>79</v>
      </c>
      <c r="R30">
        <f>Q30*7/8</f>
        <v>69.125</v>
      </c>
      <c r="S30" s="9">
        <f>N30*1000*1000/(R$23*R30)</f>
        <v>752.41619140353305</v>
      </c>
      <c r="T30" s="8">
        <f t="shared" si="4"/>
        <v>990</v>
      </c>
      <c r="U30" s="9" t="str">
        <f t="shared" si="5"/>
        <v>D10D13@ 100</v>
      </c>
    </row>
    <row r="31" spans="2:21" x14ac:dyDescent="0.45">
      <c r="B31" t="s">
        <v>14</v>
      </c>
      <c r="C31" s="6">
        <f t="shared" si="0"/>
        <v>16.827300000000001</v>
      </c>
      <c r="D31" s="1" t="str">
        <f t="shared" si="1"/>
        <v>下端筋</v>
      </c>
      <c r="E31" t="str">
        <f>E30</f>
        <v>D10D13</v>
      </c>
      <c r="F31">
        <f t="array" ref="F31">C$23-E$23-bar_1(E31,4)/2</f>
        <v>93</v>
      </c>
      <c r="G31">
        <f t="shared" si="2"/>
        <v>81.375</v>
      </c>
      <c r="H31" s="9">
        <f t="shared" si="6"/>
        <v>1060.4466501240695</v>
      </c>
      <c r="I31" s="9">
        <f t="shared" ref="I31:I37" si="7">bar_1(J31,1)</f>
        <v>1320</v>
      </c>
      <c r="J31" s="9" t="str">
        <f t="shared" si="3"/>
        <v>D10D13@ 75</v>
      </c>
      <c r="M31" t="s">
        <v>14</v>
      </c>
      <c r="N31" s="6">
        <f>S14</f>
        <v>9.7269000000000005</v>
      </c>
      <c r="O31" s="1" t="str">
        <f>N14</f>
        <v>下端筋</v>
      </c>
      <c r="P31" t="str">
        <f>P30</f>
        <v>D10D13</v>
      </c>
      <c r="Q31">
        <f>N$23-P$23-bar_1(P31,4)*1.5</f>
        <v>79</v>
      </c>
      <c r="R31">
        <f>Q31*7/8</f>
        <v>69.125</v>
      </c>
      <c r="S31" s="9">
        <f>N31*1000*1000/(R$23*R31)</f>
        <v>721.61357629712074</v>
      </c>
      <c r="T31" s="8">
        <f t="shared" si="4"/>
        <v>990</v>
      </c>
      <c r="U31" s="9" t="str">
        <f t="shared" si="5"/>
        <v>D10D13@ 100</v>
      </c>
    </row>
    <row r="32" spans="2:21" x14ac:dyDescent="0.45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5">
      <c r="B33" t="s">
        <v>4</v>
      </c>
      <c r="C33" s="6">
        <f t="shared" si="0"/>
        <v>6.9412000000000003</v>
      </c>
      <c r="D33" s="1" t="str">
        <f t="shared" si="1"/>
        <v>上端筋</v>
      </c>
      <c r="E33" t="s">
        <v>18</v>
      </c>
      <c r="F33">
        <f t="array" ref="F33">C$23-D$23-bar_1(E33,4)/2</f>
        <v>113</v>
      </c>
      <c r="G33">
        <f t="shared" si="2"/>
        <v>98.875</v>
      </c>
      <c r="H33" s="9">
        <f t="shared" si="6"/>
        <v>360.00907646925344</v>
      </c>
      <c r="I33" s="9">
        <f t="shared" si="7"/>
        <v>423.33333333333337</v>
      </c>
      <c r="J33" s="9" t="str">
        <f t="shared" si="3"/>
        <v>D13@ 300</v>
      </c>
      <c r="M33" t="s">
        <v>4</v>
      </c>
      <c r="N33" s="6">
        <f>S16</f>
        <v>4.0122999999999998</v>
      </c>
      <c r="O33" s="1" t="str">
        <f>N16</f>
        <v>上端筋</v>
      </c>
      <c r="P33" t="s">
        <v>18</v>
      </c>
      <c r="Q33">
        <f>N$23-O$23-bar_1(P33,4)*1.5</f>
        <v>99</v>
      </c>
      <c r="R33">
        <f>Q33*7/8</f>
        <v>86.625</v>
      </c>
      <c r="S33" s="9">
        <f>N33*1000*1000/(R$23*R33)</f>
        <v>237.52839752839751</v>
      </c>
      <c r="T33" s="8">
        <f t="shared" si="4"/>
        <v>423.33333333333337</v>
      </c>
      <c r="U33" s="9" t="str">
        <f t="shared" si="5"/>
        <v>D13@ 300</v>
      </c>
    </row>
    <row r="34" spans="2:21" x14ac:dyDescent="0.45">
      <c r="B34" t="s">
        <v>5</v>
      </c>
      <c r="C34" s="6">
        <f t="shared" si="0"/>
        <v>10.411799999999999</v>
      </c>
      <c r="D34" s="1" t="str">
        <f t="shared" si="1"/>
        <v>上端筋</v>
      </c>
      <c r="E34" t="str">
        <f>E33</f>
        <v>D13</v>
      </c>
      <c r="F34">
        <f t="array" ref="F34">C$23-D$23-bar_1(E34,4)/2</f>
        <v>113</v>
      </c>
      <c r="G34">
        <f t="shared" si="2"/>
        <v>98.875</v>
      </c>
      <c r="H34" s="9">
        <f t="shared" si="6"/>
        <v>540.01361470388019</v>
      </c>
      <c r="I34" s="9">
        <f t="shared" si="7"/>
        <v>635</v>
      </c>
      <c r="J34" s="9" t="str">
        <f t="shared" si="3"/>
        <v>D13@ 200</v>
      </c>
      <c r="M34" t="s">
        <v>5</v>
      </c>
      <c r="N34" s="6">
        <f>S17</f>
        <v>6.0185000000000004</v>
      </c>
      <c r="O34" s="1" t="str">
        <f>N17</f>
        <v>上端筋</v>
      </c>
      <c r="P34" t="str">
        <f>P33</f>
        <v>D13</v>
      </c>
      <c r="Q34">
        <f>N$23-O$23-bar_1(P34,4)*1.5</f>
        <v>99</v>
      </c>
      <c r="R34">
        <f>Q34*7/8</f>
        <v>86.625</v>
      </c>
      <c r="S34" s="9">
        <f>N34*1000*1000/(R$23*R34)</f>
        <v>356.29555629555631</v>
      </c>
      <c r="T34" s="8">
        <f t="shared" si="4"/>
        <v>423.33333333333337</v>
      </c>
      <c r="U34" s="9" t="str">
        <f t="shared" si="5"/>
        <v>D13@ 300</v>
      </c>
    </row>
    <row r="35" spans="2:21" x14ac:dyDescent="0.45">
      <c r="B35" t="s">
        <v>6</v>
      </c>
      <c r="C35" s="6">
        <f t="shared" si="0"/>
        <v>8.3294999999999995</v>
      </c>
      <c r="D35" s="1" t="str">
        <f t="shared" si="1"/>
        <v>上端筋</v>
      </c>
      <c r="E35" t="str">
        <f>E34</f>
        <v>D13</v>
      </c>
      <c r="F35">
        <f t="array" ref="F35">C$23-D$23-bar_1(E35,4)/2</f>
        <v>113</v>
      </c>
      <c r="G35">
        <f t="shared" si="2"/>
        <v>98.875</v>
      </c>
      <c r="H35" s="9">
        <f t="shared" si="6"/>
        <v>432.0140036954196</v>
      </c>
      <c r="I35" s="9">
        <f t="shared" si="7"/>
        <v>508</v>
      </c>
      <c r="J35" s="9" t="str">
        <f t="shared" si="3"/>
        <v>D13@ 250</v>
      </c>
      <c r="M35" t="s">
        <v>6</v>
      </c>
      <c r="N35" s="6">
        <f>S18</f>
        <v>4.8148</v>
      </c>
      <c r="O35" s="1" t="str">
        <f>N18</f>
        <v>上端筋</v>
      </c>
      <c r="P35" t="str">
        <f>P34</f>
        <v>D13</v>
      </c>
      <c r="Q35">
        <f>N$23-O$23-bar_1(P35,4)*1.5</f>
        <v>99</v>
      </c>
      <c r="R35">
        <f>Q35*7/8</f>
        <v>86.625</v>
      </c>
      <c r="S35" s="9">
        <f>N35*1000*1000/(R$23*R35)</f>
        <v>285.03644503644506</v>
      </c>
      <c r="T35" s="8">
        <f t="shared" si="4"/>
        <v>423.33333333333337</v>
      </c>
      <c r="U35" s="9" t="str">
        <f t="shared" si="5"/>
        <v>D13@ 300</v>
      </c>
    </row>
    <row r="36" spans="2:21" x14ac:dyDescent="0.45">
      <c r="B36" t="s">
        <v>16</v>
      </c>
      <c r="C36" s="6">
        <f t="shared" si="0"/>
        <v>14.1211</v>
      </c>
      <c r="D36" s="1" t="str">
        <f t="shared" si="1"/>
        <v>下端筋</v>
      </c>
      <c r="E36" t="str">
        <f>E35</f>
        <v>D13</v>
      </c>
      <c r="F36">
        <f t="array" ref="F36">C$23-E$23-bar_1(E36,4)/2</f>
        <v>93</v>
      </c>
      <c r="G36">
        <f t="shared" si="2"/>
        <v>81.375</v>
      </c>
      <c r="H36" s="9">
        <f t="shared" si="6"/>
        <v>889.90350151640473</v>
      </c>
      <c r="I36" s="9">
        <f t="shared" si="7"/>
        <v>1270</v>
      </c>
      <c r="J36" s="9" t="str">
        <f t="shared" si="3"/>
        <v>D13@ 100</v>
      </c>
      <c r="M36" t="s">
        <v>16</v>
      </c>
      <c r="N36" s="6">
        <f>S19</f>
        <v>8.1625999999999994</v>
      </c>
      <c r="O36" s="1" t="str">
        <f>N19</f>
        <v>下端筋</v>
      </c>
      <c r="P36" t="str">
        <f>P35</f>
        <v>D13</v>
      </c>
      <c r="Q36">
        <f>N$23-P$23-bar_1(P36,4)*1.5</f>
        <v>79</v>
      </c>
      <c r="R36">
        <f>Q36*7/8</f>
        <v>69.125</v>
      </c>
      <c r="S36" s="9">
        <f>N36*1000*1000/(R$23*R36)</f>
        <v>605.56220151156856</v>
      </c>
      <c r="T36" s="8">
        <f t="shared" si="4"/>
        <v>635</v>
      </c>
      <c r="U36" s="9" t="str">
        <f t="shared" si="5"/>
        <v>D13@ 200</v>
      </c>
    </row>
    <row r="37" spans="2:21" x14ac:dyDescent="0.45">
      <c r="B37" t="s">
        <v>17</v>
      </c>
      <c r="C37" s="6">
        <f t="shared" si="0"/>
        <v>13.6722</v>
      </c>
      <c r="D37" s="1" t="str">
        <f t="shared" si="1"/>
        <v>下端筋</v>
      </c>
      <c r="E37" t="str">
        <f>E36</f>
        <v>D13</v>
      </c>
      <c r="F37">
        <f t="array" ref="F37">C$23-E$23-bar_1(E37,4)/2</f>
        <v>93</v>
      </c>
      <c r="G37">
        <f t="shared" si="2"/>
        <v>81.375</v>
      </c>
      <c r="H37" s="9">
        <f t="shared" si="6"/>
        <v>861.61408483989135</v>
      </c>
      <c r="I37" s="9">
        <f t="shared" si="7"/>
        <v>1270</v>
      </c>
      <c r="J37" s="9" t="str">
        <f t="shared" si="3"/>
        <v>D13@ 100</v>
      </c>
      <c r="M37" t="s">
        <v>17</v>
      </c>
      <c r="N37" s="6">
        <f>S20</f>
        <v>7.9031000000000002</v>
      </c>
      <c r="O37" s="1" t="str">
        <f>N20</f>
        <v>下端筋</v>
      </c>
      <c r="P37" t="str">
        <f>P36</f>
        <v>D13</v>
      </c>
      <c r="Q37">
        <f>N$23-P$23-bar_1(P37,4)*1.5</f>
        <v>79</v>
      </c>
      <c r="R37">
        <f>Q37*7/8</f>
        <v>69.125</v>
      </c>
      <c r="S37" s="9">
        <f>N37*1000*1000/(R$23*R37)</f>
        <v>586.31056707006076</v>
      </c>
      <c r="T37" s="8">
        <f t="shared" si="4"/>
        <v>635</v>
      </c>
      <c r="U37" s="9" t="str">
        <f t="shared" si="5"/>
        <v>D13@ 200</v>
      </c>
    </row>
    <row r="40" spans="2:21" x14ac:dyDescent="0.45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5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5">
      <c r="B42" s="14">
        <v>4</v>
      </c>
      <c r="C42" s="14"/>
      <c r="D42" s="14">
        <f>+D8</f>
        <v>3650</v>
      </c>
      <c r="E42" s="14"/>
      <c r="F42" s="14">
        <v>9000</v>
      </c>
      <c r="G42" s="14"/>
      <c r="H42" s="12"/>
      <c r="I42" s="12"/>
      <c r="J42" s="12"/>
      <c r="K42" s="12"/>
      <c r="L42" s="12"/>
      <c r="M42" s="14">
        <f>+M8</f>
        <v>3.14</v>
      </c>
      <c r="N42" s="14"/>
      <c r="O42" s="14">
        <f>+O8</f>
        <v>3650</v>
      </c>
      <c r="P42" s="14"/>
      <c r="Q42" s="14">
        <v>9000</v>
      </c>
      <c r="R42" s="14"/>
      <c r="S42" s="12"/>
      <c r="T42" s="12"/>
      <c r="U42" s="12"/>
    </row>
    <row r="43" spans="2:21" x14ac:dyDescent="0.45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5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10.411799999999999</v>
      </c>
      <c r="I44" s="12">
        <f>J44/2-H44</f>
        <v>0</v>
      </c>
      <c r="J44" s="17">
        <f t="shared" ref="J44:J54" si="8">+H10</f>
        <v>20.823599999999999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6.0185000000000004</v>
      </c>
      <c r="T44" s="12">
        <f>+U44/2-S44</f>
        <v>-5.0000000000771649E-5</v>
      </c>
      <c r="U44" s="17">
        <f>S10</f>
        <v>12.036899999999999</v>
      </c>
    </row>
    <row r="45" spans="2:21" x14ac:dyDescent="0.45">
      <c r="B45" s="12" t="s">
        <v>60</v>
      </c>
      <c r="C45" s="15" t="str">
        <f>flat_slab_side(B$8,D$8/10000,F$8/1000,B45,3)</f>
        <v>上端筋</v>
      </c>
      <c r="D45" s="12"/>
      <c r="E45" s="12"/>
      <c r="F45" s="12"/>
      <c r="G45" s="16" t="str">
        <f>flat_slab_side(B$8,D$8/10000,F$8/1000,B45,2)</f>
        <v>Mg3'=L ^ 2 / 8 * (g + p) /2=</v>
      </c>
      <c r="H45" s="17">
        <f>ROUND(flat_slab_side(B$8,D$8/1000,F$8/1000,B45,1),4)</f>
        <v>15.617699999999999</v>
      </c>
      <c r="I45" s="12">
        <f>J45/2-H45</f>
        <v>0</v>
      </c>
      <c r="J45" s="17">
        <f t="shared" si="8"/>
        <v>31.235399999999998</v>
      </c>
      <c r="K45" s="12"/>
      <c r="L45" s="12"/>
      <c r="M45" s="12" t="str">
        <f t="shared" ref="M45:M54" si="9">B45</f>
        <v>Mg3'</v>
      </c>
      <c r="N45" s="15" t="str">
        <f t="shared" ref="N45:N54" si="10">flat_slab_side(M$8,O$8/10000,Q$8/1000,M45,3)</f>
        <v>上端筋</v>
      </c>
      <c r="O45" s="12"/>
      <c r="P45" s="12"/>
      <c r="Q45" s="12"/>
      <c r="R45" s="16" t="str">
        <f t="shared" ref="R45:R54" si="11">flat_slab_side(M$8,O$8/10000,Q$8/1000,M45,2)</f>
        <v>Mg3'=L ^ 2 / 8 * (g + p) /2=</v>
      </c>
      <c r="S45" s="17">
        <f t="shared" ref="S45:S54" si="12">ROUND(flat_slab_side(M$8,O$8/1000,Q$8/1000,M45,1),4)</f>
        <v>9.0276999999999994</v>
      </c>
      <c r="T45" s="12">
        <f>+U45/2-S45</f>
        <v>0</v>
      </c>
      <c r="U45" s="17">
        <f t="shared" ref="U45:U54" si="13">S11</f>
        <v>18.055399999999999</v>
      </c>
    </row>
    <row r="46" spans="2:21" x14ac:dyDescent="0.45">
      <c r="B46" s="12" t="s">
        <v>61</v>
      </c>
      <c r="C46" s="15" t="str">
        <f>flat_slab_side(B$8,D$8/10000,F$8/1000,B46,3)</f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12.494199999999999</v>
      </c>
      <c r="I46" s="12">
        <f>J46/2-H46</f>
        <v>0</v>
      </c>
      <c r="J46" s="17">
        <f t="shared" si="8"/>
        <v>24.988399999999999</v>
      </c>
      <c r="K46" s="12"/>
      <c r="L46" s="12"/>
      <c r="M46" s="12" t="str">
        <f t="shared" si="9"/>
        <v>Mg5'</v>
      </c>
      <c r="N46" s="15" t="str">
        <f t="shared" si="10"/>
        <v>上端筋</v>
      </c>
      <c r="O46" s="12"/>
      <c r="P46" s="12"/>
      <c r="Q46" s="12"/>
      <c r="R46" s="16" t="str">
        <f t="shared" si="11"/>
        <v>Mg5'=L ^ 2 / 10 * (g + p) /2=</v>
      </c>
      <c r="S46" s="17">
        <f t="shared" si="12"/>
        <v>7.2222</v>
      </c>
      <c r="T46" s="12">
        <f>+U46/2-S46</f>
        <v>-4.9999999999883471E-5</v>
      </c>
      <c r="U46" s="17">
        <f t="shared" si="13"/>
        <v>14.4443</v>
      </c>
    </row>
    <row r="47" spans="2:21" x14ac:dyDescent="0.45">
      <c r="B47" s="12" t="s">
        <v>62</v>
      </c>
      <c r="C47" s="15" t="str">
        <f>flat_slab_side(B$8,D$8/10000,F$8/1000,B47,3)</f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8.7728000000000002</v>
      </c>
      <c r="I47" s="12">
        <f>J47/2-H47</f>
        <v>0</v>
      </c>
      <c r="J47" s="17">
        <f t="shared" si="8"/>
        <v>17.5456</v>
      </c>
      <c r="K47" s="12"/>
      <c r="L47" s="12"/>
      <c r="M47" s="12" t="str">
        <f t="shared" si="9"/>
        <v>Mg2'</v>
      </c>
      <c r="N47" s="15" t="str">
        <f t="shared" si="10"/>
        <v>下端筋</v>
      </c>
      <c r="O47" s="12"/>
      <c r="P47" s="12"/>
      <c r="Q47" s="12"/>
      <c r="R47" s="16" t="str">
        <f t="shared" si="11"/>
        <v>Mg2'=L ^ 2 * (g / 20 + p / 13) /2=</v>
      </c>
      <c r="S47" s="17">
        <f t="shared" si="12"/>
        <v>5.0711000000000004</v>
      </c>
      <c r="T47" s="12">
        <f>+U47/2-S47</f>
        <v>-5.0000000000771649E-5</v>
      </c>
      <c r="U47" s="17">
        <f t="shared" si="13"/>
        <v>10.142099999999999</v>
      </c>
    </row>
    <row r="48" spans="2:21" x14ac:dyDescent="0.45">
      <c r="B48" s="12" t="s">
        <v>63</v>
      </c>
      <c r="C48" s="15" t="str">
        <f>flat_slab_side(B$8,D$8/10000,F$8/1000,B48,3)</f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8.4136000000000006</v>
      </c>
      <c r="I48" s="12">
        <f>J48/2-H48</f>
        <v>4.9999999999883471E-5</v>
      </c>
      <c r="J48" s="17">
        <f t="shared" si="8"/>
        <v>16.827300000000001</v>
      </c>
      <c r="K48" s="12"/>
      <c r="L48" s="12"/>
      <c r="M48" s="12" t="str">
        <f t="shared" si="9"/>
        <v>Mg4'</v>
      </c>
      <c r="N48" s="15" t="str">
        <f t="shared" si="10"/>
        <v>下端筋</v>
      </c>
      <c r="O48" s="12"/>
      <c r="P48" s="12"/>
      <c r="Q48" s="12"/>
      <c r="R48" s="16" t="str">
        <f t="shared" si="11"/>
        <v>Mg4'=L ^ 2 * (g / 26 + p / 13) /2=</v>
      </c>
      <c r="S48" s="17">
        <f t="shared" si="12"/>
        <v>4.8634000000000004</v>
      </c>
      <c r="T48" s="12">
        <f>+U48/2-S48</f>
        <v>4.9999999999883471E-5</v>
      </c>
      <c r="U48" s="17">
        <f t="shared" si="13"/>
        <v>9.7269000000000005</v>
      </c>
    </row>
    <row r="49" spans="2:21" x14ac:dyDescent="0.45">
      <c r="B49" s="12" t="s">
        <v>15</v>
      </c>
      <c r="C49" s="15"/>
      <c r="D49" s="12"/>
      <c r="E49" s="12"/>
      <c r="F49" s="12"/>
      <c r="G49" s="16"/>
      <c r="H49" s="17"/>
      <c r="I49" s="12"/>
      <c r="J49" s="17">
        <f t="shared" si="8"/>
        <v>0</v>
      </c>
      <c r="K49" s="12"/>
      <c r="L49" s="12"/>
      <c r="M49" s="12" t="str">
        <f t="shared" si="9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5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5.2058999999999997</v>
      </c>
      <c r="I50" s="12">
        <f>J50*3/4-H50</f>
        <v>0</v>
      </c>
      <c r="J50" s="17">
        <f t="shared" si="8"/>
        <v>6.9412000000000003</v>
      </c>
      <c r="K50" s="12"/>
      <c r="L50" s="12"/>
      <c r="M50" s="12" t="str">
        <f t="shared" si="9"/>
        <v>Mf1'</v>
      </c>
      <c r="N50" s="15" t="str">
        <f t="shared" si="10"/>
        <v>上端筋</v>
      </c>
      <c r="O50" s="12"/>
      <c r="P50" s="12"/>
      <c r="Q50" s="12"/>
      <c r="R50" s="16" t="str">
        <f t="shared" si="11"/>
        <v>Mf1'=L ^ 2 / 36 * (g + p) * 3/4=</v>
      </c>
      <c r="S50" s="17">
        <f t="shared" si="12"/>
        <v>3.0091999999999999</v>
      </c>
      <c r="T50" s="12">
        <f>+U50*3/4-S50</f>
        <v>2.4999999999941735E-5</v>
      </c>
      <c r="U50" s="17">
        <f t="shared" si="13"/>
        <v>4.0122999999999998</v>
      </c>
    </row>
    <row r="51" spans="2:21" x14ac:dyDescent="0.45">
      <c r="B51" s="12" t="s">
        <v>55</v>
      </c>
      <c r="C51" s="15" t="str">
        <f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>ROUND(flat_slab_side(B$8,D$8/1000,F$8/1000,B51,1),4)</f>
        <v>7.8089000000000004</v>
      </c>
      <c r="I51" s="12">
        <f>J51*3/4-H51</f>
        <v>-5.0000000000771649E-5</v>
      </c>
      <c r="J51" s="17">
        <f t="shared" si="8"/>
        <v>10.411799999999999</v>
      </c>
      <c r="K51" s="12"/>
      <c r="L51" s="12"/>
      <c r="M51" s="12" t="str">
        <f t="shared" si="9"/>
        <v>Mf3'</v>
      </c>
      <c r="N51" s="15" t="str">
        <f t="shared" si="10"/>
        <v>上端筋</v>
      </c>
      <c r="O51" s="12"/>
      <c r="P51" s="12"/>
      <c r="Q51" s="12"/>
      <c r="R51" s="16" t="str">
        <f t="shared" si="11"/>
        <v>Mf3'= L ^ 2 / 24 * (g + p) * 3/4=</v>
      </c>
      <c r="S51" s="17">
        <f t="shared" si="12"/>
        <v>4.5137999999999998</v>
      </c>
      <c r="T51" s="12">
        <f>+U51*3/4-S51</f>
        <v>7.5000000000713385E-5</v>
      </c>
      <c r="U51" s="17">
        <f t="shared" si="13"/>
        <v>6.0185000000000004</v>
      </c>
    </row>
    <row r="52" spans="2:21" x14ac:dyDescent="0.45">
      <c r="B52" s="12" t="s">
        <v>56</v>
      </c>
      <c r="C52" s="15" t="str">
        <f>flat_slab_side(B$8,D$8/10000,F$8/1000,B52,3)</f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>ROUND(flat_slab_side(B$8,D$8/1000,F$8/1000,B52,1),4)</f>
        <v>6.2470999999999997</v>
      </c>
      <c r="I52" s="12">
        <f>J52*3/4-H52</f>
        <v>2.4999999999941735E-5</v>
      </c>
      <c r="J52" s="17">
        <f t="shared" si="8"/>
        <v>8.3294999999999995</v>
      </c>
      <c r="K52" s="12"/>
      <c r="L52" s="12"/>
      <c r="M52" s="12" t="str">
        <f t="shared" si="9"/>
        <v>Mf5'</v>
      </c>
      <c r="N52" s="15" t="str">
        <f t="shared" si="10"/>
        <v>上端筋</v>
      </c>
      <c r="O52" s="12"/>
      <c r="P52" s="12"/>
      <c r="Q52" s="12"/>
      <c r="R52" s="16" t="str">
        <f t="shared" si="11"/>
        <v>Mf5'= L ^ 2 / 30 * (g + p) * 3/4=</v>
      </c>
      <c r="S52" s="17">
        <f t="shared" si="12"/>
        <v>3.6111</v>
      </c>
      <c r="T52" s="12">
        <f>+U52*3/4-S52</f>
        <v>0</v>
      </c>
      <c r="U52" s="17">
        <f t="shared" si="13"/>
        <v>4.8148</v>
      </c>
    </row>
    <row r="53" spans="2:21" x14ac:dyDescent="0.45">
      <c r="B53" s="12" t="s">
        <v>57</v>
      </c>
      <c r="C53" s="15" t="str">
        <f>flat_slab_side(B$8,D$8/10000,F$8/1000,B53,3)</f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>ROUND(flat_slab_side(B$8,D$8/1000,F$8/1000,B53,1),4)</f>
        <v>10.5909</v>
      </c>
      <c r="I53" s="12">
        <f>J53*3/4-H53</f>
        <v>-7.4999999998937028E-5</v>
      </c>
      <c r="J53" s="17">
        <f t="shared" si="8"/>
        <v>14.1211</v>
      </c>
      <c r="K53" s="12"/>
      <c r="L53" s="12"/>
      <c r="M53" s="12" t="str">
        <f t="shared" si="9"/>
        <v>Mf2'</v>
      </c>
      <c r="N53" s="15" t="str">
        <f t="shared" si="10"/>
        <v>下端筋</v>
      </c>
      <c r="O53" s="12"/>
      <c r="P53" s="12"/>
      <c r="Q53" s="12"/>
      <c r="R53" s="16" t="str">
        <f t="shared" si="11"/>
        <v>Mf2'=L ^2 * (g / 26 + p / 16) * 3/4=</v>
      </c>
      <c r="S53" s="17">
        <f t="shared" si="12"/>
        <v>6.1219999999999999</v>
      </c>
      <c r="T53" s="12">
        <f>+U53*3/4-S53</f>
        <v>-4.9999999999883471E-5</v>
      </c>
      <c r="U53" s="17">
        <f t="shared" si="13"/>
        <v>8.1625999999999994</v>
      </c>
    </row>
    <row r="54" spans="2:21" x14ac:dyDescent="0.45">
      <c r="B54" s="12" t="s">
        <v>58</v>
      </c>
      <c r="C54" s="15" t="str">
        <f>flat_slab_side(B$8,D$8/10000,F$8/1000,B54,3)</f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>ROUND(flat_slab_side(B$8,D$8/1000,F$8/1000,B54,1),4)</f>
        <v>10.254099999999999</v>
      </c>
      <c r="I54" s="12">
        <f>J54*3/4-H54</f>
        <v>4.9999999999883471E-5</v>
      </c>
      <c r="J54" s="17">
        <f t="shared" si="8"/>
        <v>13.6722</v>
      </c>
      <c r="K54" s="12"/>
      <c r="L54" s="12"/>
      <c r="M54" s="12" t="str">
        <f t="shared" si="9"/>
        <v>Mf4'</v>
      </c>
      <c r="N54" s="15" t="str">
        <f t="shared" si="10"/>
        <v>下端筋</v>
      </c>
      <c r="O54" s="12"/>
      <c r="P54" s="12"/>
      <c r="Q54" s="12"/>
      <c r="R54" s="16" t="str">
        <f t="shared" si="11"/>
        <v>Mf4'=L ^ 2 * (g / 32 + p / 16) * 3/4=</v>
      </c>
      <c r="S54" s="17">
        <f t="shared" si="12"/>
        <v>5.9272999999999998</v>
      </c>
      <c r="T54" s="12">
        <f>+U54*3/4-S54</f>
        <v>2.4999999999941735E-5</v>
      </c>
      <c r="U54" s="17">
        <f t="shared" si="13"/>
        <v>7.9031000000000002</v>
      </c>
    </row>
    <row r="55" spans="2:21" x14ac:dyDescent="0.45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5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5">
      <c r="B57" s="12" t="s">
        <v>24</v>
      </c>
      <c r="C57" s="14">
        <f>+C23</f>
        <v>150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150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5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5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5">
      <c r="B60" s="12"/>
      <c r="C60" s="12" t="s">
        <v>22</v>
      </c>
      <c r="D60" s="12" t="s">
        <v>30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30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5">
      <c r="B61" s="12" t="str">
        <f>B44</f>
        <v>Mg1'</v>
      </c>
      <c r="C61" s="17">
        <f>H44</f>
        <v>10.411799999999999</v>
      </c>
      <c r="D61" s="15" t="str">
        <f>C44</f>
        <v>上端筋</v>
      </c>
      <c r="E61" s="12" t="s">
        <v>18</v>
      </c>
      <c r="F61" s="12">
        <f t="array" ref="F61">C$23-D$23-bar_1(E61,4)/2</f>
        <v>113</v>
      </c>
      <c r="G61" s="12">
        <f>F61*7/8</f>
        <v>98.875</v>
      </c>
      <c r="H61" s="18">
        <f>C61*1000*1000/(G$23*G61)</f>
        <v>540.01361470388019</v>
      </c>
      <c r="I61" s="19">
        <f>bar_1(J61,1)</f>
        <v>635</v>
      </c>
      <c r="J61" s="18" t="str">
        <f>use_bar(H61,E61,1)</f>
        <v>D13@ 200</v>
      </c>
      <c r="K61" s="12"/>
      <c r="L61" s="12"/>
      <c r="M61" s="12" t="s">
        <v>7</v>
      </c>
      <c r="N61" s="17">
        <f>S44</f>
        <v>6.0185000000000004</v>
      </c>
      <c r="O61" s="15" t="str">
        <f>N44</f>
        <v>上端筋</v>
      </c>
      <c r="P61" s="12" t="s">
        <v>18</v>
      </c>
      <c r="Q61" s="12">
        <f t="array" ref="Q61">N$23-O$23-bar_1(P61,4)/2</f>
        <v>113</v>
      </c>
      <c r="R61" s="12">
        <f>Q61*7/8</f>
        <v>98.875</v>
      </c>
      <c r="S61" s="18">
        <f>N61*1000*1000/(R$23*R61)</f>
        <v>312.15274401115107</v>
      </c>
      <c r="T61" s="19">
        <f>bar_1(U61,1)</f>
        <v>423.33333333333337</v>
      </c>
      <c r="U61" s="18" t="str">
        <f>use_bar(S61,P61,1)</f>
        <v>D13@ 300</v>
      </c>
    </row>
    <row r="62" spans="2:21" x14ac:dyDescent="0.45">
      <c r="B62" s="12" t="str">
        <f t="shared" ref="B62:B71" si="14">B45</f>
        <v>Mg3'</v>
      </c>
      <c r="C62" s="17">
        <f>H45</f>
        <v>15.617699999999999</v>
      </c>
      <c r="D62" s="15" t="str">
        <f>C45</f>
        <v>上端筋</v>
      </c>
      <c r="E62" s="12" t="str">
        <f>E61</f>
        <v>D13</v>
      </c>
      <c r="F62" s="12">
        <f t="array" ref="F62">C$23-D$23-bar_1(E62,4)/2</f>
        <v>113</v>
      </c>
      <c r="G62" s="12">
        <f>F62*7/8</f>
        <v>98.875</v>
      </c>
      <c r="H62" s="18">
        <f>C62*1000*1000/(G$23*G62)</f>
        <v>810.02042205582018</v>
      </c>
      <c r="I62" s="19">
        <f t="shared" ref="I62:I71" si="15">bar_1(J62,1)</f>
        <v>846.66666666666674</v>
      </c>
      <c r="J62" s="18" t="str">
        <f>use_bar(H62,E62,1)</f>
        <v>D13@ 150</v>
      </c>
      <c r="K62" s="12"/>
      <c r="L62" s="12"/>
      <c r="M62" s="12" t="s">
        <v>9</v>
      </c>
      <c r="N62" s="17">
        <f>S45</f>
        <v>9.0276999999999994</v>
      </c>
      <c r="O62" s="15" t="str">
        <f>N45</f>
        <v>上端筋</v>
      </c>
      <c r="P62" s="12" t="str">
        <f>P61</f>
        <v>D13</v>
      </c>
      <c r="Q62" s="12">
        <f t="array" ref="Q62">N$23-O$23-bar_1(P62,4)/2</f>
        <v>113</v>
      </c>
      <c r="R62" s="12">
        <f>Q62*7/8</f>
        <v>98.875</v>
      </c>
      <c r="S62" s="18">
        <f>N62*1000*1000/(R$23*R62)</f>
        <v>468.22652273979696</v>
      </c>
      <c r="T62" s="19">
        <f t="shared" ref="T62:T71" si="16">bar_1(U62,1)</f>
        <v>508</v>
      </c>
      <c r="U62" s="18" t="str">
        <f t="shared" ref="U62:U71" si="17">use_bar(S62,P62,1)</f>
        <v>D13@ 250</v>
      </c>
    </row>
    <row r="63" spans="2:21" x14ac:dyDescent="0.45">
      <c r="B63" s="12" t="str">
        <f t="shared" si="14"/>
        <v>Mg5'</v>
      </c>
      <c r="C63" s="17">
        <f>H46</f>
        <v>12.494199999999999</v>
      </c>
      <c r="D63" s="15" t="str">
        <f>C46</f>
        <v>上端筋</v>
      </c>
      <c r="E63" s="12" t="str">
        <f>E62</f>
        <v>D13</v>
      </c>
      <c r="F63" s="12">
        <f t="array" ref="F63">C$23-D$23-bar_1(E63,4)/2</f>
        <v>113</v>
      </c>
      <c r="G63" s="12">
        <f>F63*7/8</f>
        <v>98.875</v>
      </c>
      <c r="H63" s="18">
        <f>C63*1000*1000/(G$23*G63)</f>
        <v>648.01841226619979</v>
      </c>
      <c r="I63" s="19">
        <f t="shared" si="15"/>
        <v>846.66666666666674</v>
      </c>
      <c r="J63" s="18" t="str">
        <f>use_bar(H63,E63,1)</f>
        <v>D13@ 150</v>
      </c>
      <c r="K63" s="12"/>
      <c r="L63" s="12"/>
      <c r="M63" s="12" t="s">
        <v>10</v>
      </c>
      <c r="N63" s="17">
        <f>S46</f>
        <v>7.2222</v>
      </c>
      <c r="O63" s="15" t="str">
        <f>N46</f>
        <v>上端筋</v>
      </c>
      <c r="P63" s="12" t="str">
        <f>P62</f>
        <v>D13</v>
      </c>
      <c r="Q63" s="12">
        <f t="array" ref="Q63">N$23-O$23-bar_1(P63,4)/2</f>
        <v>113</v>
      </c>
      <c r="R63" s="12">
        <f>Q63*7/8</f>
        <v>98.875</v>
      </c>
      <c r="S63" s="18">
        <f>N63*1000*1000/(R$23*R63)</f>
        <v>374.58329281338132</v>
      </c>
      <c r="T63" s="19">
        <f t="shared" si="16"/>
        <v>423.33333333333337</v>
      </c>
      <c r="U63" s="18" t="str">
        <f t="shared" si="17"/>
        <v>D13@ 300</v>
      </c>
    </row>
    <row r="64" spans="2:21" x14ac:dyDescent="0.45">
      <c r="B64" s="12" t="str">
        <f t="shared" si="14"/>
        <v>Mg2'</v>
      </c>
      <c r="C64" s="17">
        <f>H47</f>
        <v>8.7728000000000002</v>
      </c>
      <c r="D64" s="15" t="str">
        <f>C47</f>
        <v>下端筋</v>
      </c>
      <c r="E64" s="12" t="s">
        <v>18</v>
      </c>
      <c r="F64" s="12">
        <f t="array" ref="F64">C$23-E$23-bar_1(E64,4)/2</f>
        <v>93</v>
      </c>
      <c r="G64" s="12">
        <f>F64*7/8</f>
        <v>81.375</v>
      </c>
      <c r="H64" s="18">
        <f>C64*1000*1000/(G$23*G64)</f>
        <v>552.85674898578122</v>
      </c>
      <c r="I64" s="19">
        <f t="shared" si="15"/>
        <v>635</v>
      </c>
      <c r="J64" s="18" t="str">
        <f>use_bar(H64,E64,1)</f>
        <v>D13@ 200</v>
      </c>
      <c r="K64" s="12"/>
      <c r="L64" s="12"/>
      <c r="M64" s="12" t="s">
        <v>8</v>
      </c>
      <c r="N64" s="17">
        <f>S47</f>
        <v>5.0711000000000004</v>
      </c>
      <c r="O64" s="15" t="str">
        <f>N47</f>
        <v>下端筋</v>
      </c>
      <c r="P64" s="12" t="s">
        <v>18</v>
      </c>
      <c r="Q64" s="12">
        <f t="array" ref="Q64">N$23-P$23-bar_1(P64,4)/2</f>
        <v>93</v>
      </c>
      <c r="R64" s="12">
        <f>Q64*7/8</f>
        <v>81.375</v>
      </c>
      <c r="S64" s="18">
        <f>N64*1000*1000/(R$23*R64)</f>
        <v>319.57776990035052</v>
      </c>
      <c r="T64" s="19">
        <f t="shared" si="16"/>
        <v>423.33333333333337</v>
      </c>
      <c r="U64" s="18" t="str">
        <f t="shared" si="17"/>
        <v>D13@ 300</v>
      </c>
    </row>
    <row r="65" spans="2:21" x14ac:dyDescent="0.45">
      <c r="B65" s="12" t="str">
        <f t="shared" si="14"/>
        <v>Mg4'</v>
      </c>
      <c r="C65" s="17">
        <f>H48</f>
        <v>8.4136000000000006</v>
      </c>
      <c r="D65" s="15" t="str">
        <f>C48</f>
        <v>下端筋</v>
      </c>
      <c r="E65" s="12" t="str">
        <f>E64</f>
        <v>D13</v>
      </c>
      <c r="F65" s="12">
        <f t="array" ref="F65">C$23-E$23-bar_1(E65,4)/2</f>
        <v>93</v>
      </c>
      <c r="G65" s="12">
        <f>F65*7/8</f>
        <v>81.375</v>
      </c>
      <c r="H65" s="18">
        <f>C65*1000*1000/(G$23*G65)</f>
        <v>530.22017409114187</v>
      </c>
      <c r="I65" s="19">
        <f t="shared" si="15"/>
        <v>635</v>
      </c>
      <c r="J65" s="18" t="str">
        <f>use_bar(H65,E65,1)</f>
        <v>D13@ 200</v>
      </c>
      <c r="K65" s="12"/>
      <c r="L65" s="12"/>
      <c r="M65" s="12" t="s">
        <v>14</v>
      </c>
      <c r="N65" s="17">
        <f>S48</f>
        <v>4.8634000000000004</v>
      </c>
      <c r="O65" s="15" t="str">
        <f>N48</f>
        <v>下端筋</v>
      </c>
      <c r="P65" s="12" t="str">
        <f>P64</f>
        <v>D13</v>
      </c>
      <c r="Q65" s="12">
        <f t="array" ref="Q65">N$23-P$23-bar_1(P65,4)/2</f>
        <v>93</v>
      </c>
      <c r="R65" s="12">
        <f>Q65*7/8</f>
        <v>81.375</v>
      </c>
      <c r="S65" s="18">
        <f>N65*1000*1000/(R$23*R65)</f>
        <v>306.48863681121753</v>
      </c>
      <c r="T65" s="19">
        <f t="shared" si="16"/>
        <v>423.33333333333337</v>
      </c>
      <c r="U65" s="18" t="str">
        <f t="shared" si="17"/>
        <v>D13@ 300</v>
      </c>
    </row>
    <row r="66" spans="2:21" x14ac:dyDescent="0.45">
      <c r="B66" s="12" t="str">
        <f t="shared" si="14"/>
        <v>柱間帯</v>
      </c>
      <c r="C66" s="12" t="s">
        <v>22</v>
      </c>
      <c r="D66" s="12" t="s">
        <v>30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5">
      <c r="B67" s="12" t="str">
        <f t="shared" si="14"/>
        <v>Mf1'</v>
      </c>
      <c r="C67" s="17">
        <f>H50</f>
        <v>5.2058999999999997</v>
      </c>
      <c r="D67" s="15" t="str">
        <f>C50</f>
        <v>上端筋</v>
      </c>
      <c r="E67" s="12" t="s">
        <v>18</v>
      </c>
      <c r="F67" s="12">
        <f t="array" ref="F67">C$23-D$23-bar_1(E67,4)/2</f>
        <v>113</v>
      </c>
      <c r="G67" s="12">
        <f>F67*7/8</f>
        <v>98.875</v>
      </c>
      <c r="H67" s="18">
        <f>C67*1000*1000/(G$23*G67)</f>
        <v>270.0068073519401</v>
      </c>
      <c r="I67" s="19">
        <f t="shared" si="15"/>
        <v>423.33333333333337</v>
      </c>
      <c r="J67" s="18" t="str">
        <f>use_bar(H67,E67,1)</f>
        <v>D13@ 300</v>
      </c>
      <c r="K67" s="12"/>
      <c r="L67" s="12"/>
      <c r="M67" s="12" t="s">
        <v>4</v>
      </c>
      <c r="N67" s="17">
        <f>S50</f>
        <v>3.0091999999999999</v>
      </c>
      <c r="O67" s="15" t="str">
        <f>N50</f>
        <v>上端筋</v>
      </c>
      <c r="P67" s="12" t="s">
        <v>18</v>
      </c>
      <c r="Q67" s="12">
        <f t="array" ref="Q67">N$23-O$23-bar_1(P67,4)/2</f>
        <v>113</v>
      </c>
      <c r="R67" s="12">
        <f>Q67*7/8</f>
        <v>98.875</v>
      </c>
      <c r="S67" s="18">
        <f>N67*1000*1000/(R$23*R67)</f>
        <v>156.07377872864598</v>
      </c>
      <c r="T67" s="19">
        <f t="shared" si="16"/>
        <v>423.33333333333337</v>
      </c>
      <c r="U67" s="18" t="str">
        <f t="shared" si="17"/>
        <v>D13@ 300</v>
      </c>
    </row>
    <row r="68" spans="2:21" x14ac:dyDescent="0.45">
      <c r="B68" s="12" t="str">
        <f t="shared" si="14"/>
        <v>Mf3'</v>
      </c>
      <c r="C68" s="17">
        <f>H51</f>
        <v>7.8089000000000004</v>
      </c>
      <c r="D68" s="15" t="str">
        <f>C51</f>
        <v>上端筋</v>
      </c>
      <c r="E68" s="12" t="str">
        <f>E67</f>
        <v>D13</v>
      </c>
      <c r="F68" s="12">
        <f t="array" ref="F68">C$23-D$23-bar_1(E68,4)/2</f>
        <v>113</v>
      </c>
      <c r="G68" s="12">
        <f>F68*7/8</f>
        <v>98.875</v>
      </c>
      <c r="H68" s="18">
        <f>C68*1000*1000/(G$23*G68)</f>
        <v>405.01280430483973</v>
      </c>
      <c r="I68" s="19">
        <f t="shared" si="15"/>
        <v>423.33333333333337</v>
      </c>
      <c r="J68" s="18" t="str">
        <f>use_bar(H68,E68,1)</f>
        <v>D13@ 300</v>
      </c>
      <c r="K68" s="12"/>
      <c r="L68" s="12"/>
      <c r="M68" s="12" t="s">
        <v>5</v>
      </c>
      <c r="N68" s="17">
        <f>S51</f>
        <v>4.5137999999999998</v>
      </c>
      <c r="O68" s="15" t="str">
        <f>N51</f>
        <v>上端筋</v>
      </c>
      <c r="P68" s="12" t="str">
        <f>P67</f>
        <v>D13</v>
      </c>
      <c r="Q68" s="12">
        <f t="array" ref="Q68">N$23-O$23-bar_1(P68,4)/2</f>
        <v>113</v>
      </c>
      <c r="R68" s="12">
        <f>Q68*7/8</f>
        <v>98.875</v>
      </c>
      <c r="S68" s="18">
        <f>N68*1000*1000/(R$23*R68)</f>
        <v>234.11066809296898</v>
      </c>
      <c r="T68" s="19">
        <f t="shared" si="16"/>
        <v>423.33333333333337</v>
      </c>
      <c r="U68" s="18" t="str">
        <f t="shared" si="17"/>
        <v>D13@ 300</v>
      </c>
    </row>
    <row r="69" spans="2:21" x14ac:dyDescent="0.45">
      <c r="B69" s="12" t="str">
        <f t="shared" si="14"/>
        <v>Mf5'</v>
      </c>
      <c r="C69" s="17">
        <f>H52</f>
        <v>6.2470999999999997</v>
      </c>
      <c r="D69" s="15" t="str">
        <f>C52</f>
        <v>上端筋</v>
      </c>
      <c r="E69" s="12" t="str">
        <f>E68</f>
        <v>D13</v>
      </c>
      <c r="F69" s="12">
        <f t="array" ref="F69">C$23-D$23-bar_1(E69,4)/2</f>
        <v>113</v>
      </c>
      <c r="G69" s="12">
        <f>F69*7/8</f>
        <v>98.875</v>
      </c>
      <c r="H69" s="18">
        <f>C69*1000*1000/(G$23*G69)</f>
        <v>324.00920613309989</v>
      </c>
      <c r="I69" s="19">
        <f t="shared" si="15"/>
        <v>423.33333333333337</v>
      </c>
      <c r="J69" s="18" t="str">
        <f>use_bar(H69,E69,1)</f>
        <v>D13@ 300</v>
      </c>
      <c r="K69" s="12"/>
      <c r="L69" s="12"/>
      <c r="M69" s="12" t="s">
        <v>6</v>
      </c>
      <c r="N69" s="17">
        <f>S52</f>
        <v>3.6111</v>
      </c>
      <c r="O69" s="15" t="str">
        <f>N52</f>
        <v>上端筋</v>
      </c>
      <c r="P69" s="12" t="str">
        <f>P68</f>
        <v>D13</v>
      </c>
      <c r="Q69" s="12">
        <f t="array" ref="Q69">N$23-O$23-bar_1(P69,4)/2</f>
        <v>113</v>
      </c>
      <c r="R69" s="12">
        <f>Q69*7/8</f>
        <v>98.875</v>
      </c>
      <c r="S69" s="18">
        <f>N69*1000*1000/(R$23*R69)</f>
        <v>187.29164640669066</v>
      </c>
      <c r="T69" s="19">
        <f t="shared" si="16"/>
        <v>423.33333333333337</v>
      </c>
      <c r="U69" s="18" t="str">
        <f t="shared" si="17"/>
        <v>D13@ 300</v>
      </c>
    </row>
    <row r="70" spans="2:21" x14ac:dyDescent="0.45">
      <c r="B70" s="12" t="str">
        <f t="shared" si="14"/>
        <v>Mf2'</v>
      </c>
      <c r="C70" s="17">
        <f>H53</f>
        <v>10.5909</v>
      </c>
      <c r="D70" s="15" t="str">
        <f>C53</f>
        <v>下端筋</v>
      </c>
      <c r="E70" s="12" t="str">
        <f>E69</f>
        <v>D13</v>
      </c>
      <c r="F70" s="12">
        <f t="array" ref="F70">C$23-E$23-bar_1(E70,4)/2</f>
        <v>93</v>
      </c>
      <c r="G70" s="12">
        <f>F70*7/8</f>
        <v>81.375</v>
      </c>
      <c r="H70" s="18">
        <f>C70*1000*1000/(G$23*G70)</f>
        <v>667.43235259364292</v>
      </c>
      <c r="I70" s="19">
        <f t="shared" si="15"/>
        <v>846.66666666666674</v>
      </c>
      <c r="J70" s="18" t="str">
        <f>use_bar(H70,E70,1)</f>
        <v>D13@ 150</v>
      </c>
      <c r="K70" s="12"/>
      <c r="L70" s="12"/>
      <c r="M70" s="12" t="s">
        <v>16</v>
      </c>
      <c r="N70" s="17">
        <f>S53</f>
        <v>6.1219999999999999</v>
      </c>
      <c r="O70" s="15" t="str">
        <f>N53</f>
        <v>下端筋</v>
      </c>
      <c r="P70" s="12" t="str">
        <f>P69</f>
        <v>D13</v>
      </c>
      <c r="Q70" s="12">
        <f t="array" ref="Q70">N$23-P$23-bar_1(P70,4)/2</f>
        <v>93</v>
      </c>
      <c r="R70" s="12">
        <f>Q70*7/8</f>
        <v>81.375</v>
      </c>
      <c r="S70" s="18">
        <f>N70*1000*1000/(R$23*R70)</f>
        <v>385.80487612745679</v>
      </c>
      <c r="T70" s="19">
        <f t="shared" si="16"/>
        <v>423.33333333333337</v>
      </c>
      <c r="U70" s="18" t="str">
        <f t="shared" si="17"/>
        <v>D13@ 300</v>
      </c>
    </row>
    <row r="71" spans="2:21" x14ac:dyDescent="0.45">
      <c r="B71" s="12" t="str">
        <f t="shared" si="14"/>
        <v>Mf4'</v>
      </c>
      <c r="C71" s="17">
        <f>H54</f>
        <v>10.254099999999999</v>
      </c>
      <c r="D71" s="15" t="str">
        <f>C54</f>
        <v>下端筋</v>
      </c>
      <c r="E71" s="12" t="str">
        <f>E70</f>
        <v>D13</v>
      </c>
      <c r="F71" s="12">
        <f t="array" ref="F71">C$23-E$23-bar_1(E71,4)/2</f>
        <v>93</v>
      </c>
      <c r="G71" s="12">
        <f>F71*7/8</f>
        <v>81.375</v>
      </c>
      <c r="H71" s="18">
        <f>C71*1000*1000/(G$23*G71)</f>
        <v>646.20741265902541</v>
      </c>
      <c r="I71" s="19">
        <f t="shared" si="15"/>
        <v>846.66666666666674</v>
      </c>
      <c r="J71" s="18" t="str">
        <f>use_bar(H71,E71,1)</f>
        <v>D13@ 150</v>
      </c>
      <c r="K71" s="12"/>
      <c r="L71" s="12"/>
      <c r="M71" s="12" t="s">
        <v>17</v>
      </c>
      <c r="N71" s="17">
        <f>S54</f>
        <v>5.9272999999999998</v>
      </c>
      <c r="O71" s="15" t="str">
        <f>N54</f>
        <v>下端筋</v>
      </c>
      <c r="P71" s="12" t="str">
        <f>P70</f>
        <v>D13</v>
      </c>
      <c r="Q71" s="12">
        <f t="array" ref="Q71">N$23-P$23-bar_1(P71,4)/2</f>
        <v>93</v>
      </c>
      <c r="R71" s="12">
        <f>Q71*7/8</f>
        <v>81.375</v>
      </c>
      <c r="S71" s="18">
        <f>N71*1000*1000/(R$23*R71)</f>
        <v>373.53499547047932</v>
      </c>
      <c r="T71" s="19">
        <f t="shared" si="16"/>
        <v>423.33333333333337</v>
      </c>
      <c r="U71" s="18" t="str">
        <f t="shared" si="17"/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0317-A3D4-4D1C-BEE6-D17E1337FD96}">
  <sheetPr codeName="Sheet2"/>
  <dimension ref="B2:J35"/>
  <sheetViews>
    <sheetView workbookViewId="0">
      <selection activeCell="I10" sqref="I10"/>
    </sheetView>
  </sheetViews>
  <sheetFormatPr defaultRowHeight="18" x14ac:dyDescent="0.45"/>
  <cols>
    <col min="1" max="1" width="2.59765625" customWidth="1"/>
    <col min="2" max="16" width="8.09765625" customWidth="1"/>
  </cols>
  <sheetData>
    <row r="2" spans="2:10" x14ac:dyDescent="0.45">
      <c r="B2" t="s">
        <v>35</v>
      </c>
    </row>
    <row r="3" spans="2:10" x14ac:dyDescent="0.45">
      <c r="B3" t="s">
        <v>36</v>
      </c>
    </row>
    <row r="4" spans="2:10" x14ac:dyDescent="0.45">
      <c r="B4" s="25" t="s">
        <v>37</v>
      </c>
      <c r="C4" s="25"/>
      <c r="D4" s="25" t="s">
        <v>38</v>
      </c>
      <c r="E4" s="25"/>
      <c r="F4" s="25" t="s">
        <v>43</v>
      </c>
      <c r="G4" s="25"/>
      <c r="H4" s="10" t="s">
        <v>41</v>
      </c>
      <c r="I4" s="10" t="s">
        <v>42</v>
      </c>
      <c r="J4" s="4" t="s">
        <v>25</v>
      </c>
    </row>
    <row r="5" spans="2:10" x14ac:dyDescent="0.45">
      <c r="B5">
        <v>5.0999999999999996</v>
      </c>
      <c r="C5" t="s">
        <v>39</v>
      </c>
      <c r="D5">
        <v>4</v>
      </c>
      <c r="E5" t="s">
        <v>39</v>
      </c>
      <c r="F5" s="2">
        <v>150</v>
      </c>
      <c r="G5" t="s">
        <v>40</v>
      </c>
      <c r="H5" s="4">
        <v>30</v>
      </c>
      <c r="I5" s="4">
        <v>50</v>
      </c>
      <c r="J5" s="4">
        <v>195</v>
      </c>
    </row>
    <row r="6" spans="2:10" x14ac:dyDescent="0.45">
      <c r="B6" t="s">
        <v>44</v>
      </c>
      <c r="D6" s="5"/>
      <c r="F6" s="5"/>
    </row>
    <row r="7" spans="2:10" x14ac:dyDescent="0.45">
      <c r="C7" s="2" t="s">
        <v>0</v>
      </c>
      <c r="E7">
        <v>500</v>
      </c>
    </row>
    <row r="8" spans="2:10" x14ac:dyDescent="0.45">
      <c r="C8" s="2" t="s">
        <v>3</v>
      </c>
      <c r="D8">
        <v>150</v>
      </c>
      <c r="E8">
        <f>D8*24</f>
        <v>3600</v>
      </c>
      <c r="G8" s="5" t="s">
        <v>11</v>
      </c>
      <c r="I8" s="5" t="s">
        <v>12</v>
      </c>
    </row>
    <row r="9" spans="2:10" x14ac:dyDescent="0.45">
      <c r="C9" s="2"/>
      <c r="D9" s="3" t="s">
        <v>2</v>
      </c>
      <c r="E9">
        <f>Sheet1!E5</f>
        <v>3650</v>
      </c>
      <c r="G9" s="4">
        <f>E9</f>
        <v>3650</v>
      </c>
      <c r="I9" s="4">
        <v>2900</v>
      </c>
    </row>
    <row r="10" spans="2:10" x14ac:dyDescent="0.45">
      <c r="C10" s="2"/>
      <c r="D10" s="3"/>
      <c r="G10" s="4"/>
      <c r="I10" s="4"/>
    </row>
    <row r="11" spans="2:10" x14ac:dyDescent="0.45">
      <c r="B11" t="s">
        <v>45</v>
      </c>
      <c r="E11" s="2" t="s">
        <v>1</v>
      </c>
      <c r="F11" s="4">
        <f>+B5</f>
        <v>5.0999999999999996</v>
      </c>
      <c r="G11" t="s">
        <v>46</v>
      </c>
    </row>
    <row r="12" spans="2:10" x14ac:dyDescent="0.45">
      <c r="B12" t="s">
        <v>13</v>
      </c>
      <c r="C12" t="s">
        <v>9</v>
      </c>
      <c r="D12" s="1" t="str">
        <f t="array" ref="D12">flat_slab(F$11,G$9/10000,I$9/1000,C12,3)</f>
        <v>上端筋</v>
      </c>
      <c r="H12" s="7" t="str">
        <f t="array" ref="H12">flat_slab(F$11,G$9/10000,I$9/1000,C12,2)</f>
        <v>Mg1=L ^ 2 / 8 * (g + p)=</v>
      </c>
      <c r="I12" s="6">
        <f t="array" ref="I12">ROUND(flat_slab(F$11,G$9/1000,I$9/1000,C12,1),4)</f>
        <v>21.2957</v>
      </c>
    </row>
    <row r="13" spans="2:10" x14ac:dyDescent="0.45">
      <c r="C13" t="s">
        <v>8</v>
      </c>
      <c r="D13" s="1" t="str">
        <f t="array" ref="D13">flat_slab(F$11,G$9/10000,I$9/1000,C13,3)</f>
        <v>下端筋</v>
      </c>
      <c r="H13" s="7" t="str">
        <f t="array" ref="H13">flat_slab(F$11,G$9/10000,I$9/1000,C13,2)</f>
        <v>Mg1=L ^ 2 * (g / 20 + p / 13)=</v>
      </c>
      <c r="I13" s="6">
        <f t="array" ref="I13">ROUND(flat_slab(F$11,G$9/1000,I$9/1000,C13,1),4)</f>
        <v>10.549099999999999</v>
      </c>
    </row>
    <row r="14" spans="2:10" x14ac:dyDescent="0.45">
      <c r="B14" t="s">
        <v>15</v>
      </c>
      <c r="C14" t="s">
        <v>5</v>
      </c>
      <c r="D14" s="1" t="str">
        <f t="array" ref="D14">flat_slab(F$11,G$9/10000,I$9/1000,C14,3)</f>
        <v>上端筋</v>
      </c>
      <c r="H14" s="7" t="str">
        <f t="array" ref="H14">flat_slab(F$11,G$9/10000,I$9/1000,C14,2)</f>
        <v>Mf1=L ^ 2 / 24 * (g + p)=</v>
      </c>
      <c r="I14" s="6">
        <f t="array" ref="I14">ROUND(flat_slab(F$11,G$9/1000,I$9/1000,C14,1),4)</f>
        <v>7.0986000000000002</v>
      </c>
    </row>
    <row r="15" spans="2:10" x14ac:dyDescent="0.45">
      <c r="C15" t="s">
        <v>16</v>
      </c>
      <c r="D15" s="1" t="str">
        <f t="array" ref="D15">flat_slab(F$11,G$9/10000,I$9/1000,C15,3)</f>
        <v>下端筋</v>
      </c>
      <c r="H15" s="7" t="str">
        <f t="array" ref="H15">flat_slab(F$11,G$9/10000,I$9/1000,C15,2)</f>
        <v>Mg1=L ^ 2 * (g / 26 + p / 16)=</v>
      </c>
      <c r="I15" s="6">
        <f t="array" ref="I15">ROUND(flat_slab(F$11,G$9/1000,I$9/1000,C15,1),4)</f>
        <v>8.3657000000000004</v>
      </c>
    </row>
    <row r="16" spans="2:10" x14ac:dyDescent="0.45">
      <c r="B16" t="s">
        <v>47</v>
      </c>
      <c r="H16" s="7" t="s">
        <v>52</v>
      </c>
    </row>
    <row r="17" spans="2:10" x14ac:dyDescent="0.45">
      <c r="B17" t="s">
        <v>13</v>
      </c>
      <c r="C17" s="4" t="s">
        <v>22</v>
      </c>
      <c r="D17" s="4" t="s">
        <v>30</v>
      </c>
      <c r="E17" s="4" t="s">
        <v>31</v>
      </c>
      <c r="F17" s="4" t="s">
        <v>32</v>
      </c>
      <c r="G17" s="4" t="s">
        <v>33</v>
      </c>
      <c r="H17" s="4" t="s">
        <v>51</v>
      </c>
      <c r="I17" s="4" t="s">
        <v>34</v>
      </c>
      <c r="J17" s="4" t="s">
        <v>53</v>
      </c>
    </row>
    <row r="18" spans="2:10" x14ac:dyDescent="0.45">
      <c r="B18" t="s">
        <v>9</v>
      </c>
      <c r="C18" s="6">
        <f>I12</f>
        <v>21.2957</v>
      </c>
      <c r="D18" s="1" t="str">
        <f>D12</f>
        <v>上端筋</v>
      </c>
      <c r="E18" s="4" t="s">
        <v>18</v>
      </c>
      <c r="F18" s="4">
        <f>F$5-H$5-bar_1(E18,4)/2</f>
        <v>113</v>
      </c>
      <c r="G18">
        <f>F18*7/8</f>
        <v>98.875</v>
      </c>
      <c r="H18" s="9">
        <f>C18*1000*1000/(J$5*G18)</f>
        <v>1104.5129501766669</v>
      </c>
      <c r="I18" s="11">
        <f>bar_1(J18,1)</f>
        <v>1270</v>
      </c>
      <c r="J18" s="9" t="str">
        <f>use_bar(H18,E18,1)</f>
        <v>D13@ 100</v>
      </c>
    </row>
    <row r="19" spans="2:10" x14ac:dyDescent="0.45">
      <c r="B19" t="s">
        <v>8</v>
      </c>
      <c r="C19" s="6">
        <f>I13</f>
        <v>10.549099999999999</v>
      </c>
      <c r="D19" s="1" t="str">
        <f>D13</f>
        <v>下端筋</v>
      </c>
      <c r="E19" s="4" t="s">
        <v>18</v>
      </c>
      <c r="F19" s="4">
        <f>F$5-I$5-bar_1(E19,4)/2</f>
        <v>93</v>
      </c>
      <c r="G19">
        <f>F19*7/8</f>
        <v>81.375</v>
      </c>
      <c r="H19" s="9">
        <f>C19*1000*1000/(J$5*G19)</f>
        <v>664.79814092717311</v>
      </c>
      <c r="I19" s="11">
        <f>bar_1(J19,1)</f>
        <v>846.66666666666674</v>
      </c>
      <c r="J19" s="9" t="str">
        <f>use_bar(H19,E19,1)</f>
        <v>D13@ 150</v>
      </c>
    </row>
    <row r="20" spans="2:10" x14ac:dyDescent="0.45">
      <c r="B20" t="s">
        <v>15</v>
      </c>
      <c r="C20" s="6"/>
      <c r="D20" s="1"/>
      <c r="E20" s="4"/>
      <c r="F20" s="4"/>
      <c r="H20" s="9"/>
      <c r="I20" s="11"/>
      <c r="J20" s="9"/>
    </row>
    <row r="21" spans="2:10" x14ac:dyDescent="0.45">
      <c r="B21" t="s">
        <v>5</v>
      </c>
      <c r="C21" s="6">
        <f>I14</f>
        <v>7.0986000000000002</v>
      </c>
      <c r="D21" s="1" t="str">
        <f>D14</f>
        <v>上端筋</v>
      </c>
      <c r="E21" s="4" t="s">
        <v>18</v>
      </c>
      <c r="F21" s="4">
        <f>F$5-H$5-bar_1(E21,4)/2</f>
        <v>113</v>
      </c>
      <c r="G21">
        <f>F21*7/8</f>
        <v>98.875</v>
      </c>
      <c r="H21" s="9">
        <f>C21*1000*1000/(J$5*G21)</f>
        <v>368.17271224350873</v>
      </c>
      <c r="I21" s="11">
        <f>bar_1(J21,1)</f>
        <v>423.33333333333337</v>
      </c>
      <c r="J21" s="9" t="str">
        <f>use_bar(H21,E21,1)</f>
        <v>D13@ 300</v>
      </c>
    </row>
    <row r="22" spans="2:10" x14ac:dyDescent="0.45">
      <c r="B22" t="s">
        <v>16</v>
      </c>
      <c r="C22" s="6">
        <f>I15</f>
        <v>8.3657000000000004</v>
      </c>
      <c r="D22" s="1" t="str">
        <f>D15</f>
        <v>下端筋</v>
      </c>
      <c r="E22" s="4" t="s">
        <v>18</v>
      </c>
      <c r="F22" s="4">
        <f>F$5-I$5-bar_1(E22,4)/2</f>
        <v>93</v>
      </c>
      <c r="G22">
        <f>F22*7/8</f>
        <v>81.375</v>
      </c>
      <c r="H22" s="9">
        <f>C22*1000*1000/(J$5*G22)</f>
        <v>527.20154397573754</v>
      </c>
      <c r="I22" s="11">
        <f>bar_1(J22,1)</f>
        <v>635</v>
      </c>
      <c r="J22" s="9" t="str">
        <f>use_bar(H22,E22,1)</f>
        <v>D13@ 200</v>
      </c>
    </row>
    <row r="23" spans="2:10" x14ac:dyDescent="0.45">
      <c r="C23" s="6"/>
      <c r="D23" s="1"/>
      <c r="H23" s="9"/>
      <c r="I23" s="8"/>
      <c r="J23" s="9"/>
    </row>
    <row r="24" spans="2:10" x14ac:dyDescent="0.45">
      <c r="B24" t="s">
        <v>48</v>
      </c>
      <c r="E24" s="2" t="s">
        <v>1</v>
      </c>
      <c r="F24" s="4">
        <f>D5</f>
        <v>4</v>
      </c>
      <c r="G24" t="s">
        <v>46</v>
      </c>
      <c r="I24" t="s">
        <v>49</v>
      </c>
    </row>
    <row r="25" spans="2:10" x14ac:dyDescent="0.45">
      <c r="B25" t="s">
        <v>13</v>
      </c>
      <c r="C25" t="s">
        <v>9</v>
      </c>
      <c r="D25" s="1" t="str">
        <f t="array" ref="D25">flat_slab(F$11,G$9/10000,I$9/1000,C25,3)</f>
        <v>上端筋</v>
      </c>
      <c r="H25" s="7" t="str">
        <f t="array" ref="H25">flat_slab(F$11,G$9/10000,I$9/1000,C25,2)</f>
        <v>Mg1=L ^ 2 / 8 * (g + p)=</v>
      </c>
      <c r="I25" s="6">
        <f>ROUND(flat_slab(F$24,G$9/1000,I$9/1000,C25,1),4)</f>
        <v>13.1</v>
      </c>
    </row>
    <row r="26" spans="2:10" x14ac:dyDescent="0.45">
      <c r="C26" t="s">
        <v>8</v>
      </c>
      <c r="D26" s="1" t="str">
        <f t="array" ref="D26">flat_slab(F$11,G$9/10000,I$9/1000,C26,3)</f>
        <v>下端筋</v>
      </c>
      <c r="H26" s="7" t="str">
        <f t="array" ref="H26">flat_slab(F$11,G$9/10000,I$9/1000,C26,2)</f>
        <v>Mg1=L ^ 2 * (g / 20 + p / 13)=</v>
      </c>
      <c r="I26" s="6">
        <f>ROUND(flat_slab(F$24,G$9/1000,I$9/1000,C26,1),4)</f>
        <v>6.4892000000000003</v>
      </c>
    </row>
    <row r="27" spans="2:10" x14ac:dyDescent="0.45">
      <c r="B27" t="s">
        <v>15</v>
      </c>
      <c r="C27" t="s">
        <v>5</v>
      </c>
      <c r="D27" s="1" t="str">
        <f t="array" ref="D27">flat_slab(F$11,G$9/10000,I$9/1000,C27,3)</f>
        <v>上端筋</v>
      </c>
      <c r="H27" s="7" t="str">
        <f t="array" ref="H27">flat_slab(F$11,G$9/10000,I$9/1000,C27,2)</f>
        <v>Mf1=L ^ 2 / 24 * (g + p)=</v>
      </c>
      <c r="I27" s="6">
        <f>ROUND(flat_slab(F$24,G$9/1000,I$9/1000,C27,1),4)</f>
        <v>4.3666999999999998</v>
      </c>
    </row>
    <row r="28" spans="2:10" x14ac:dyDescent="0.45">
      <c r="C28" t="s">
        <v>16</v>
      </c>
      <c r="D28" s="1" t="str">
        <f t="array" ref="D28">flat_slab(F$11,G$9/10000,I$9/1000,C28,3)</f>
        <v>下端筋</v>
      </c>
      <c r="H28" s="7" t="str">
        <f t="array" ref="H28">flat_slab(F$11,G$9/10000,I$9/1000,C28,2)</f>
        <v>Mg1=L ^ 2 * (g / 26 + p / 16)=</v>
      </c>
      <c r="I28" s="6">
        <f>ROUND(flat_slab(F$24,G$9/1000,I$9/1000,C28,1),4)</f>
        <v>5.1462000000000003</v>
      </c>
    </row>
    <row r="29" spans="2:10" x14ac:dyDescent="0.45">
      <c r="B29" t="s">
        <v>50</v>
      </c>
      <c r="D29" s="1"/>
      <c r="H29" s="7" t="s">
        <v>52</v>
      </c>
      <c r="I29" s="6"/>
      <c r="J29" s="4"/>
    </row>
    <row r="30" spans="2:10" x14ac:dyDescent="0.45">
      <c r="B30" t="s">
        <v>13</v>
      </c>
      <c r="C30" t="s">
        <v>22</v>
      </c>
      <c r="D30" t="s">
        <v>30</v>
      </c>
      <c r="E30" s="4" t="s">
        <v>31</v>
      </c>
      <c r="F30" s="4" t="s">
        <v>32</v>
      </c>
      <c r="G30" s="4" t="s">
        <v>33</v>
      </c>
      <c r="H30" s="4" t="s">
        <v>51</v>
      </c>
      <c r="I30" s="4" t="s">
        <v>34</v>
      </c>
      <c r="J30" s="4" t="s">
        <v>53</v>
      </c>
    </row>
    <row r="31" spans="2:10" x14ac:dyDescent="0.45">
      <c r="B31" t="s">
        <v>9</v>
      </c>
      <c r="C31" s="6">
        <f>I25</f>
        <v>13.1</v>
      </c>
      <c r="D31" s="1" t="str">
        <f>D25</f>
        <v>上端筋</v>
      </c>
      <c r="E31" s="4" t="s">
        <v>18</v>
      </c>
      <c r="F31" s="4">
        <f>F$5-H$5-bar_1(E31,4)*1.5</f>
        <v>99</v>
      </c>
      <c r="G31">
        <f>F31*7/8</f>
        <v>86.625</v>
      </c>
      <c r="H31" s="9">
        <f>C31*1000*1000/(J$5*G31)</f>
        <v>775.52077552077549</v>
      </c>
      <c r="I31" s="4">
        <f>bar_1(J31,1)</f>
        <v>846.66666666666674</v>
      </c>
      <c r="J31" s="9" t="str">
        <f>use_bar(H31,E31,1)</f>
        <v>D13@ 150</v>
      </c>
    </row>
    <row r="32" spans="2:10" x14ac:dyDescent="0.45">
      <c r="B32" t="s">
        <v>8</v>
      </c>
      <c r="C32" s="6">
        <f>I26</f>
        <v>6.4892000000000003</v>
      </c>
      <c r="D32" s="1" t="str">
        <f>D26</f>
        <v>下端筋</v>
      </c>
      <c r="E32" s="4" t="s">
        <v>18</v>
      </c>
      <c r="F32" s="4">
        <f t="array" ref="F32">F$5-I$5-bar_1(E32,4)*1.5</f>
        <v>79</v>
      </c>
      <c r="G32">
        <f>F32*7/8</f>
        <v>69.125</v>
      </c>
      <c r="H32" s="9">
        <f>C32*1000*1000/(J$5*G32)</f>
        <v>481.41697964482779</v>
      </c>
      <c r="I32" s="4">
        <f>bar_1(J32,1)</f>
        <v>508</v>
      </c>
      <c r="J32" s="9" t="str">
        <f>use_bar(H32,E32,1)</f>
        <v>D13@ 250</v>
      </c>
    </row>
    <row r="33" spans="2:10" x14ac:dyDescent="0.45">
      <c r="B33" t="s">
        <v>15</v>
      </c>
      <c r="C33" s="6"/>
      <c r="D33" s="1"/>
      <c r="E33" s="4"/>
      <c r="F33" s="4"/>
      <c r="H33" s="9"/>
      <c r="I33" s="4"/>
      <c r="J33" s="9"/>
    </row>
    <row r="34" spans="2:10" x14ac:dyDescent="0.45">
      <c r="B34" t="s">
        <v>5</v>
      </c>
      <c r="C34" s="6">
        <f>I27</f>
        <v>4.3666999999999998</v>
      </c>
      <c r="D34" s="1" t="str">
        <f>D27</f>
        <v>上端筋</v>
      </c>
      <c r="E34" s="4" t="s">
        <v>18</v>
      </c>
      <c r="F34" s="4">
        <f t="array" ref="F34">F$5-H$5-bar_1(E34,4)*1.5</f>
        <v>99</v>
      </c>
      <c r="G34">
        <f>F34*7/8</f>
        <v>86.625</v>
      </c>
      <c r="H34" s="9">
        <f>C34*1000*1000/(J$5*G34)</f>
        <v>258.50889850889848</v>
      </c>
      <c r="I34" s="11">
        <f>bar_1(J34,1)</f>
        <v>423.33333333333337</v>
      </c>
      <c r="J34" s="9" t="str">
        <f>use_bar(H34,E34,1)</f>
        <v>D13@ 300</v>
      </c>
    </row>
    <row r="35" spans="2:10" x14ac:dyDescent="0.45">
      <c r="B35" t="s">
        <v>16</v>
      </c>
      <c r="C35" s="6">
        <f>I28</f>
        <v>5.1462000000000003</v>
      </c>
      <c r="D35" s="1" t="str">
        <f>D28</f>
        <v>下端筋</v>
      </c>
      <c r="E35" s="4" t="s">
        <v>18</v>
      </c>
      <c r="F35" s="4">
        <f t="array" ref="F35">F$5-I$5-bar_1(E35,4)*1.5</f>
        <v>79</v>
      </c>
      <c r="G35">
        <f>F35*7/8</f>
        <v>69.125</v>
      </c>
      <c r="H35" s="9">
        <f>C35*1000*1000/(J$5*G35)</f>
        <v>381.78328001112817</v>
      </c>
      <c r="I35" s="11">
        <f>bar_1(J35,1)</f>
        <v>423.33333333333337</v>
      </c>
      <c r="J35" s="9" t="str">
        <f>use_bar(H35,E35,1)</f>
        <v>D13@ 300</v>
      </c>
    </row>
  </sheetData>
  <mergeCells count="3">
    <mergeCell ref="B4:C4"/>
    <mergeCell ref="D4:E4"/>
    <mergeCell ref="F4:G4"/>
  </mergeCells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店舗売場</vt:lpstr>
      <vt:lpstr>展示スペース</vt:lpstr>
      <vt:lpstr>長辺下端</vt:lpstr>
      <vt:lpstr>洗車場</vt:lpstr>
      <vt:lpstr>洗車場一般</vt:lpstr>
      <vt:lpstr>長辺上端</vt:lpstr>
      <vt:lpstr>Sheet1 (3)</vt:lpstr>
      <vt:lpstr>Sheet1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Administrator</cp:lastModifiedBy>
  <cp:lastPrinted>2020-10-28T05:38:50Z</cp:lastPrinted>
  <dcterms:created xsi:type="dcterms:W3CDTF">2020-10-24T01:40:51Z</dcterms:created>
  <dcterms:modified xsi:type="dcterms:W3CDTF">2022-07-01T07:10:47Z</dcterms:modified>
</cp:coreProperties>
</file>